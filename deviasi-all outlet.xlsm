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8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0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PIC-TARA\Desktop\"/>
    </mc:Choice>
  </mc:AlternateContent>
  <xr:revisionPtr revIDLastSave="0" documentId="13_ncr:1_{2A247C0E-E3D3-4F27-A4E7-849E6BAD697B}" xr6:coauthVersionLast="47" xr6:coauthVersionMax="47" xr10:uidLastSave="{00000000-0000-0000-0000-000000000000}"/>
  <bookViews>
    <workbookView minimized="1" xWindow="-110" yWindow="0" windowWidth="14400" windowHeight="7270" tabRatio="685" firstSheet="1" activeTab="1" xr2:uid="{DA2BA41A-E3D0-4D7D-83DB-AE3E3F7020E9}"/>
  </bookViews>
  <sheets>
    <sheet name="brisket" sheetId="1" state="hidden" r:id="rId1"/>
    <sheet name="Chuck Crest" sheetId="6" r:id="rId2"/>
    <sheet name="Tokusen Wagyu" sheetId="2" r:id="rId3"/>
    <sheet name="Beef Ham" sheetId="3" r:id="rId4"/>
    <sheet name="Beras" sheetId="4" r:id="rId5"/>
    <sheet name="Telur Geranjim" sheetId="5" r:id="rId6"/>
    <sheet name="Sheet1" sheetId="7" r:id="rId7"/>
    <sheet name="CK Korean Noodle" sheetId="8" r:id="rId8"/>
    <sheet name="Mie Kalguksu" sheetId="9" r:id="rId9"/>
    <sheet name="Beras-HG" sheetId="10" r:id="rId10"/>
    <sheet name="Udang-HG" sheetId="11" r:id="rId11"/>
    <sheet name="Telur utuh-HG" sheetId="12" r:id="rId12"/>
    <sheet name="Sheet7" sheetId="13" r:id="rId13"/>
  </sheets>
  <definedNames>
    <definedName name="_xlnm._FilterDatabase" localSheetId="6" hidden="1">Sheet1!$A$9:$M$204</definedName>
    <definedName name="_xlnm._FilterDatabase" localSheetId="12" hidden="1">Sheet7!$A$9:$M$167</definedName>
    <definedName name="_xlnm.Print_Area" localSheetId="0">brisket!$A$1:$T$20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0" l="1"/>
  <c r="D19" i="10"/>
  <c r="S7" i="8"/>
  <c r="S14" i="8"/>
  <c r="S13" i="8"/>
  <c r="S12" i="8"/>
  <c r="S11" i="8"/>
  <c r="S10" i="8"/>
  <c r="S14" i="3"/>
  <c r="D4" i="6"/>
  <c r="D10" i="6"/>
  <c r="D14" i="6"/>
  <c r="D23" i="6"/>
  <c r="D13" i="6"/>
  <c r="D15" i="6"/>
  <c r="D17" i="6"/>
  <c r="S9" i="6"/>
  <c r="S9" i="5" l="1"/>
  <c r="S20" i="4"/>
  <c r="S17" i="5" l="1"/>
  <c r="S10" i="4"/>
  <c r="S19" i="2"/>
  <c r="S19" i="6" l="1"/>
  <c r="G16" i="12"/>
  <c r="G28" i="12"/>
  <c r="G30" i="12"/>
  <c r="E12" i="12"/>
  <c r="G12" i="12" s="1"/>
  <c r="E13" i="12"/>
  <c r="G13" i="12" s="1"/>
  <c r="E14" i="12"/>
  <c r="G14" i="12" s="1"/>
  <c r="E15" i="12"/>
  <c r="G15" i="12" s="1"/>
  <c r="E16" i="12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26" i="12"/>
  <c r="G26" i="12" s="1"/>
  <c r="E27" i="12"/>
  <c r="G27" i="12" s="1"/>
  <c r="E28" i="12"/>
  <c r="E29" i="12"/>
  <c r="G29" i="12" s="1"/>
  <c r="E30" i="12"/>
  <c r="E31" i="12"/>
  <c r="G31" i="12" s="1"/>
  <c r="E32" i="12"/>
  <c r="G32" i="12" s="1"/>
  <c r="E33" i="12"/>
  <c r="G33" i="12" s="1"/>
  <c r="E17" i="10"/>
  <c r="G17" i="10" s="1"/>
  <c r="E16" i="10"/>
  <c r="G16" i="10" s="1"/>
  <c r="E11" i="12"/>
  <c r="G11" i="12" s="1"/>
  <c r="E10" i="12"/>
  <c r="G10" i="12" s="1"/>
  <c r="I4" i="12" s="1"/>
  <c r="O4" i="12" s="1"/>
  <c r="P4" i="12" s="1"/>
  <c r="Q4" i="12" s="1"/>
  <c r="E9" i="12"/>
  <c r="G9" i="12" s="1"/>
  <c r="E8" i="12"/>
  <c r="G8" i="12" s="1"/>
  <c r="E7" i="12"/>
  <c r="G7" i="12" s="1"/>
  <c r="E6" i="12"/>
  <c r="G6" i="12" s="1"/>
  <c r="E5" i="12"/>
  <c r="G5" i="12" s="1"/>
  <c r="N4" i="12"/>
  <c r="E4" i="12"/>
  <c r="G4" i="12" s="1"/>
  <c r="E11" i="11"/>
  <c r="G11" i="11" s="1"/>
  <c r="E10" i="11"/>
  <c r="G10" i="11" s="1"/>
  <c r="I4" i="11" s="1"/>
  <c r="O4" i="11" s="1"/>
  <c r="P4" i="11" s="1"/>
  <c r="Q4" i="11" s="1"/>
  <c r="E9" i="11"/>
  <c r="G9" i="11" s="1"/>
  <c r="E8" i="11"/>
  <c r="G8" i="11" s="1"/>
  <c r="E7" i="11"/>
  <c r="G7" i="11" s="1"/>
  <c r="E6" i="11"/>
  <c r="G6" i="11" s="1"/>
  <c r="E5" i="11"/>
  <c r="G5" i="11" s="1"/>
  <c r="N4" i="11"/>
  <c r="E4" i="11"/>
  <c r="G4" i="11" s="1"/>
  <c r="E15" i="10"/>
  <c r="G15" i="10" s="1"/>
  <c r="E14" i="10"/>
  <c r="G14" i="10" s="1"/>
  <c r="E13" i="10"/>
  <c r="G13" i="10" s="1"/>
  <c r="E12" i="10"/>
  <c r="G12" i="10" s="1"/>
  <c r="E11" i="10"/>
  <c r="G11" i="10" s="1"/>
  <c r="E10" i="10"/>
  <c r="G10" i="10" s="1"/>
  <c r="E9" i="10"/>
  <c r="G9" i="10" s="1"/>
  <c r="E8" i="10"/>
  <c r="G8" i="10" s="1"/>
  <c r="E7" i="10"/>
  <c r="G7" i="10" s="1"/>
  <c r="E6" i="10"/>
  <c r="G6" i="10" s="1"/>
  <c r="E5" i="10"/>
  <c r="G5" i="10" s="1"/>
  <c r="N4" i="10"/>
  <c r="E4" i="10"/>
  <c r="G4" i="10" s="1"/>
  <c r="E7" i="9"/>
  <c r="G7" i="9" s="1"/>
  <c r="E6" i="9"/>
  <c r="G6" i="9" s="1"/>
  <c r="E5" i="9"/>
  <c r="G5" i="9" s="1"/>
  <c r="N4" i="9"/>
  <c r="E4" i="9"/>
  <c r="G4" i="9" s="1"/>
  <c r="G8" i="9" s="1"/>
  <c r="I4" i="9" s="1"/>
  <c r="E15" i="8"/>
  <c r="G15" i="8" s="1"/>
  <c r="E14" i="8"/>
  <c r="G14" i="8" s="1"/>
  <c r="E13" i="8"/>
  <c r="G13" i="8" s="1"/>
  <c r="E12" i="8"/>
  <c r="G12" i="8" s="1"/>
  <c r="E11" i="8"/>
  <c r="G11" i="8" s="1"/>
  <c r="E10" i="8"/>
  <c r="G10" i="8" s="1"/>
  <c r="E9" i="8"/>
  <c r="G9" i="8" s="1"/>
  <c r="E8" i="8"/>
  <c r="G8" i="8" s="1"/>
  <c r="E7" i="8"/>
  <c r="G7" i="8" s="1"/>
  <c r="E6" i="8"/>
  <c r="G6" i="8" s="1"/>
  <c r="E5" i="8"/>
  <c r="G5" i="8" s="1"/>
  <c r="N4" i="8"/>
  <c r="E4" i="8"/>
  <c r="G4" i="8" s="1"/>
  <c r="O4" i="9" l="1"/>
  <c r="P4" i="9" s="1"/>
  <c r="Q4" i="9" s="1"/>
  <c r="G16" i="8"/>
  <c r="I4" i="8" s="1"/>
  <c r="O4" i="8" s="1"/>
  <c r="P4" i="8" s="1"/>
  <c r="Q4" i="8" s="1"/>
  <c r="G12" i="11"/>
  <c r="G18" i="10"/>
  <c r="O4" i="10" s="1"/>
  <c r="P4" i="10" s="1"/>
  <c r="Q4" i="10" s="1"/>
  <c r="E8" i="2"/>
  <c r="G8" i="2" s="1"/>
  <c r="E27" i="4" l="1"/>
  <c r="G27" i="4" s="1"/>
  <c r="E28" i="4"/>
  <c r="G28" i="4" s="1"/>
  <c r="E26" i="4"/>
  <c r="G26" i="4" s="1"/>
  <c r="E23" i="4"/>
  <c r="G23" i="4" s="1"/>
  <c r="E7" i="2"/>
  <c r="G7" i="2" s="1"/>
  <c r="E6" i="2"/>
  <c r="G6" i="2" s="1"/>
  <c r="E29" i="4"/>
  <c r="G29" i="4" s="1"/>
  <c r="E8" i="6"/>
  <c r="G8" i="6" s="1"/>
  <c r="E18" i="6"/>
  <c r="G18" i="6" s="1"/>
  <c r="E19" i="6"/>
  <c r="G19" i="6" s="1"/>
  <c r="E20" i="6"/>
  <c r="G20" i="6" s="1"/>
  <c r="E21" i="6"/>
  <c r="G21" i="6" s="1"/>
  <c r="E30" i="4" l="1"/>
  <c r="G30" i="4" s="1"/>
  <c r="E31" i="4"/>
  <c r="G31" i="4" s="1"/>
  <c r="E32" i="4"/>
  <c r="G32" i="4" s="1"/>
  <c r="E33" i="4"/>
  <c r="G33" i="4" s="1"/>
  <c r="E34" i="4"/>
  <c r="G34" i="4" s="1"/>
  <c r="E35" i="4"/>
  <c r="G35" i="4" s="1"/>
  <c r="E36" i="4"/>
  <c r="G36" i="4" s="1"/>
  <c r="E37" i="4"/>
  <c r="G37" i="4" s="1"/>
  <c r="E6" i="4" l="1"/>
  <c r="G6" i="4" s="1"/>
  <c r="E7" i="4"/>
  <c r="G7" i="4" s="1"/>
  <c r="E8" i="4"/>
  <c r="G8" i="4" s="1"/>
  <c r="E9" i="4"/>
  <c r="G9" i="4" s="1"/>
  <c r="E10" i="4"/>
  <c r="G10" i="4" s="1"/>
  <c r="E11" i="4"/>
  <c r="G11" i="4" s="1"/>
  <c r="E12" i="4"/>
  <c r="G12" i="4" s="1"/>
  <c r="E13" i="4"/>
  <c r="G13" i="4" s="1"/>
  <c r="E14" i="4"/>
  <c r="G14" i="4" s="1"/>
  <c r="E15" i="4"/>
  <c r="G15" i="4" s="1"/>
  <c r="E16" i="4"/>
  <c r="G16" i="4" s="1"/>
  <c r="E17" i="4"/>
  <c r="G17" i="4" s="1"/>
  <c r="E18" i="4"/>
  <c r="G18" i="4" s="1"/>
  <c r="E19" i="4"/>
  <c r="G19" i="4" s="1"/>
  <c r="E20" i="4"/>
  <c r="G20" i="4" s="1"/>
  <c r="E21" i="4"/>
  <c r="G21" i="4" s="1"/>
  <c r="E22" i="4"/>
  <c r="G22" i="4" s="1"/>
  <c r="E24" i="4"/>
  <c r="G24" i="4" s="1"/>
  <c r="E25" i="4"/>
  <c r="G25" i="4" s="1"/>
  <c r="E5" i="4"/>
  <c r="G5" i="4" s="1"/>
  <c r="E4" i="4"/>
  <c r="G4" i="4" s="1"/>
  <c r="C11" i="5"/>
  <c r="C39" i="4"/>
  <c r="N4" i="5"/>
  <c r="E9" i="5"/>
  <c r="G9" i="5" s="1"/>
  <c r="E8" i="5"/>
  <c r="G8" i="5" s="1"/>
  <c r="E7" i="5"/>
  <c r="G7" i="5" s="1"/>
  <c r="E6" i="5"/>
  <c r="G6" i="5" s="1"/>
  <c r="E5" i="5"/>
  <c r="G5" i="5" s="1"/>
  <c r="E4" i="5"/>
  <c r="G4" i="5" s="1"/>
  <c r="N4" i="4"/>
  <c r="N4" i="3"/>
  <c r="N4" i="2"/>
  <c r="E6" i="3"/>
  <c r="G6" i="3" s="1"/>
  <c r="E7" i="3"/>
  <c r="G7" i="3" s="1"/>
  <c r="E8" i="3"/>
  <c r="G8" i="3" s="1"/>
  <c r="E9" i="3"/>
  <c r="G9" i="3" s="1"/>
  <c r="E5" i="3"/>
  <c r="G5" i="3" s="1"/>
  <c r="E10" i="3"/>
  <c r="G10" i="3" s="1"/>
  <c r="E4" i="3"/>
  <c r="G4" i="3" s="1"/>
  <c r="E4" i="6"/>
  <c r="G4" i="6" s="1"/>
  <c r="E9" i="2"/>
  <c r="G9" i="2" s="1"/>
  <c r="E5" i="2"/>
  <c r="G5" i="2" s="1"/>
  <c r="E4" i="2"/>
  <c r="G4" i="2" s="1"/>
  <c r="N4" i="6"/>
  <c r="E5" i="6"/>
  <c r="G5" i="6" s="1"/>
  <c r="E6" i="6"/>
  <c r="G6" i="6" s="1"/>
  <c r="E7" i="6"/>
  <c r="G7" i="6" s="1"/>
  <c r="E9" i="6"/>
  <c r="G9" i="6" s="1"/>
  <c r="E10" i="6"/>
  <c r="G10" i="6" s="1"/>
  <c r="E11" i="6"/>
  <c r="G11" i="6" s="1"/>
  <c r="E12" i="6"/>
  <c r="G12" i="6" s="1"/>
  <c r="E13" i="6"/>
  <c r="G13" i="6" s="1"/>
  <c r="E14" i="6"/>
  <c r="G14" i="6" s="1"/>
  <c r="E15" i="6"/>
  <c r="G15" i="6" s="1"/>
  <c r="E16" i="6"/>
  <c r="G16" i="6" s="1"/>
  <c r="E17" i="6"/>
  <c r="G17" i="6" s="1"/>
  <c r="E22" i="6"/>
  <c r="G22" i="6" s="1"/>
  <c r="E23" i="6"/>
  <c r="G23" i="6" s="1"/>
  <c r="G24" i="6" l="1"/>
  <c r="I4" i="6" s="1"/>
  <c r="I24" i="6" s="1"/>
  <c r="G11" i="3"/>
  <c r="I4" i="3" s="1"/>
  <c r="O4" i="3" s="1"/>
  <c r="P4" i="3" s="1"/>
  <c r="G10" i="2"/>
  <c r="I4" i="2" s="1"/>
  <c r="G10" i="5"/>
  <c r="G38" i="4"/>
  <c r="O4" i="2" l="1"/>
  <c r="P4" i="2" s="1"/>
  <c r="Q4" i="2" s="1"/>
  <c r="O4" i="6"/>
  <c r="P4" i="6" s="1"/>
  <c r="Q4" i="6" s="1"/>
  <c r="D11" i="5"/>
  <c r="I4" i="5" s="1"/>
  <c r="O4" i="5" s="1"/>
  <c r="Q4" i="3"/>
  <c r="D39" i="4"/>
  <c r="O24" i="6"/>
  <c r="I4" i="4" l="1"/>
  <c r="O4" i="4" s="1"/>
  <c r="P4" i="4" s="1"/>
  <c r="Q4" i="4" s="1"/>
  <c r="P4" i="5"/>
  <c r="Q4" i="5" s="1"/>
</calcChain>
</file>

<file path=xl/sharedStrings.xml><?xml version="1.0" encoding="utf-8"?>
<sst xmlns="http://schemas.openxmlformats.org/spreadsheetml/2006/main" count="1881" uniqueCount="592">
  <si>
    <t>menu_code</t>
  </si>
  <si>
    <t>menu_name</t>
  </si>
  <si>
    <t>gramasi</t>
  </si>
  <si>
    <t>yield</t>
  </si>
  <si>
    <t>CHADOL SIGNATURE TASTY (REGULAR)</t>
  </si>
  <si>
    <t>CHADOL SIGNATURE TASTY (LARGE)</t>
  </si>
  <si>
    <t>CHADOL PRIME</t>
  </si>
  <si>
    <t>ADD SLICED BEEF 100GR</t>
  </si>
  <si>
    <t>BULGOGI&amp;TOFU KIMCHI K-BENTO</t>
  </si>
  <si>
    <t>BULGOGI GIMBAP</t>
  </si>
  <si>
    <t>CHADOL JJUGUMI</t>
  </si>
  <si>
    <t>ROSE CHADOL JJUGUMI</t>
  </si>
  <si>
    <t>BEEF KIMCHI FRIED RICE</t>
  </si>
  <si>
    <t>BEEF JAPCHAE</t>
  </si>
  <si>
    <t>BEEF DOENJANGJIGAE (RICE)</t>
  </si>
  <si>
    <t>BEEF DOENJANGJIGAE (NO RICE)</t>
  </si>
  <si>
    <t>SUNDUBU JIGAE (RICE)</t>
  </si>
  <si>
    <t>SUNDUBU JIGAE (NO RICE)</t>
  </si>
  <si>
    <t>BULGOGI BIBIMBAP</t>
  </si>
  <si>
    <t>CHADOL TOKUSEN WAGYU (REGULAR)</t>
  </si>
  <si>
    <t>CHADOL TOKUSEN WAGYU (LARGE)</t>
  </si>
  <si>
    <t>BEEF HAM GIMBAP</t>
  </si>
  <si>
    <t>HAM AND CHEESE GIMBAP</t>
  </si>
  <si>
    <t>FINALE KIMCHI FRIED RICE</t>
  </si>
  <si>
    <t>ROSE TOKPOKKI</t>
  </si>
  <si>
    <t>CHIJEU ROSE TOKPOKKI</t>
  </si>
  <si>
    <t>CHICKEN KIMCHI FRIED RICE</t>
  </si>
  <si>
    <t>RICE</t>
  </si>
  <si>
    <t>Fried Rice (Dakgalbi)</t>
  </si>
  <si>
    <t>Finale Kimchi Fried Rice</t>
  </si>
  <si>
    <t>Beef Kimchi Fried Rice</t>
  </si>
  <si>
    <t>Beef Doenjang Jjigae (With Rice)</t>
  </si>
  <si>
    <t>Sundubu Jjigae (With Rice)</t>
  </si>
  <si>
    <t>Spicy Buldak Fried Rice</t>
  </si>
  <si>
    <t>Chicken Kimchi Fried Rice</t>
  </si>
  <si>
    <t>Soy Garlic Chicken &amp; Tofu Kimchi K-Bento</t>
  </si>
  <si>
    <t>Spicy Chicken &amp; Tofu Kimchi K-Bento</t>
  </si>
  <si>
    <t>Bulgogi &amp; Tofu Kimchi K-Bento</t>
  </si>
  <si>
    <t>Dakgalbi &amp; Tofu Kimchi K-Bento</t>
  </si>
  <si>
    <t>Yummy Kids Meal</t>
  </si>
  <si>
    <t>Original Gimbap</t>
  </si>
  <si>
    <t>Vegetable Gimbap</t>
  </si>
  <si>
    <t>Bulgogi Gimbap</t>
  </si>
  <si>
    <t>Tuna Mayo Gimbap</t>
  </si>
  <si>
    <t xml:space="preserve">	Spicy Tuna Gimbap</t>
  </si>
  <si>
    <t>Beef Ham Gimbap</t>
  </si>
  <si>
    <t>Ham &amp; Cheese Gimbap</t>
  </si>
  <si>
    <t>Jumeokbap Ball</t>
  </si>
  <si>
    <t>Gimbap Birthday Cake</t>
  </si>
  <si>
    <t>ADD GYERANJIM</t>
  </si>
  <si>
    <t>A</t>
  </si>
  <si>
    <t>B</t>
  </si>
  <si>
    <t>C</t>
  </si>
  <si>
    <t>total penjualan x gramasi (GR)</t>
  </si>
  <si>
    <t>total penjualan (porsi)</t>
  </si>
  <si>
    <t>nilai yield (GR)</t>
  </si>
  <si>
    <t>SR-Out</t>
  </si>
  <si>
    <t>D</t>
  </si>
  <si>
    <t>E</t>
  </si>
  <si>
    <t>F</t>
  </si>
  <si>
    <t>D+E+F</t>
  </si>
  <si>
    <t>Stock Awal (KG)</t>
  </si>
  <si>
    <t>Purchase Receiving (KG)</t>
  </si>
  <si>
    <t>SR-In (KG)</t>
  </si>
  <si>
    <t>Stock Akhir FISIK (KG)</t>
  </si>
  <si>
    <t>Stock Akhir Teoritis (D+E+F)-(USAGE)</t>
  </si>
  <si>
    <t>Nilai Deviasi (stock akhir fisik - Stock akhir teoritis)</t>
  </si>
  <si>
    <t>USAGE (B+C)</t>
  </si>
  <si>
    <t>USAGE (B+C) (KG)</t>
  </si>
  <si>
    <t>SR-Out (KG)</t>
  </si>
  <si>
    <t>USAGE (B+C)(KG)</t>
  </si>
  <si>
    <t>presentase frozen egg dalam wip geranjim</t>
  </si>
  <si>
    <t>Nilai Ambang batas atas - batas bawah</t>
  </si>
  <si>
    <t>nilai ambang batas bawah  -batas atas</t>
  </si>
  <si>
    <t>nilai yield (GR) + (total penjualan xgramasi)</t>
  </si>
  <si>
    <t>persentase penentuan batas atas dan batas bawah</t>
  </si>
  <si>
    <t>(nilai deviasi/stock akhir teoritis) x 100%</t>
  </si>
  <si>
    <t>TASTY BEEF BBQ SET</t>
  </si>
  <si>
    <t>BEEF KIMCHI SET</t>
  </si>
  <si>
    <t>BEEF BULGOGI SET</t>
  </si>
  <si>
    <t>ADD BBQ TASTY BEEF 100 G</t>
  </si>
  <si>
    <t>PURCHASE</t>
  </si>
  <si>
    <t>STOCK AWAL</t>
  </si>
  <si>
    <t>STOCK AKHIR FISIK</t>
  </si>
  <si>
    <t>HASIL SO FISIK SEPTEMBER</t>
  </si>
  <si>
    <t>HITUNG DAGING STOCK FREEZER; STOCK BUTCHER;</t>
  </si>
  <si>
    <t>STOCK AKHIR</t>
  </si>
  <si>
    <t>WAGYU TOKUSEN BBQ SET</t>
  </si>
  <si>
    <t xml:space="preserve">CGPS0001  </t>
  </si>
  <si>
    <t>SOY GARLIC CHICKEN SET</t>
  </si>
  <si>
    <t xml:space="preserve">CGPS0002  </t>
  </si>
  <si>
    <t>SPICY YANGNYEOM CHICKEN SET</t>
  </si>
  <si>
    <t xml:space="preserve">CGPS0003  </t>
  </si>
  <si>
    <t>BBURINKLE CHEESE CHICKEN SET</t>
  </si>
  <si>
    <t xml:space="preserve">CGPS0004  </t>
  </si>
  <si>
    <t>SPICY MALA CHICKEN SET</t>
  </si>
  <si>
    <t xml:space="preserve">CGPS0005  </t>
  </si>
  <si>
    <t xml:space="preserve">CGPS0006  </t>
  </si>
  <si>
    <t xml:space="preserve">CGPS0007  </t>
  </si>
  <si>
    <t xml:space="preserve">CGPS0008  </t>
  </si>
  <si>
    <t>Add Chadol Bulgogi 150 g</t>
  </si>
  <si>
    <t>PURPLE RICE</t>
  </si>
  <si>
    <t>ADD TOKUSEN WAGYU 100GR</t>
  </si>
  <si>
    <t>ADD BBQ WAGYU TOKUSEN 100 G</t>
  </si>
  <si>
    <t>PRESENTASE BATAS ATAS/BAWAH</t>
  </si>
  <si>
    <t>Presentase Batas Atas/Batas Bawah</t>
  </si>
  <si>
    <t>CHEESE GIMBAP</t>
  </si>
  <si>
    <t>VEGETABLE BIBIMBAP</t>
  </si>
  <si>
    <t>psersentase beras JAPONICA dalam WIP nasi ungu</t>
  </si>
  <si>
    <t>psersentase beras JAPONICA dalam WIP nasi biasa</t>
  </si>
  <si>
    <t>presentaseNilai Ambang batas atas dan batas bawah</t>
  </si>
  <si>
    <t/>
  </si>
  <si>
    <t>LEZAT TIADA TARA</t>
  </si>
  <si>
    <t>item_sales - SALES</t>
  </si>
  <si>
    <t>Brand CHADOL GUJEOLPAN</t>
  </si>
  <si>
    <t>Menu_Code</t>
  </si>
  <si>
    <t>Menu_Name</t>
  </si>
  <si>
    <t>Group</t>
  </si>
  <si>
    <t>Category</t>
  </si>
  <si>
    <t>Item_Sold</t>
  </si>
  <si>
    <t>Price</t>
  </si>
  <si>
    <t>Gross_Sales</t>
  </si>
  <si>
    <t>Disc. Item</t>
  </si>
  <si>
    <t>Disc. Bill</t>
  </si>
  <si>
    <t>Net_Sales</t>
  </si>
  <si>
    <t>Service_Charge</t>
  </si>
  <si>
    <t>Tax</t>
  </si>
  <si>
    <t>Sales_Collected</t>
  </si>
  <si>
    <t xml:space="preserve">CGRD0001  </t>
  </si>
  <si>
    <t>COLD CORN TEA</t>
  </si>
  <si>
    <t>BEVERAGE</t>
  </si>
  <si>
    <t>REGULAR DRINKS</t>
  </si>
  <si>
    <t xml:space="preserve">CGPK0004  </t>
  </si>
  <si>
    <t>PLASTIK KECIL</t>
  </si>
  <si>
    <t>OTHER</t>
  </si>
  <si>
    <t>PACKAGING</t>
  </si>
  <si>
    <t xml:space="preserve">CGEX0001  </t>
  </si>
  <si>
    <t>FOOD</t>
  </si>
  <si>
    <t>EXTRAS</t>
  </si>
  <si>
    <t xml:space="preserve">CGPK0020  </t>
  </si>
  <si>
    <t>PACKAGING FEE</t>
  </si>
  <si>
    <t xml:space="preserve">CGPK0001  </t>
  </si>
  <si>
    <t>LUNCH BOX M</t>
  </si>
  <si>
    <t xml:space="preserve">CGPK0016  </t>
  </si>
  <si>
    <t>PAPER BOWL CHADOL</t>
  </si>
  <si>
    <t xml:space="preserve">CGRD0004  </t>
  </si>
  <si>
    <t>MINERAL WATER</t>
  </si>
  <si>
    <t xml:space="preserve">CGPK0015  </t>
  </si>
  <si>
    <t>GREASE PAPER</t>
  </si>
  <si>
    <t xml:space="preserve">CGPK0019  </t>
  </si>
  <si>
    <t>STICKER GIMBAP</t>
  </si>
  <si>
    <t xml:space="preserve">CGRD0002  </t>
  </si>
  <si>
    <t>HOT CORN TEA</t>
  </si>
  <si>
    <t xml:space="preserve">CGKD0004  </t>
  </si>
  <si>
    <t>MUSCAT (GREEN GRAPE) K-DRINK</t>
  </si>
  <si>
    <t>K-DRINKS</t>
  </si>
  <si>
    <t xml:space="preserve">CGGP0001  </t>
  </si>
  <si>
    <t>CHADOL SIGNATURE TASTY BEEF (REGULAR)</t>
  </si>
  <si>
    <t>CHADOL GUJEOLPAN</t>
  </si>
  <si>
    <t xml:space="preserve">CGSD0012  </t>
  </si>
  <si>
    <t>BBURINKLE CHEESE CHICKEN</t>
  </si>
  <si>
    <t>SIDES</t>
  </si>
  <si>
    <t xml:space="preserve">CGPK0005  </t>
  </si>
  <si>
    <t>PLASTIK BESAR</t>
  </si>
  <si>
    <t xml:space="preserve">CGTP0003  </t>
  </si>
  <si>
    <t>RAPOKKI</t>
  </si>
  <si>
    <t>TOKPOKKI</t>
  </si>
  <si>
    <t xml:space="preserve">CGRN0007  </t>
  </si>
  <si>
    <t>SUNDUBU JJIGAE (WITH RICE)</t>
  </si>
  <si>
    <t>RICE &amp; NOODLE</t>
  </si>
  <si>
    <t xml:space="preserve">CGSD0002  </t>
  </si>
  <si>
    <t>SOY GARLIC CHICKEN</t>
  </si>
  <si>
    <t xml:space="preserve">CGGB0003  </t>
  </si>
  <si>
    <t>GIMBAP</t>
  </si>
  <si>
    <t xml:space="preserve">CGGP0002  </t>
  </si>
  <si>
    <t>CHADOL SIGNATURE TASTY BEEF (LARGE)</t>
  </si>
  <si>
    <t xml:space="preserve">CGRN0002  </t>
  </si>
  <si>
    <t xml:space="preserve">CGRD0003  </t>
  </si>
  <si>
    <t>LEMON TEA</t>
  </si>
  <si>
    <t xml:space="preserve">CGKM0001  </t>
  </si>
  <si>
    <t>YUMMY KIDS MEAL</t>
  </si>
  <si>
    <t>KIDS MEAL</t>
  </si>
  <si>
    <t xml:space="preserve">CGKD0003  </t>
  </si>
  <si>
    <t>PEACH K-DRINK</t>
  </si>
  <si>
    <t xml:space="preserve">CGTP0002  </t>
  </si>
  <si>
    <t xml:space="preserve">CGPR0074  </t>
  </si>
  <si>
    <t>#FYP SUNDUBU JJIGAE (WITH RICE)</t>
  </si>
  <si>
    <t>PROMOTION</t>
  </si>
  <si>
    <t>SPECIAL PRICE</t>
  </si>
  <si>
    <t xml:space="preserve">CGTP0001  </t>
  </si>
  <si>
    <t>ORIGINAL TOKPOKKI</t>
  </si>
  <si>
    <t xml:space="preserve">CGGP0007  </t>
  </si>
  <si>
    <t xml:space="preserve">CGPR0081  </t>
  </si>
  <si>
    <t>#FYP CHAPOKKI</t>
  </si>
  <si>
    <t xml:space="preserve">CGPK0011  </t>
  </si>
  <si>
    <t>BENTO BOX 4S</t>
  </si>
  <si>
    <t xml:space="preserve">CGPK0012  </t>
  </si>
  <si>
    <t>LUNCH BOX S</t>
  </si>
  <si>
    <t xml:space="preserve">CGEX0027  </t>
  </si>
  <si>
    <t>ADD CABE RAWIT MERAH IRIS</t>
  </si>
  <si>
    <t xml:space="preserve">CGPR0080  </t>
  </si>
  <si>
    <t>#FYP BEEF JAPCHAE</t>
  </si>
  <si>
    <t xml:space="preserve">CGSD0010  </t>
  </si>
  <si>
    <t>MIXED TWIGIM</t>
  </si>
  <si>
    <t xml:space="preserve">CGTP0004  </t>
  </si>
  <si>
    <t>CHAPOKKI</t>
  </si>
  <si>
    <t xml:space="preserve">CGPK0006  </t>
  </si>
  <si>
    <t>SUMPIT TAKE AWAY</t>
  </si>
  <si>
    <t xml:space="preserve">CGPK0018  </t>
  </si>
  <si>
    <t>STICKER BENTO BOX</t>
  </si>
  <si>
    <t>PERSONAL SET</t>
  </si>
  <si>
    <t xml:space="preserve">CGRN0008  </t>
  </si>
  <si>
    <t>SUNDUBU JJIGAE (NO RICE)</t>
  </si>
  <si>
    <t xml:space="preserve">CGPR0045  </t>
  </si>
  <si>
    <t>PROMO CHADOL SIG TASTY BEEF (REG) 99K</t>
  </si>
  <si>
    <t xml:space="preserve">CGKD0015  </t>
  </si>
  <si>
    <t>LYCHEE K-DRINK</t>
  </si>
  <si>
    <t xml:space="preserve">CGSD0001  </t>
  </si>
  <si>
    <t>SPICY CHICKEN</t>
  </si>
  <si>
    <t xml:space="preserve">CGGB0001  </t>
  </si>
  <si>
    <t>ORIGINAL GIMBAP</t>
  </si>
  <si>
    <t xml:space="preserve">CGGP0003  </t>
  </si>
  <si>
    <t>CHADOL SIGNATURE TOKUSEN WAGYU (REGULAR)</t>
  </si>
  <si>
    <t xml:space="preserve">CGKD0010  </t>
  </si>
  <si>
    <t>JEJU ORANGE K-DRINK</t>
  </si>
  <si>
    <t xml:space="preserve">CGPR0082  </t>
  </si>
  <si>
    <t>#FYP BULGOGI GIMBAP</t>
  </si>
  <si>
    <t xml:space="preserve">CGRN0004  </t>
  </si>
  <si>
    <t xml:space="preserve">CGGB0008  </t>
  </si>
  <si>
    <t>HAM &amp; CHEESE GIMBAP</t>
  </si>
  <si>
    <t xml:space="preserve">CGGB0004  </t>
  </si>
  <si>
    <t>TUNA MAYO GIMBAP</t>
  </si>
  <si>
    <t xml:space="preserve">CGGP0004  </t>
  </si>
  <si>
    <t>CHADOL SIGNATURE TOKUSEN WAGYU (LARGE)</t>
  </si>
  <si>
    <t xml:space="preserve">CGEX0002  </t>
  </si>
  <si>
    <t>ADD KIMCHI 100 G</t>
  </si>
  <si>
    <t xml:space="preserve">CGEX0028  </t>
  </si>
  <si>
    <t>ADD MOZZARELLA</t>
  </si>
  <si>
    <t xml:space="preserve">CGRN0009  </t>
  </si>
  <si>
    <t>CHICKEN JAPCHAE</t>
  </si>
  <si>
    <t xml:space="preserve">CGSD0005  </t>
  </si>
  <si>
    <t>PAJEON</t>
  </si>
  <si>
    <t xml:space="preserve">CGJG0001  </t>
  </si>
  <si>
    <t>JJUGUMI</t>
  </si>
  <si>
    <t xml:space="preserve">CGPR0079  </t>
  </si>
  <si>
    <t>#FYP BULGOGI BIBIMBAP</t>
  </si>
  <si>
    <t xml:space="preserve">CGKD0001  </t>
  </si>
  <si>
    <t>WATERMELON K-DRINK</t>
  </si>
  <si>
    <t xml:space="preserve">CGRN0003  </t>
  </si>
  <si>
    <t>BEEF DOENJANG JJIGAE (WITH RICE)</t>
  </si>
  <si>
    <t xml:space="preserve">CGJG0002  </t>
  </si>
  <si>
    <t xml:space="preserve">CGKD0009  </t>
  </si>
  <si>
    <t>MANGO K-DRINK</t>
  </si>
  <si>
    <t xml:space="preserve">CGSD0006  </t>
  </si>
  <si>
    <t>GIMMARI</t>
  </si>
  <si>
    <t xml:space="preserve">CGEX0010  </t>
  </si>
  <si>
    <t>ADD WRAP 8 PCS</t>
  </si>
  <si>
    <t xml:space="preserve">CGPK0007  </t>
  </si>
  <si>
    <t>SENDOK TAKE AWAY</t>
  </si>
  <si>
    <t xml:space="preserve">CGSD0016  </t>
  </si>
  <si>
    <t>BBURINKLE CHEESE CHICKEN KATSU</t>
  </si>
  <si>
    <t xml:space="preserve">CGSD0018  </t>
  </si>
  <si>
    <t>NORI TWIGIM</t>
  </si>
  <si>
    <t xml:space="preserve">CGJG0003  </t>
  </si>
  <si>
    <t>ROSE JJUGUMI</t>
  </si>
  <si>
    <t xml:space="preserve">CGPK0009  </t>
  </si>
  <si>
    <t>SAUCE CUP</t>
  </si>
  <si>
    <t xml:space="preserve">CGRN0001  </t>
  </si>
  <si>
    <t xml:space="preserve">CGRN0010  </t>
  </si>
  <si>
    <t>SPICY BULDAK FRIED RICE</t>
  </si>
  <si>
    <t xml:space="preserve">CGSD0009  </t>
  </si>
  <si>
    <t>ENOKI TWIGIM</t>
  </si>
  <si>
    <t xml:space="preserve">CGKD0008  </t>
  </si>
  <si>
    <t>STRAWBERRY K-DRINK</t>
  </si>
  <si>
    <t xml:space="preserve">CGPR0078  </t>
  </si>
  <si>
    <t>#FYP SPICY BULDAK FRIED RICE</t>
  </si>
  <si>
    <t xml:space="preserve">CGRN0006  </t>
  </si>
  <si>
    <t>BEEF DOENJANG JJIGAE (NO RICE)</t>
  </si>
  <si>
    <t xml:space="preserve">CGRN0011  </t>
  </si>
  <si>
    <t xml:space="preserve">CGSD0013  </t>
  </si>
  <si>
    <t>SPICY BBQ CHICKEN</t>
  </si>
  <si>
    <t xml:space="preserve">CGGB0002  </t>
  </si>
  <si>
    <t>VEGETABLE GIMBAP</t>
  </si>
  <si>
    <t xml:space="preserve">CGJG0004  </t>
  </si>
  <si>
    <t xml:space="preserve">CGKD0005  </t>
  </si>
  <si>
    <t>KOREAN PEAR K-DRINK</t>
  </si>
  <si>
    <t xml:space="preserve">CGSD0014  </t>
  </si>
  <si>
    <t>JUMEOKBAP BALL</t>
  </si>
  <si>
    <t xml:space="preserve">CGGB0005  </t>
  </si>
  <si>
    <t>SPICY TUNA GIMBAP</t>
  </si>
  <si>
    <t xml:space="preserve">CGKD0012  </t>
  </si>
  <si>
    <t>GRAPES (PURPLE GRAPES) K-DRINK</t>
  </si>
  <si>
    <t xml:space="preserve">CGPK0013  </t>
  </si>
  <si>
    <t>CUP PLASTIK K-DRINK</t>
  </si>
  <si>
    <t xml:space="preserve">CGDG0001  </t>
  </si>
  <si>
    <t>CHICKEN DAKGALBI REGULER</t>
  </si>
  <si>
    <t>DAKGALBI</t>
  </si>
  <si>
    <t xml:space="preserve">CGGB0006  </t>
  </si>
  <si>
    <t xml:space="preserve">CGGP0005  </t>
  </si>
  <si>
    <t xml:space="preserve">CGDR0005  </t>
  </si>
  <si>
    <t>SOY GARLIC CHICKEN &amp; TOFU KIMCHI K-BENTO</t>
  </si>
  <si>
    <t>DOSIRAK</t>
  </si>
  <si>
    <t xml:space="preserve">CGKD0011  </t>
  </si>
  <si>
    <t>HONEY YUJA K-DRINK</t>
  </si>
  <si>
    <t xml:space="preserve">CGEX0009  </t>
  </si>
  <si>
    <t>ADD SUNNY LETTUCE 60 G</t>
  </si>
  <si>
    <t xml:space="preserve">CGGB0007  </t>
  </si>
  <si>
    <t xml:space="preserve">CGKD0006  </t>
  </si>
  <si>
    <t>ICE AMERICANO K-DRINK</t>
  </si>
  <si>
    <t xml:space="preserve">CGEX0036  </t>
  </si>
  <si>
    <t xml:space="preserve">CGPR0026  </t>
  </si>
  <si>
    <t>GIMBAP BIRTHDAY CAKE</t>
  </si>
  <si>
    <t xml:space="preserve">CGPR0028  </t>
  </si>
  <si>
    <t>BIRTHDAY KOREAN DRINK</t>
  </si>
  <si>
    <t xml:space="preserve">CGPR0076  </t>
  </si>
  <si>
    <t>#FYP BEEF KIMCHI FRIED RICE</t>
  </si>
  <si>
    <t xml:space="preserve">CGEX0032  </t>
  </si>
  <si>
    <t>ADD RADISH SLICE 16 PCS</t>
  </si>
  <si>
    <t xml:space="preserve">CGPR0075  </t>
  </si>
  <si>
    <t>#FYP BEEF DOENJANG JJIGAE (WITH RICE)</t>
  </si>
  <si>
    <t xml:space="preserve">CGPR0077  </t>
  </si>
  <si>
    <t>#FYP CHICKEN KIMCHI FRIED RICE</t>
  </si>
  <si>
    <t xml:space="preserve">CGSD0015  </t>
  </si>
  <si>
    <t>ORIGINAL CHICKEN KATSU</t>
  </si>
  <si>
    <t xml:space="preserve">CGDG0003  </t>
  </si>
  <si>
    <t>FRIED RAMYEON (DAKGALBI)</t>
  </si>
  <si>
    <t xml:space="preserve">CGSD0011  </t>
  </si>
  <si>
    <t>TOFU KIMCHI</t>
  </si>
  <si>
    <t xml:space="preserve">CGRN0005  </t>
  </si>
  <si>
    <t xml:space="preserve">CGSD0017  </t>
  </si>
  <si>
    <t>SPICY BBQ CHICKEN KATSU</t>
  </si>
  <si>
    <t xml:space="preserve">CGDG0002  </t>
  </si>
  <si>
    <t>CHICKEN DAKGALBI LARGE</t>
  </si>
  <si>
    <t xml:space="preserve">CGDR0008  </t>
  </si>
  <si>
    <t>DAKGALBI &amp; TOFU KIMCHI K-BENTO</t>
  </si>
  <si>
    <t xml:space="preserve">CGKD0002  </t>
  </si>
  <si>
    <t>KIWI K-DRINK</t>
  </si>
  <si>
    <t xml:space="preserve"> * MUSCAT (GREEN GRAPE) K-DRINK</t>
  </si>
  <si>
    <t xml:space="preserve">CGSD0007  </t>
  </si>
  <si>
    <t>VEGETABLE TWIGIM</t>
  </si>
  <si>
    <t xml:space="preserve">CGDR0006  </t>
  </si>
  <si>
    <t>SPICY CHICKEN &amp; TOFU KIMCHI K-BENTO</t>
  </si>
  <si>
    <t xml:space="preserve">CGEX0011  </t>
  </si>
  <si>
    <t>ADD SLICED BEEF 100 G</t>
  </si>
  <si>
    <t xml:space="preserve">CGDR0007  </t>
  </si>
  <si>
    <t>BULGOGI &amp; TOFU KIMCHI K-BENTO</t>
  </si>
  <si>
    <t xml:space="preserve">CGEX0003  </t>
  </si>
  <si>
    <t>ADD EGG (FINALE FRIED RICE)</t>
  </si>
  <si>
    <t xml:space="preserve">CGEX0019  </t>
  </si>
  <si>
    <t>ADD BULGOGI SAUCE 20G</t>
  </si>
  <si>
    <t xml:space="preserve">CGTP0006  </t>
  </si>
  <si>
    <t xml:space="preserve">CGDG0004  </t>
  </si>
  <si>
    <t>FRIED RICE (DAKGALBI)</t>
  </si>
  <si>
    <t xml:space="preserve">CGPK0003  </t>
  </si>
  <si>
    <t>BENTO BOX 5S</t>
  </si>
  <si>
    <t xml:space="preserve">CGTP0005  </t>
  </si>
  <si>
    <t>CHIJEU TOKPOKKI</t>
  </si>
  <si>
    <t xml:space="preserve">CGEX0004  </t>
  </si>
  <si>
    <t>ADD MINARI 50 G</t>
  </si>
  <si>
    <t xml:space="preserve">CGEX0014  </t>
  </si>
  <si>
    <t>ADD EGG GYERANJIM</t>
  </si>
  <si>
    <t xml:space="preserve">CGEX0031  </t>
  </si>
  <si>
    <t>ADD PERILLA LEAF 8 PCS</t>
  </si>
  <si>
    <t xml:space="preserve">CGPK0002  </t>
  </si>
  <si>
    <t>PAPER BOWL</t>
  </si>
  <si>
    <t xml:space="preserve">CGPK0021  </t>
  </si>
  <si>
    <t>TA CHARGE PROMO</t>
  </si>
  <si>
    <t xml:space="preserve">CGSD0020  </t>
  </si>
  <si>
    <t>FRIED MANDU 6 PCS</t>
  </si>
  <si>
    <t xml:space="preserve">CGEX0013  </t>
  </si>
  <si>
    <t>ADD CHADOL BULGOGI 150 G</t>
  </si>
  <si>
    <t xml:space="preserve">CGEX0034  </t>
  </si>
  <si>
    <t xml:space="preserve">CGEX0035  </t>
  </si>
  <si>
    <t xml:space="preserve"> * PEACH K-DRINK</t>
  </si>
  <si>
    <t xml:space="preserve">CGDG0005  </t>
  </si>
  <si>
    <t>TOKPOKKI (DAKGALBI)</t>
  </si>
  <si>
    <t xml:space="preserve">CGEX0005  </t>
  </si>
  <si>
    <t>ADD ENOKI 50 G</t>
  </si>
  <si>
    <t xml:space="preserve">CGEX0012  </t>
  </si>
  <si>
    <t xml:space="preserve">CGEX0033  </t>
  </si>
  <si>
    <t>ADD BAWANG PUTIH SLICE</t>
  </si>
  <si>
    <t xml:space="preserve">CGEX0040  </t>
  </si>
  <si>
    <t>ADD SEAWEED &amp; EGG SOUP</t>
  </si>
  <si>
    <t xml:space="preserve">CGGP0009  </t>
  </si>
  <si>
    <t>WAGYU FIRE KIMCHI</t>
  </si>
  <si>
    <t xml:space="preserve"> * KIWI K-DRINK</t>
  </si>
  <si>
    <t xml:space="preserve">CGTP0007  </t>
  </si>
  <si>
    <t>CHIJEU RAPOKKI</t>
  </si>
  <si>
    <t xml:space="preserve">CGTP0008  </t>
  </si>
  <si>
    <t>CHIJEU CHAPOKKI</t>
  </si>
  <si>
    <t>Total penjualan</t>
  </si>
  <si>
    <t>KALGUKSU</t>
  </si>
  <si>
    <t>JJAMPPONG</t>
  </si>
  <si>
    <t>JJAJANGMYEON</t>
  </si>
  <si>
    <t>ROSE KATSU JJAMPPONG</t>
  </si>
  <si>
    <t>CHEESE ROSE KATSU JJAMPPONG</t>
  </si>
  <si>
    <t>DRY KALGUKSU WITH BOILED MANDU</t>
  </si>
  <si>
    <t>DRY KALGUKSU WITH FRIED MANDU</t>
  </si>
  <si>
    <t xml:space="preserve">HGRD0001  </t>
  </si>
  <si>
    <t xml:space="preserve">HGRD0004  </t>
  </si>
  <si>
    <t xml:space="preserve">HGJP0001  </t>
  </si>
  <si>
    <t>SEAFOOD JJAMPPONG</t>
  </si>
  <si>
    <t xml:space="preserve">HGKG0001  </t>
  </si>
  <si>
    <t>MYEONDONG KALGUKSU (WITH KIMCHI)</t>
  </si>
  <si>
    <t xml:space="preserve">HGJP0002  </t>
  </si>
  <si>
    <t>BEEF JJAMPPONG</t>
  </si>
  <si>
    <t xml:space="preserve">HGRD0003  </t>
  </si>
  <si>
    <t xml:space="preserve">HGKM0001  </t>
  </si>
  <si>
    <t>KATSU KIDS MEAL</t>
  </si>
  <si>
    <t xml:space="preserve">HGJP0003  </t>
  </si>
  <si>
    <t>CHICKEN JJAMPPONG</t>
  </si>
  <si>
    <t xml:space="preserve">HGKG0002  </t>
  </si>
  <si>
    <t>BEEF KALGUKSU (WITH KIMCHI)</t>
  </si>
  <si>
    <t xml:space="preserve">HGSD0012  </t>
  </si>
  <si>
    <t xml:space="preserve">HGKD0003  </t>
  </si>
  <si>
    <t xml:space="preserve">HGJJ0001  </t>
  </si>
  <si>
    <t xml:space="preserve"> * CHICKEN JJAMPPONG</t>
  </si>
  <si>
    <t xml:space="preserve">HGKD0011  </t>
  </si>
  <si>
    <t xml:space="preserve">HGKD0014  </t>
  </si>
  <si>
    <t xml:space="preserve">HGRD0002  </t>
  </si>
  <si>
    <t xml:space="preserve">HGSD0002  </t>
  </si>
  <si>
    <t xml:space="preserve">HGPK0006  </t>
  </si>
  <si>
    <t>PLASTIK TAKE AWAY KECIL</t>
  </si>
  <si>
    <t xml:space="preserve">HGKD0001  </t>
  </si>
  <si>
    <t xml:space="preserve">HGPR0012  </t>
  </si>
  <si>
    <t>PROMO SEAFOOD JJAMPPONG 35K</t>
  </si>
  <si>
    <t xml:space="preserve">HGSD0009  </t>
  </si>
  <si>
    <t xml:space="preserve">HGJP0008  </t>
  </si>
  <si>
    <t xml:space="preserve">HGJJ0003  </t>
  </si>
  <si>
    <t>SPICY JJAJANGMYEON GORENG</t>
  </si>
  <si>
    <t xml:space="preserve">HGJP0004  </t>
  </si>
  <si>
    <t>SEAFOOD WHITE JJAMPPONG</t>
  </si>
  <si>
    <t xml:space="preserve">HGKD0002  </t>
  </si>
  <si>
    <t xml:space="preserve">HGKD0005  </t>
  </si>
  <si>
    <t xml:space="preserve">HGSD0018  </t>
  </si>
  <si>
    <t>MANDU-GUK (SMALL)</t>
  </si>
  <si>
    <t xml:space="preserve">HGJP0007  </t>
  </si>
  <si>
    <t xml:space="preserve">HGKD0006  </t>
  </si>
  <si>
    <t xml:space="preserve">HGKD0009  </t>
  </si>
  <si>
    <t xml:space="preserve">HGFS0001  </t>
  </si>
  <si>
    <t>SEAFOOD JJAMPPONG TEK TEK</t>
  </si>
  <si>
    <t>OUR CREATION</t>
  </si>
  <si>
    <t xml:space="preserve">HGKG0003  </t>
  </si>
  <si>
    <t xml:space="preserve">HGSD0011  </t>
  </si>
  <si>
    <t>EGG</t>
  </si>
  <si>
    <t xml:space="preserve">HGSD0019  </t>
  </si>
  <si>
    <t>MANDU-GUK (LARGE)</t>
  </si>
  <si>
    <t xml:space="preserve">HGFR0002  </t>
  </si>
  <si>
    <t>CHEESE BULDAK FRIED RICE</t>
  </si>
  <si>
    <t>FRIED RICE</t>
  </si>
  <si>
    <t xml:space="preserve">HGKD0007  </t>
  </si>
  <si>
    <t xml:space="preserve">HGKD0008  </t>
  </si>
  <si>
    <t xml:space="preserve">HGSD0003  </t>
  </si>
  <si>
    <t>CHICKEN TANGSUYUK</t>
  </si>
  <si>
    <t xml:space="preserve">HGPK0001  </t>
  </si>
  <si>
    <t xml:space="preserve">HGPK0010  </t>
  </si>
  <si>
    <t xml:space="preserve">HGFR0005  </t>
  </si>
  <si>
    <t>BLACK JJAJANG FRIED RICE</t>
  </si>
  <si>
    <t xml:space="preserve">HGPK0004  </t>
  </si>
  <si>
    <t xml:space="preserve">HGSD0004  </t>
  </si>
  <si>
    <t>KKANPUNGGI</t>
  </si>
  <si>
    <t xml:space="preserve">HGJP0006  </t>
  </si>
  <si>
    <t>CHICKEN WHITE JJAMPPONG</t>
  </si>
  <si>
    <t xml:space="preserve">HGPK0009  </t>
  </si>
  <si>
    <t xml:space="preserve">HGPR0010  </t>
  </si>
  <si>
    <t>PROMO RABU KALGUKSU</t>
  </si>
  <si>
    <t xml:space="preserve">HGSD0013  </t>
  </si>
  <si>
    <t>KIMCHI (60G)</t>
  </si>
  <si>
    <t xml:space="preserve">HGKD0004  </t>
  </si>
  <si>
    <t xml:space="preserve">HGPK0011  </t>
  </si>
  <si>
    <t xml:space="preserve">HGSD0007  </t>
  </si>
  <si>
    <t xml:space="preserve">HGJP0005  </t>
  </si>
  <si>
    <t>BEEF WHITE JJAMPPONG</t>
  </si>
  <si>
    <t xml:space="preserve">HGSD0001  </t>
  </si>
  <si>
    <t>FRIED MANDU 2 PCS</t>
  </si>
  <si>
    <t xml:space="preserve">HGSD0006  </t>
  </si>
  <si>
    <t xml:space="preserve">HGPK0002  </t>
  </si>
  <si>
    <t xml:space="preserve">HGSD0020  </t>
  </si>
  <si>
    <t>SHRIMP KKANPUNGGI</t>
  </si>
  <si>
    <t xml:space="preserve">HGSD0021  </t>
  </si>
  <si>
    <t>SHRIMP KIMCHI MAYO</t>
  </si>
  <si>
    <t xml:space="preserve">HGSD0022  </t>
  </si>
  <si>
    <t>SHRIMP BBURINKLE CHEESE</t>
  </si>
  <si>
    <t xml:space="preserve">HGDR0001  </t>
  </si>
  <si>
    <t>BEEF HAM SHAKE SHAKE DOSIRAK</t>
  </si>
  <si>
    <t xml:space="preserve">HGFR0003  </t>
  </si>
  <si>
    <t xml:space="preserve">HGKG0004  </t>
  </si>
  <si>
    <t xml:space="preserve">HGFR0001  </t>
  </si>
  <si>
    <t xml:space="preserve">HGFS0002  </t>
  </si>
  <si>
    <t>CHICKEN JJAMPPONG TEK TEK</t>
  </si>
  <si>
    <t xml:space="preserve">HGJC0001  </t>
  </si>
  <si>
    <t>JAPCHAE</t>
  </si>
  <si>
    <t xml:space="preserve">HGSD0010  </t>
  </si>
  <si>
    <t xml:space="preserve">HGFS0004  </t>
  </si>
  <si>
    <t>CRISPY CHICKEN JJAMPPONG</t>
  </si>
  <si>
    <t xml:space="preserve">HGKD0012  </t>
  </si>
  <si>
    <t xml:space="preserve">HGJC0002  </t>
  </si>
  <si>
    <t xml:space="preserve">HGFR0004  </t>
  </si>
  <si>
    <t>KIMCHEESE FRIED RICE</t>
  </si>
  <si>
    <t xml:space="preserve">HGPK0007  </t>
  </si>
  <si>
    <t>PLASTIK TAKE AWAY BESAR</t>
  </si>
  <si>
    <t xml:space="preserve">HGSD0017  </t>
  </si>
  <si>
    <t xml:space="preserve">HGPK0008  </t>
  </si>
  <si>
    <t xml:space="preserve">HGFS0003  </t>
  </si>
  <si>
    <t>CRISPY SEAFOOD JJAMPPONG</t>
  </si>
  <si>
    <t xml:space="preserve">HGSD0008  </t>
  </si>
  <si>
    <t xml:space="preserve">HGRC0001  </t>
  </si>
  <si>
    <t>KKANPUNGGI RICE SET</t>
  </si>
  <si>
    <t xml:space="preserve">HGRC0002  </t>
  </si>
  <si>
    <t>KKANPUNGG CHICKEN &amp; SHRIMP RICE SET</t>
  </si>
  <si>
    <t xml:space="preserve">HGRC0003  </t>
  </si>
  <si>
    <t>ORIGINAL KATSU RICE SET</t>
  </si>
  <si>
    <t xml:space="preserve">HGRC0004  </t>
  </si>
  <si>
    <t>BBURINKLE KATSU RICE SET</t>
  </si>
  <si>
    <t xml:space="preserve">HGRC0005  </t>
  </si>
  <si>
    <t>JJAJANG KATSU RICE</t>
  </si>
  <si>
    <t xml:space="preserve">HGRC0006  </t>
  </si>
  <si>
    <t>SPICY BBQ KATSU RICE SET</t>
  </si>
  <si>
    <t>NORI TWIGIM 1 PCS</t>
  </si>
  <si>
    <t>Brand HANGUKSU</t>
  </si>
  <si>
    <t>OTHERS</t>
  </si>
  <si>
    <t xml:space="preserve"> * COLD CORN TEA</t>
  </si>
  <si>
    <t xml:space="preserve"> * HOT CORN TEA</t>
  </si>
  <si>
    <t>ICED LEMON TEA</t>
  </si>
  <si>
    <t>MINERAL WATER 600ML</t>
  </si>
  <si>
    <t xml:space="preserve">VCR0001   </t>
  </si>
  <si>
    <t>VOUCHER HANGUKSU 50K</t>
  </si>
  <si>
    <t>VOUCHERS</t>
  </si>
  <si>
    <t>1 pcs</t>
  </si>
  <si>
    <t>1pcs</t>
  </si>
  <si>
    <t xml:space="preserve">CGEX0030  </t>
  </si>
  <si>
    <t>ADD MAYONAISE</t>
  </si>
  <si>
    <t xml:space="preserve">CGPK0008  </t>
  </si>
  <si>
    <t>GARPU TAKE AWAY</t>
  </si>
  <si>
    <t xml:space="preserve">CGPR0030  </t>
  </si>
  <si>
    <t>FREE MOZZARELLA</t>
  </si>
  <si>
    <t xml:space="preserve">CGEX0007  </t>
  </si>
  <si>
    <t>ADD TAUGE NAMUL 50 G</t>
  </si>
  <si>
    <t xml:space="preserve">CGEX0039  </t>
  </si>
  <si>
    <t>ADD SAMGOGI SAUCE 20 G</t>
  </si>
  <si>
    <t>SR/OUT</t>
  </si>
  <si>
    <t xml:space="preserve">CGPK0010  </t>
  </si>
  <si>
    <t>PACKAGING CHARGE</t>
  </si>
  <si>
    <t>SR IN</t>
  </si>
  <si>
    <t>CG0701/RCV/2410/005</t>
  </si>
  <si>
    <t>CG0701/RCV/2410/019</t>
  </si>
  <si>
    <t>CG0701/RCV/2410/043</t>
  </si>
  <si>
    <t>CG0701/RCV/2410/061</t>
  </si>
  <si>
    <t>Outlet CHADOL GUJEOLPAN BINTARO JAYA XCHANGE - CHADOL GUJEOLPAN BINTARO JAYA XCHANGE</t>
  </si>
  <si>
    <t>Date 01-10-2024-21-10-2024</t>
  </si>
  <si>
    <t>Download at: 29-10-2024 14:53:14</t>
  </si>
  <si>
    <t xml:space="preserve">CGEX0008  </t>
  </si>
  <si>
    <t>ADD SHIITAKE MARINATED 30 G</t>
  </si>
  <si>
    <t>CG0801/RCV/2410/013</t>
  </si>
  <si>
    <t xml:space="preserve">	
CG0801/RCV/2410/030</t>
  </si>
  <si>
    <t xml:space="preserve">	
CG0801/RCV/2410/042</t>
  </si>
  <si>
    <t>CG0801/RCV/2410/049</t>
  </si>
  <si>
    <t>SR/IN</t>
  </si>
  <si>
    <t xml:space="preserve">	
HG0301/DOR/2410/011</t>
  </si>
  <si>
    <t xml:space="preserve">	
CG0801/DOR/2410/007</t>
  </si>
  <si>
    <t>S/R To CGSMS</t>
  </si>
  <si>
    <t>S/R From HGBXC</t>
  </si>
  <si>
    <t>CG0801/RCV/2410/005</t>
  </si>
  <si>
    <t xml:space="preserve">	
CG0801/RCV/2410/025</t>
  </si>
  <si>
    <t>CG0801/RCV/2410/043</t>
  </si>
  <si>
    <t>Outlet HANGUKSU BINTARO JAYA XCHANGE - HANGUKSU BINTARO JAYA XCHANGE</t>
  </si>
  <si>
    <t>Download at: 29-10-2024 18:11:27</t>
  </si>
  <si>
    <t xml:space="preserve">HGPR0022  </t>
  </si>
  <si>
    <t>PAKET CHICKEN JJAMPPONG + CORN TEA</t>
  </si>
  <si>
    <t>SHAKE SHAKE DOSIRAK</t>
  </si>
  <si>
    <t xml:space="preserve">HGPK0005  </t>
  </si>
  <si>
    <t xml:space="preserve">HGPK0013  </t>
  </si>
  <si>
    <t xml:space="preserve">	
TR0201/DOR/2410/025</t>
  </si>
  <si>
    <t xml:space="preserve">	
TR0201/DOR/2410/040</t>
  </si>
  <si>
    <t xml:space="preserve">	
TR0201/DOR/2410/050</t>
  </si>
  <si>
    <t xml:space="preserve">	
TR0201/DOR/2410/071</t>
  </si>
  <si>
    <t xml:space="preserve">	
HG0301/RCV/2410/014</t>
  </si>
  <si>
    <t xml:space="preserve">	
HG0301/RCV/2410/034</t>
  </si>
  <si>
    <t xml:space="preserve">	
HG0301/DOR/2410/012</t>
  </si>
  <si>
    <t>PURCHASE RECEIVING</t>
  </si>
  <si>
    <t xml:space="preserve">STOCK AWAL </t>
  </si>
  <si>
    <t>HG0301/RCV/2410/028</t>
  </si>
  <si>
    <t>'</t>
  </si>
  <si>
    <t>Chuck Crest</t>
  </si>
  <si>
    <t>Tokusen Wagyu</t>
  </si>
  <si>
    <t>Beef Ham</t>
  </si>
  <si>
    <t>Beras</t>
  </si>
  <si>
    <t>Telur Geranjim</t>
  </si>
  <si>
    <t>PERIODE</t>
  </si>
  <si>
    <t>OUTLET</t>
  </si>
  <si>
    <t>CGATB</t>
  </si>
  <si>
    <t>1/10/2024-12/10/2024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</si>
</sst>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General&quot;%&quot;"/>
    <numFmt numFmtId="165" formatCode="General\ &quot;KG&quot;"/>
    <numFmt numFmtId="166" formatCode="General\ &quot;%&quot;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 Light"/>
      <family val="2"/>
      <scheme val="major"/>
    </font>
    <font>
      <b/>
      <sz val="12"/>
      <name val="Calibri"/>
      <family val="2"/>
    </font>
    <font>
      <sz val="12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7"/>
      <color theme="1"/>
      <name val="Nunito Sans"/>
    </font>
  </fonts>
  <fills count="1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45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2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" fillId="5" borderId="0" xfId="0" applyFont="1" applyFill="1" applyAlignment="1">
      <alignment horizontal="center"/>
    </xf>
    <xf numFmtId="0" fontId="0" fillId="6" borderId="0" xfId="0" applyFill="1"/>
    <xf numFmtId="0" fontId="1" fillId="7" borderId="0" xfId="0" applyFont="1" applyFill="1" applyAlignment="1">
      <alignment horizontal="center"/>
    </xf>
    <xf numFmtId="0" fontId="3" fillId="0" borderId="0" xfId="0" applyFont="1"/>
    <xf numFmtId="0" fontId="1" fillId="0" borderId="5" xfId="0" applyFont="1" applyBorder="1" applyAlignment="1">
      <alignment horizontal="center" vertical="center" wrapText="1"/>
    </xf>
    <xf numFmtId="49" fontId="1" fillId="0" borderId="5" xfId="0" applyNumberFormat="1" applyFont="1" applyBorder="1" applyAlignment="1">
      <alignment horizontal="center" vertical="center" wrapText="1"/>
    </xf>
    <xf numFmtId="0" fontId="1" fillId="6" borderId="5" xfId="0" applyFont="1" applyFill="1" applyBorder="1" applyAlignment="1">
      <alignment horizontal="center" vertical="center" wrapText="1"/>
    </xf>
    <xf numFmtId="0" fontId="1" fillId="7" borderId="5" xfId="0" applyFont="1" applyFill="1" applyBorder="1" applyAlignment="1">
      <alignment horizontal="center" vertical="center" wrapText="1"/>
    </xf>
    <xf numFmtId="0" fontId="1" fillId="8" borderId="5" xfId="0" applyFont="1" applyFill="1" applyBorder="1" applyAlignment="1">
      <alignment horizontal="center" vertical="center" wrapText="1"/>
    </xf>
    <xf numFmtId="0" fontId="1" fillId="9" borderId="5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9" fontId="1" fillId="0" borderId="8" xfId="0" applyNumberFormat="1" applyFont="1" applyBorder="1"/>
    <xf numFmtId="9" fontId="1" fillId="0" borderId="0" xfId="0" applyNumberFormat="1" applyFont="1" applyBorder="1"/>
    <xf numFmtId="9" fontId="1" fillId="0" borderId="13" xfId="0" applyNumberFormat="1" applyFont="1" applyBorder="1"/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/>
    </xf>
    <xf numFmtId="9" fontId="0" fillId="0" borderId="8" xfId="0" applyNumberFormat="1" applyBorder="1" applyAlignment="1">
      <alignment horizontal="center"/>
    </xf>
    <xf numFmtId="9" fontId="0" fillId="0" borderId="0" xfId="0" applyNumberFormat="1" applyBorder="1" applyAlignment="1">
      <alignment horizontal="center"/>
    </xf>
    <xf numFmtId="9" fontId="0" fillId="0" borderId="13" xfId="0" applyNumberFormat="1" applyBorder="1" applyAlignment="1">
      <alignment horizontal="center"/>
    </xf>
    <xf numFmtId="0" fontId="0" fillId="0" borderId="8" xfId="0" applyNumberFormat="1" applyBorder="1"/>
    <xf numFmtId="0" fontId="0" fillId="0" borderId="0" xfId="0" applyNumberFormat="1" applyBorder="1"/>
    <xf numFmtId="0" fontId="1" fillId="6" borderId="0" xfId="0" applyFont="1" applyFill="1"/>
    <xf numFmtId="0" fontId="1" fillId="0" borderId="0" xfId="0" applyFont="1" applyFill="1" applyAlignment="1">
      <alignment horizontal="center"/>
    </xf>
    <xf numFmtId="0" fontId="1" fillId="0" borderId="15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49" fontId="1" fillId="0" borderId="8" xfId="0" applyNumberFormat="1" applyFont="1" applyBorder="1" applyAlignment="1">
      <alignment horizontal="center" vertical="center" wrapText="1"/>
    </xf>
    <xf numFmtId="0" fontId="1" fillId="6" borderId="8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1" fillId="9" borderId="8" xfId="0" applyFont="1" applyFill="1" applyBorder="1" applyAlignment="1">
      <alignment horizontal="center" vertical="center" wrapText="1"/>
    </xf>
    <xf numFmtId="0" fontId="1" fillId="4" borderId="0" xfId="0" applyFont="1" applyFill="1" applyBorder="1" applyAlignment="1">
      <alignment horizontal="center"/>
    </xf>
    <xf numFmtId="9" fontId="0" fillId="0" borderId="8" xfId="0" applyNumberFormat="1" applyBorder="1" applyAlignment="1">
      <alignment horizontal="center" vertical="center"/>
    </xf>
    <xf numFmtId="9" fontId="0" fillId="0" borderId="0" xfId="0" applyNumberFormat="1" applyBorder="1" applyAlignment="1">
      <alignment horizontal="center" vertical="center"/>
    </xf>
    <xf numFmtId="9" fontId="0" fillId="0" borderId="13" xfId="0" applyNumberFormat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0" borderId="0" xfId="0" applyFont="1" applyFill="1" applyBorder="1"/>
    <xf numFmtId="0" fontId="0" fillId="6" borderId="0" xfId="0" applyFill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5" borderId="0" xfId="0" applyFill="1"/>
    <xf numFmtId="14" fontId="0" fillId="0" borderId="0" xfId="0" applyNumberFormat="1" applyAlignment="1">
      <alignment horizontal="center" vertical="center"/>
    </xf>
    <xf numFmtId="0" fontId="0" fillId="0" borderId="3" xfId="0" applyBorder="1"/>
    <xf numFmtId="0" fontId="1" fillId="0" borderId="9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/>
    </xf>
    <xf numFmtId="4" fontId="0" fillId="0" borderId="0" xfId="0" applyNumberFormat="1" applyBorder="1" applyAlignment="1">
      <alignment horizontal="center"/>
    </xf>
    <xf numFmtId="4" fontId="0" fillId="0" borderId="13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49" fontId="1" fillId="0" borderId="6" xfId="0" applyNumberFormat="1" applyFont="1" applyBorder="1" applyAlignment="1">
      <alignment horizontal="center" vertical="center" wrapText="1"/>
    </xf>
    <xf numFmtId="0" fontId="5" fillId="0" borderId="0" xfId="0" applyFont="1"/>
    <xf numFmtId="0" fontId="5" fillId="0" borderId="0" xfId="0" applyFont="1" applyAlignment="1">
      <alignment horizontal="right"/>
    </xf>
    <xf numFmtId="39" fontId="6" fillId="0" borderId="0" xfId="0" applyNumberFormat="1" applyFont="1" applyAlignment="1">
      <alignment horizontal="right"/>
    </xf>
    <xf numFmtId="0" fontId="2" fillId="3" borderId="7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3" xfId="0" applyBorder="1"/>
    <xf numFmtId="0" fontId="0" fillId="0" borderId="1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4" fontId="0" fillId="0" borderId="0" xfId="0" applyNumberFormat="1" applyFill="1" applyBorder="1" applyAlignment="1">
      <alignment horizontal="center"/>
    </xf>
    <xf numFmtId="0" fontId="0" fillId="0" borderId="0" xfId="0" applyFill="1"/>
    <xf numFmtId="0" fontId="1" fillId="0" borderId="0" xfId="0" applyFont="1" applyFill="1" applyBorder="1" applyAlignment="1">
      <alignment horizontal="center"/>
    </xf>
    <xf numFmtId="166" fontId="0" fillId="0" borderId="0" xfId="0" applyNumberFormat="1" applyBorder="1" applyAlignment="1">
      <alignment horizontal="center" vertical="center"/>
    </xf>
    <xf numFmtId="0" fontId="0" fillId="0" borderId="10" xfId="0" applyBorder="1"/>
    <xf numFmtId="0" fontId="0" fillId="0" borderId="0" xfId="0" applyBorder="1"/>
    <xf numFmtId="0" fontId="0" fillId="0" borderId="12" xfId="0" applyBorder="1"/>
    <xf numFmtId="0" fontId="0" fillId="0" borderId="13" xfId="0" applyFill="1" applyBorder="1" applyAlignment="1">
      <alignment horizontal="center"/>
    </xf>
    <xf numFmtId="4" fontId="0" fillId="0" borderId="13" xfId="0" applyNumberFormat="1" applyFill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0" fillId="0" borderId="1" xfId="0" applyBorder="1"/>
    <xf numFmtId="0" fontId="0" fillId="0" borderId="17" xfId="0" applyBorder="1"/>
    <xf numFmtId="0" fontId="1" fillId="4" borderId="18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7" xfId="0" applyBorder="1" applyAlignment="1">
      <alignment horizontal="center"/>
    </xf>
    <xf numFmtId="9" fontId="0" fillId="0" borderId="17" xfId="0" applyNumberFormat="1" applyBorder="1" applyAlignment="1">
      <alignment horizontal="center"/>
    </xf>
    <xf numFmtId="4" fontId="0" fillId="0" borderId="17" xfId="0" applyNumberFormat="1" applyBorder="1" applyAlignment="1">
      <alignment horizontal="center"/>
    </xf>
    <xf numFmtId="0" fontId="0" fillId="0" borderId="2" xfId="0" applyBorder="1"/>
    <xf numFmtId="0" fontId="0" fillId="0" borderId="22" xfId="0" applyBorder="1"/>
    <xf numFmtId="0" fontId="1" fillId="4" borderId="23" xfId="0" applyFont="1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9" fontId="0" fillId="0" borderId="16" xfId="0" applyNumberFormat="1" applyBorder="1" applyAlignment="1">
      <alignment horizontal="center"/>
    </xf>
    <xf numFmtId="4" fontId="0" fillId="0" borderId="16" xfId="0" applyNumberFormat="1" applyFill="1" applyBorder="1" applyAlignment="1">
      <alignment horizontal="center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 wrapText="1"/>
    </xf>
    <xf numFmtId="49" fontId="1" fillId="0" borderId="27" xfId="0" applyNumberFormat="1" applyFont="1" applyBorder="1" applyAlignment="1">
      <alignment horizontal="center" vertical="center" wrapText="1"/>
    </xf>
    <xf numFmtId="0" fontId="1" fillId="6" borderId="27" xfId="0" applyFont="1" applyFill="1" applyBorder="1" applyAlignment="1">
      <alignment horizontal="center" vertical="center" wrapText="1"/>
    </xf>
    <xf numFmtId="0" fontId="1" fillId="7" borderId="27" xfId="0" applyFont="1" applyFill="1" applyBorder="1" applyAlignment="1">
      <alignment horizontal="center" vertical="center" wrapText="1"/>
    </xf>
    <xf numFmtId="0" fontId="1" fillId="8" borderId="27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/>
    </xf>
    <xf numFmtId="0" fontId="1" fillId="4" borderId="21" xfId="0" applyFont="1" applyFill="1" applyBorder="1" applyAlignment="1">
      <alignment horizontal="center"/>
    </xf>
    <xf numFmtId="0" fontId="1" fillId="4" borderId="25" xfId="0" applyFont="1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1" fillId="0" borderId="17" xfId="0" applyFont="1" applyFill="1" applyBorder="1" applyAlignment="1">
      <alignment horizontal="center"/>
    </xf>
    <xf numFmtId="4" fontId="1" fillId="6" borderId="0" xfId="0" applyNumberFormat="1" applyFont="1" applyFill="1" applyBorder="1" applyAlignment="1">
      <alignment horizontal="center"/>
    </xf>
    <xf numFmtId="14" fontId="0" fillId="0" borderId="0" xfId="0" applyNumberFormat="1" applyFill="1"/>
    <xf numFmtId="0" fontId="0" fillId="10" borderId="0" xfId="0" applyFill="1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11" borderId="0" xfId="0" applyFill="1"/>
    <xf numFmtId="0" fontId="1" fillId="6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14" fontId="9" fillId="0" borderId="0" xfId="0" applyNumberFormat="1" applyFont="1"/>
    <xf numFmtId="0" fontId="1" fillId="2" borderId="0" xfId="0" applyFont="1" applyFill="1"/>
    <xf numFmtId="0" fontId="0" fillId="0" borderId="0" xfId="0" applyFill="1" applyAlignment="1">
      <alignment horizontal="center" vertical="center"/>
    </xf>
    <xf numFmtId="14" fontId="9" fillId="0" borderId="0" xfId="0" applyNumberFormat="1" applyFont="1" applyAlignment="1">
      <alignment horizontal="center"/>
    </xf>
    <xf numFmtId="0" fontId="0" fillId="12" borderId="0" xfId="0" applyFill="1"/>
    <xf numFmtId="165" fontId="0" fillId="0" borderId="8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165" fontId="1" fillId="0" borderId="8" xfId="0" applyNumberFormat="1" applyFont="1" applyBorder="1" applyAlignment="1">
      <alignment horizontal="center" vertical="center"/>
    </xf>
    <xf numFmtId="165" fontId="1" fillId="0" borderId="0" xfId="0" applyNumberFormat="1" applyFont="1" applyBorder="1" applyAlignment="1">
      <alignment horizontal="center" vertical="center"/>
    </xf>
    <xf numFmtId="165" fontId="1" fillId="0" borderId="13" xfId="0" applyNumberFormat="1" applyFon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5" fontId="0" fillId="0" borderId="8" xfId="0" applyNumberFormat="1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/>
    </xf>
    <xf numFmtId="165" fontId="0" fillId="0" borderId="13" xfId="0" applyNumberFormat="1" applyFill="1" applyBorder="1" applyAlignment="1">
      <alignment horizontal="center" vertical="center"/>
    </xf>
    <xf numFmtId="166" fontId="0" fillId="0" borderId="9" xfId="0" applyNumberFormat="1" applyBorder="1" applyAlignment="1">
      <alignment horizontal="center" vertical="center"/>
    </xf>
    <xf numFmtId="166" fontId="0" fillId="0" borderId="11" xfId="0" applyNumberFormat="1" applyBorder="1" applyAlignment="1">
      <alignment horizontal="center" vertical="center"/>
    </xf>
    <xf numFmtId="166" fontId="0" fillId="0" borderId="14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6" fontId="0" fillId="0" borderId="30" xfId="0" applyNumberFormat="1" applyBorder="1" applyAlignment="1">
      <alignment horizontal="center" vertical="center"/>
    </xf>
    <xf numFmtId="166" fontId="0" fillId="0" borderId="21" xfId="0" applyNumberFormat="1" applyBorder="1" applyAlignment="1">
      <alignment horizontal="center" vertical="center"/>
    </xf>
    <xf numFmtId="166" fontId="0" fillId="0" borderId="25" xfId="0" applyNumberFormat="1" applyBorder="1" applyAlignment="1">
      <alignment horizontal="center" vertical="center"/>
    </xf>
    <xf numFmtId="165" fontId="0" fillId="0" borderId="17" xfId="0" applyNumberFormat="1" applyBorder="1" applyAlignment="1">
      <alignment horizontal="center" vertical="center"/>
    </xf>
    <xf numFmtId="166" fontId="0" fillId="0" borderId="20" xfId="0" applyNumberFormat="1" applyBorder="1" applyAlignment="1">
      <alignment horizontal="center" vertical="center"/>
    </xf>
    <xf numFmtId="0" fontId="0" fillId="0" borderId="0" xfId="0" quotePrefix="1"/>
    <xf numFmtId="0" fontId="0" fillId="0" borderId="13" xfId="0" applyNumberFormat="1" applyBorder="1"/>
    <xf numFmtId="0" fontId="1" fillId="0" borderId="6" xfId="0" applyFont="1" applyBorder="1" applyAlignment="1">
      <alignment horizontal="center" vertical="center"/>
    </xf>
    <xf numFmtId="0" fontId="1" fillId="4" borderId="31" xfId="0" applyFont="1" applyFill="1" applyBorder="1" applyAlignment="1">
      <alignment horizontal="center"/>
    </xf>
    <xf numFmtId="0" fontId="1" fillId="4" borderId="32" xfId="0" applyFont="1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2" fillId="3" borderId="8" xfId="0" applyFont="1" applyFill="1" applyBorder="1" applyAlignment="1">
      <alignment horizontal="center" vertical="center"/>
    </xf>
    <xf numFmtId="0" fontId="2" fillId="0" borderId="3" xfId="0" applyNumberFormat="1" applyFont="1" applyBorder="1" applyAlignment="1">
      <alignment horizontal="center" vertical="center" wrapText="1"/>
    </xf>
    <xf numFmtId="0" fontId="1" fillId="0" borderId="33" xfId="0" applyFont="1" applyBorder="1"/>
    <xf numFmtId="0" fontId="1" fillId="0" borderId="34" xfId="0" applyFont="1" applyBorder="1"/>
    <xf numFmtId="0" fontId="1" fillId="0" borderId="35" xfId="0" applyFont="1" applyBorder="1"/>
    <xf numFmtId="0" fontId="0" fillId="0" borderId="33" xfId="0" applyBorder="1"/>
    <xf numFmtId="0" fontId="0" fillId="0" borderId="34" xfId="0" applyBorder="1"/>
    <xf numFmtId="0" fontId="1" fillId="0" borderId="34" xfId="0" applyFont="1" applyFill="1" applyBorder="1" applyAlignment="1">
      <alignment horizontal="center"/>
    </xf>
    <xf numFmtId="0" fontId="1" fillId="0" borderId="35" xfId="0" applyFont="1" applyFill="1" applyBorder="1" applyAlignment="1">
      <alignment horizontal="center"/>
    </xf>
    <xf numFmtId="0" fontId="1" fillId="0" borderId="36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/>
    </xf>
    <xf numFmtId="0" fontId="1" fillId="0" borderId="37" xfId="0" applyFont="1" applyFill="1" applyBorder="1" applyAlignment="1">
      <alignment horizontal="center"/>
    </xf>
    <xf numFmtId="0" fontId="1" fillId="0" borderId="38" xfId="0" applyFont="1" applyFill="1" applyBorder="1" applyAlignment="1">
      <alignment horizont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1" fillId="4" borderId="42" xfId="0" applyFont="1" applyFill="1" applyBorder="1" applyAlignment="1">
      <alignment horizontal="center" vertical="center"/>
    </xf>
    <xf numFmtId="0" fontId="1" fillId="4" borderId="43" xfId="0" applyFont="1" applyFill="1" applyBorder="1" applyAlignment="1">
      <alignment horizontal="center" vertical="center"/>
    </xf>
    <xf numFmtId="0" fontId="1" fillId="4" borderId="44" xfId="0" applyFont="1" applyFill="1" applyBorder="1" applyAlignment="1">
      <alignment horizontal="center" vertical="center"/>
    </xf>
    <xf numFmtId="0" fontId="1" fillId="0" borderId="37" xfId="0" applyFont="1" applyBorder="1"/>
    <xf numFmtId="0" fontId="1" fillId="0" borderId="38" xfId="0" applyFont="1" applyBorder="1"/>
    <xf numFmtId="0" fontId="1" fillId="0" borderId="42" xfId="0" applyFont="1" applyBorder="1" applyAlignment="1">
      <alignment horizontal="center"/>
    </xf>
    <xf numFmtId="0" fontId="1" fillId="0" borderId="43" xfId="0" applyFont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1" fillId="4" borderId="42" xfId="0" applyFont="1" applyFill="1" applyBorder="1" applyAlignment="1">
      <alignment horizontal="center"/>
    </xf>
    <xf numFmtId="0" fontId="1" fillId="4" borderId="43" xfId="0" applyFont="1" applyFill="1" applyBorder="1" applyAlignment="1">
      <alignment horizontal="center"/>
    </xf>
    <xf numFmtId="0" fontId="1" fillId="4" borderId="44" xfId="0" applyFont="1" applyFill="1" applyBorder="1" applyAlignment="1">
      <alignment horizont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1" fillId="0" borderId="36" xfId="0" applyFont="1" applyBorder="1"/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</cellXfs>
  <cellStyles count="1">
    <cellStyle name="Normal" xfId="0" builtinId="0"/>
  </cellStyles>
  <dxfs count="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2D050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641350</xdr:colOff>
          <xdr:row>27</xdr:row>
          <xdr:rowOff>0</xdr:rowOff>
        </xdr:from>
        <xdr:to>
          <xdr:col>4</xdr:col>
          <xdr:colOff>1136650</xdr:colOff>
          <xdr:row>28</xdr:row>
          <xdr:rowOff>165100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644071</xdr:colOff>
          <xdr:row>29</xdr:row>
          <xdr:rowOff>178708</xdr:rowOff>
        </xdr:from>
        <xdr:to>
          <xdr:col>4</xdr:col>
          <xdr:colOff>1114878</xdr:colOff>
          <xdr:row>32</xdr:row>
          <xdr:rowOff>45358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out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31750</xdr:rowOff>
        </xdr:from>
        <xdr:to>
          <xdr:col>5</xdr:col>
          <xdr:colOff>0</xdr:colOff>
          <xdr:row>12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603250</xdr:colOff>
          <xdr:row>13</xdr:row>
          <xdr:rowOff>82550</xdr:rowOff>
        </xdr:from>
        <xdr:to>
          <xdr:col>4</xdr:col>
          <xdr:colOff>1079500</xdr:colOff>
          <xdr:row>15</xdr:row>
          <xdr:rowOff>158750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1238250</xdr:colOff>
          <xdr:row>10</xdr:row>
          <xdr:rowOff>95250</xdr:rowOff>
        </xdr:from>
        <xdr:to>
          <xdr:col>3</xdr:col>
          <xdr:colOff>158750</xdr:colOff>
          <xdr:row>13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1238250</xdr:colOff>
          <xdr:row>13</xdr:row>
          <xdr:rowOff>146050</xdr:rowOff>
        </xdr:from>
        <xdr:to>
          <xdr:col>3</xdr:col>
          <xdr:colOff>146050</xdr:colOff>
          <xdr:row>16</xdr:row>
          <xdr:rowOff>19050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539750</xdr:colOff>
          <xdr:row>39</xdr:row>
          <xdr:rowOff>44450</xdr:rowOff>
        </xdr:from>
        <xdr:to>
          <xdr:col>6</xdr:col>
          <xdr:colOff>254000</xdr:colOff>
          <xdr:row>41</xdr:row>
          <xdr:rowOff>139700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596900</xdr:colOff>
          <xdr:row>39</xdr:row>
          <xdr:rowOff>50800</xdr:rowOff>
        </xdr:from>
        <xdr:to>
          <xdr:col>8</xdr:col>
          <xdr:colOff>635000</xdr:colOff>
          <xdr:row>41</xdr:row>
          <xdr:rowOff>146050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</xdr:colOff>
          <xdr:row>10</xdr:row>
          <xdr:rowOff>165100</xdr:rowOff>
        </xdr:from>
        <xdr:to>
          <xdr:col>6</xdr:col>
          <xdr:colOff>571500</xdr:colOff>
          <xdr:row>13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10</xdr:row>
          <xdr:rowOff>139700</xdr:rowOff>
        </xdr:from>
        <xdr:to>
          <xdr:col>9</xdr:col>
          <xdr:colOff>19050</xdr:colOff>
          <xdr:row>12</xdr:row>
          <xdr:rowOff>177800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15</xdr:row>
          <xdr:rowOff>158750</xdr:rowOff>
        </xdr:from>
        <xdr:to>
          <xdr:col>1</xdr:col>
          <xdr:colOff>317500</xdr:colOff>
          <xdr:row>17</xdr:row>
          <xdr:rowOff>177800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730250</xdr:colOff>
          <xdr:row>16</xdr:row>
          <xdr:rowOff>0</xdr:rowOff>
        </xdr:from>
        <xdr:to>
          <xdr:col>1</xdr:col>
          <xdr:colOff>1606550</xdr:colOff>
          <xdr:row>18</xdr:row>
          <xdr:rowOff>6350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19050</xdr:rowOff>
        </xdr:from>
        <xdr:to>
          <xdr:col>1</xdr:col>
          <xdr:colOff>971550</xdr:colOff>
          <xdr:row>9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1206500</xdr:colOff>
          <xdr:row>8</xdr:row>
          <xdr:rowOff>25400</xdr:rowOff>
        </xdr:from>
        <xdr:to>
          <xdr:col>1</xdr:col>
          <xdr:colOff>2114550</xdr:colOff>
          <xdr:row>9</xdr:row>
          <xdr:rowOff>177800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17</xdr:row>
          <xdr:rowOff>184150</xdr:rowOff>
        </xdr:from>
        <xdr:to>
          <xdr:col>1</xdr:col>
          <xdr:colOff>546100</xdr:colOff>
          <xdr:row>19</xdr:row>
          <xdr:rowOff>165100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787400</xdr:colOff>
          <xdr:row>18</xdr:row>
          <xdr:rowOff>0</xdr:rowOff>
        </xdr:from>
        <xdr:to>
          <xdr:col>1</xdr:col>
          <xdr:colOff>1606550</xdr:colOff>
          <xdr:row>19</xdr:row>
          <xdr:rowOff>177800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</xdr:colOff>
          <xdr:row>11</xdr:row>
          <xdr:rowOff>165100</xdr:rowOff>
        </xdr:from>
        <xdr:to>
          <xdr:col>1</xdr:col>
          <xdr:colOff>1016000</xdr:colOff>
          <xdr:row>13</xdr:row>
          <xdr:rowOff>165100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1238250</xdr:colOff>
          <xdr:row>11</xdr:row>
          <xdr:rowOff>171450</xdr:rowOff>
        </xdr:from>
        <xdr:to>
          <xdr:col>1</xdr:col>
          <xdr:colOff>2063750</xdr:colOff>
          <xdr:row>13</xdr:row>
          <xdr:rowOff>171450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546100</xdr:colOff>
          <xdr:row>34</xdr:row>
          <xdr:rowOff>0</xdr:rowOff>
        </xdr:from>
        <xdr:to>
          <xdr:col>1</xdr:col>
          <xdr:colOff>596900</xdr:colOff>
          <xdr:row>36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927100</xdr:colOff>
          <xdr:row>33</xdr:row>
          <xdr:rowOff>171450</xdr:rowOff>
        </xdr:from>
        <xdr:to>
          <xdr:col>1</xdr:col>
          <xdr:colOff>1898650</xdr:colOff>
          <xdr:row>36</xdr:row>
          <xdr:rowOff>12700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9B655-19C7-417F-8FD1-6431A6454C7C}">
  <sheetPr codeName="Sheet1"/>
  <dimension ref="A1:T17"/>
  <sheetViews>
    <sheetView topLeftCell="J1" zoomScale="70" zoomScaleNormal="70" workbookViewId="0">
      <selection activeCell="L21" sqref="L21"/>
    </sheetView>
  </sheetViews>
  <sheetFormatPr defaultRowHeight="14.5" x14ac:dyDescent="0.35"/>
  <cols>
    <col min="1" max="1" width="11.90625" bestFit="1" customWidth="1"/>
    <col min="2" max="2" width="33.36328125" bestFit="1" customWidth="1"/>
    <col min="3" max="3" width="11.6328125" bestFit="1" customWidth="1"/>
    <col min="4" max="4" width="8.26953125" bestFit="1" customWidth="1"/>
    <col min="5" max="5" width="15.54296875" bestFit="1" customWidth="1"/>
    <col min="6" max="6" width="22" bestFit="1" customWidth="1"/>
    <col min="8" max="8" width="9.81640625" bestFit="1" customWidth="1"/>
    <col min="9" max="9" width="17.453125" bestFit="1" customWidth="1"/>
    <col min="10" max="10" width="10.7265625" bestFit="1" customWidth="1"/>
    <col min="11" max="11" width="17.90625" bestFit="1" customWidth="1"/>
    <col min="12" max="12" width="16.08984375" bestFit="1" customWidth="1"/>
    <col min="13" max="13" width="11" bestFit="1" customWidth="1"/>
    <col min="14" max="14" width="20.453125" bestFit="1" customWidth="1"/>
    <col min="15" max="15" width="21.26953125" bestFit="1" customWidth="1"/>
    <col min="16" max="16" width="18.54296875" bestFit="1" customWidth="1"/>
    <col min="17" max="18" width="18.54296875" customWidth="1"/>
    <col min="19" max="19" width="24" bestFit="1" customWidth="1"/>
  </cols>
  <sheetData>
    <row r="1" spans="1:20" x14ac:dyDescent="0.35">
      <c r="A1" s="81" t="s">
        <v>583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</row>
    <row r="5" spans="1:20" x14ac:dyDescent="0.35">
      <c r="A5" s="81" t="s">
        <v>584</v>
      </c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81"/>
      <c r="T5" s="81"/>
    </row>
    <row r="9" spans="1:20" x14ac:dyDescent="0.35">
      <c r="A9" s="81" t="s">
        <v>585</v>
      </c>
      <c r="B9" s="81"/>
      <c r="C9" s="81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</row>
    <row r="13" spans="1:20" x14ac:dyDescent="0.35">
      <c r="A13" s="81" t="s">
        <v>586</v>
      </c>
      <c r="B13" s="81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1"/>
      <c r="T13" s="81"/>
    </row>
    <row r="17" spans="1:20" x14ac:dyDescent="0.35">
      <c r="A17" s="81" t="s">
        <v>587</v>
      </c>
      <c r="B17" s="81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77752-3580-4079-954E-7226716837DF}">
  <sheetPr codeName="Sheet2">
    <pageSetUpPr fitToPage="1"/>
  </sheetPr>
  <dimension ref="A2:T32"/>
  <sheetViews>
    <sheetView tabSelected="1" topLeftCell="A7" zoomScale="70" zoomScaleNormal="70" workbookViewId="0">
      <selection activeCell="H31" sqref="H31"/>
    </sheetView>
  </sheetViews>
  <sheetFormatPr defaultRowHeight="14.5" x14ac:dyDescent="0.35"/>
  <cols>
    <col min="1" max="1" width="11.54296875" bestFit="1" customWidth="1"/>
    <col min="2" max="2" width="33.36328125" bestFit="1" customWidth="1"/>
    <col min="3" max="3" width="7.81640625" customWidth="1"/>
    <col min="4" max="4" width="9.36328125" customWidth="1"/>
    <col min="5" max="5" width="16.36328125" customWidth="1"/>
    <col min="6" max="6" width="5.08984375" customWidth="1"/>
    <col min="7" max="7" width="17.36328125" customWidth="1"/>
    <col min="8" max="8" width="6.81640625" customWidth="1"/>
    <col min="9" max="9" width="8.08984375" customWidth="1"/>
    <col min="10" max="10" width="7.6328125" customWidth="1"/>
    <col min="11" max="11" width="10.81640625" customWidth="1"/>
    <col min="12" max="12" width="6.453125" customWidth="1"/>
    <col min="13" max="13" width="8.54296875" bestFit="1" customWidth="1"/>
    <col min="14" max="14" width="7.453125" customWidth="1"/>
    <col min="15" max="15" width="10.26953125" customWidth="1"/>
    <col min="16" max="16" width="11.1796875" customWidth="1"/>
    <col min="17" max="17" width="10.36328125" bestFit="1" customWidth="1"/>
    <col min="18" max="18" width="16.1796875" customWidth="1"/>
    <col min="20" max="20" width="43.90625" bestFit="1" customWidth="1"/>
  </cols>
  <sheetData>
    <row r="2" spans="1:20" ht="15" thickBot="1" x14ac:dyDescent="0.4">
      <c r="E2" s="5" t="s">
        <v>50</v>
      </c>
      <c r="F2" s="1"/>
      <c r="G2" s="5" t="s">
        <v>51</v>
      </c>
      <c r="H2" s="5" t="s">
        <v>52</v>
      </c>
      <c r="J2" s="7" t="s">
        <v>57</v>
      </c>
      <c r="K2" s="7" t="s">
        <v>58</v>
      </c>
      <c r="L2" s="7" t="s">
        <v>59</v>
      </c>
    </row>
    <row r="3" spans="1:20" ht="79.5" customHeight="1" thickBot="1" x14ac:dyDescent="0.4">
      <c r="A3" s="75" t="s">
        <v>0</v>
      </c>
      <c r="B3" s="163" t="s">
        <v>1</v>
      </c>
      <c r="C3" s="17" t="s">
        <v>2</v>
      </c>
      <c r="D3" s="17" t="s">
        <v>390</v>
      </c>
      <c r="E3" s="71" t="s">
        <v>53</v>
      </c>
      <c r="F3" s="9" t="s">
        <v>3</v>
      </c>
      <c r="G3" s="9" t="s">
        <v>74</v>
      </c>
      <c r="H3" s="9" t="s">
        <v>69</v>
      </c>
      <c r="I3" s="11" t="s">
        <v>68</v>
      </c>
      <c r="J3" s="9" t="s">
        <v>61</v>
      </c>
      <c r="K3" s="9" t="s">
        <v>62</v>
      </c>
      <c r="L3" s="9" t="s">
        <v>63</v>
      </c>
      <c r="M3" s="9" t="s">
        <v>64</v>
      </c>
      <c r="N3" s="12" t="s">
        <v>60</v>
      </c>
      <c r="O3" s="13" t="s">
        <v>65</v>
      </c>
      <c r="P3" s="14" t="s">
        <v>66</v>
      </c>
      <c r="Q3" s="71" t="s">
        <v>105</v>
      </c>
    </row>
    <row r="4" spans="1:20" x14ac:dyDescent="0.35">
      <c r="A4" s="166" t="s">
        <v>156</v>
      </c>
      <c r="B4" s="183" t="s">
        <v>4</v>
      </c>
      <c r="C4" s="185">
        <v>150</v>
      </c>
      <c r="D4" s="185">
        <f>268+81</f>
        <v>349</v>
      </c>
      <c r="E4" s="185">
        <f>(D4*C4)</f>
        <v>52350</v>
      </c>
      <c r="F4" s="18">
        <v>0.97</v>
      </c>
      <c r="G4" s="33">
        <f>ROUND(E4/F4,2)</f>
        <v>53969.07</v>
      </c>
      <c r="H4" s="133">
        <v>0</v>
      </c>
      <c r="I4" s="133">
        <f>ROUND(SUM(G24+H4),2)</f>
        <v>170.04</v>
      </c>
      <c r="J4" s="133">
        <v>59.87</v>
      </c>
      <c r="K4" s="133">
        <v>145.55000000000001</v>
      </c>
      <c r="L4" s="133">
        <v>0</v>
      </c>
      <c r="M4" s="142">
        <v>52.7</v>
      </c>
      <c r="N4" s="133">
        <f>(J4+K4+L4)</f>
        <v>205.42000000000002</v>
      </c>
      <c r="O4" s="133">
        <f>(ROUND(N4-I24,2))</f>
        <v>35.380000000000003</v>
      </c>
      <c r="P4" s="136">
        <f>M4-O4</f>
        <v>17.32</v>
      </c>
      <c r="Q4" s="139">
        <f>ROUND((P4/O4)*100,2)</f>
        <v>48.95</v>
      </c>
      <c r="R4" s="6" t="s">
        <v>81</v>
      </c>
    </row>
    <row r="5" spans="1:20" x14ac:dyDescent="0.35">
      <c r="A5" s="166" t="s">
        <v>174</v>
      </c>
      <c r="B5" s="183" t="s">
        <v>5</v>
      </c>
      <c r="C5" s="186">
        <v>225</v>
      </c>
      <c r="D5" s="186">
        <v>114</v>
      </c>
      <c r="E5" s="186">
        <f t="shared" ref="E5:E23" si="0">D5*C5</f>
        <v>25650</v>
      </c>
      <c r="F5" s="19">
        <v>0.97</v>
      </c>
      <c r="G5" s="34">
        <f>ROUND(E5/F5,2)</f>
        <v>26443.3</v>
      </c>
      <c r="H5" s="134"/>
      <c r="I5" s="134"/>
      <c r="J5" s="134"/>
      <c r="K5" s="134"/>
      <c r="L5" s="134"/>
      <c r="M5" s="143"/>
      <c r="N5" s="134"/>
      <c r="O5" s="134"/>
      <c r="P5" s="137"/>
      <c r="Q5" s="140"/>
      <c r="R5" s="57">
        <v>45570</v>
      </c>
      <c r="S5">
        <v>32.619999999999997</v>
      </c>
      <c r="T5" t="s">
        <v>553</v>
      </c>
    </row>
    <row r="6" spans="1:20" ht="14" customHeight="1" x14ac:dyDescent="0.35">
      <c r="A6" s="166" t="s">
        <v>298</v>
      </c>
      <c r="B6" s="183" t="s">
        <v>6</v>
      </c>
      <c r="C6" s="186">
        <v>150</v>
      </c>
      <c r="D6" s="186">
        <v>57</v>
      </c>
      <c r="E6" s="186">
        <f t="shared" si="0"/>
        <v>8550</v>
      </c>
      <c r="F6" s="19">
        <v>0.97</v>
      </c>
      <c r="G6" s="34">
        <f t="shared" ref="G6:G23" si="1">ROUND(E6/F6,2)</f>
        <v>8814.43</v>
      </c>
      <c r="H6" s="134"/>
      <c r="I6" s="134"/>
      <c r="J6" s="134"/>
      <c r="K6" s="134"/>
      <c r="L6" s="134"/>
      <c r="M6" s="143"/>
      <c r="N6" s="134"/>
      <c r="O6" s="134"/>
      <c r="P6" s="137"/>
      <c r="Q6" s="140"/>
      <c r="R6" s="57">
        <v>45577</v>
      </c>
      <c r="S6">
        <v>32.64</v>
      </c>
      <c r="T6" s="122" t="s">
        <v>554</v>
      </c>
    </row>
    <row r="7" spans="1:20" ht="16" customHeight="1" x14ac:dyDescent="0.35">
      <c r="A7" s="166" t="s">
        <v>342</v>
      </c>
      <c r="B7" s="183" t="s">
        <v>7</v>
      </c>
      <c r="C7" s="186">
        <v>100</v>
      </c>
      <c r="D7" s="186">
        <v>11</v>
      </c>
      <c r="E7" s="186">
        <f t="shared" si="0"/>
        <v>1100</v>
      </c>
      <c r="F7" s="19">
        <v>0.97</v>
      </c>
      <c r="G7" s="34">
        <f t="shared" si="1"/>
        <v>1134.02</v>
      </c>
      <c r="H7" s="134"/>
      <c r="I7" s="134"/>
      <c r="J7" s="134"/>
      <c r="K7" s="134"/>
      <c r="L7" s="134"/>
      <c r="M7" s="143"/>
      <c r="N7" s="134"/>
      <c r="O7" s="134"/>
      <c r="P7" s="137"/>
      <c r="Q7" s="140"/>
      <c r="R7" s="120">
        <v>45581</v>
      </c>
      <c r="S7" s="81">
        <v>41.04</v>
      </c>
      <c r="T7" s="122" t="s">
        <v>555</v>
      </c>
    </row>
    <row r="8" spans="1:20" x14ac:dyDescent="0.35">
      <c r="A8" s="166" t="s">
        <v>371</v>
      </c>
      <c r="B8" s="183" t="s">
        <v>80</v>
      </c>
      <c r="C8" s="186">
        <v>100</v>
      </c>
      <c r="D8" s="186">
        <v>1</v>
      </c>
      <c r="E8" s="186">
        <f t="shared" si="0"/>
        <v>100</v>
      </c>
      <c r="F8" s="19">
        <v>0.97</v>
      </c>
      <c r="G8" s="34">
        <f t="shared" si="1"/>
        <v>103.09</v>
      </c>
      <c r="H8" s="134"/>
      <c r="I8" s="134"/>
      <c r="J8" s="134"/>
      <c r="K8" s="134"/>
      <c r="L8" s="134"/>
      <c r="M8" s="143"/>
      <c r="N8" s="134"/>
      <c r="O8" s="134"/>
      <c r="P8" s="137"/>
      <c r="Q8" s="140"/>
      <c r="R8" s="120">
        <v>45584</v>
      </c>
      <c r="S8" s="81">
        <v>39.25</v>
      </c>
      <c r="T8" t="s">
        <v>556</v>
      </c>
    </row>
    <row r="9" spans="1:20" x14ac:dyDescent="0.35">
      <c r="A9" s="166" t="s">
        <v>344</v>
      </c>
      <c r="B9" s="183" t="s">
        <v>8</v>
      </c>
      <c r="C9" s="186">
        <v>90</v>
      </c>
      <c r="D9" s="186">
        <v>5</v>
      </c>
      <c r="E9" s="186">
        <f t="shared" si="0"/>
        <v>450</v>
      </c>
      <c r="F9" s="19">
        <v>0.97</v>
      </c>
      <c r="G9" s="34">
        <f t="shared" si="1"/>
        <v>463.92</v>
      </c>
      <c r="H9" s="134"/>
      <c r="I9" s="134"/>
      <c r="J9" s="134"/>
      <c r="K9" s="134"/>
      <c r="L9" s="134"/>
      <c r="M9" s="143"/>
      <c r="N9" s="134"/>
      <c r="O9" s="134"/>
      <c r="P9" s="137"/>
      <c r="Q9" s="140"/>
      <c r="R9" s="57"/>
      <c r="S9" s="58">
        <f>SUM(S5:S8)</f>
        <v>145.54999999999998</v>
      </c>
    </row>
    <row r="10" spans="1:20" x14ac:dyDescent="0.35">
      <c r="A10" s="166" t="s">
        <v>172</v>
      </c>
      <c r="B10" s="183" t="s">
        <v>9</v>
      </c>
      <c r="C10" s="186">
        <v>40</v>
      </c>
      <c r="D10" s="186">
        <f>137+67</f>
        <v>204</v>
      </c>
      <c r="E10" s="186">
        <f t="shared" si="0"/>
        <v>8160</v>
      </c>
      <c r="F10" s="19">
        <v>0.97</v>
      </c>
      <c r="G10" s="34">
        <f t="shared" si="1"/>
        <v>8412.3700000000008</v>
      </c>
      <c r="H10" s="134"/>
      <c r="I10" s="134"/>
      <c r="J10" s="134"/>
      <c r="K10" s="134"/>
      <c r="L10" s="134"/>
      <c r="M10" s="143"/>
      <c r="N10" s="134"/>
      <c r="O10" s="134"/>
      <c r="P10" s="137"/>
      <c r="Q10" s="140"/>
    </row>
    <row r="11" spans="1:20" x14ac:dyDescent="0.35">
      <c r="A11" s="166" t="s">
        <v>250</v>
      </c>
      <c r="B11" s="183" t="s">
        <v>10</v>
      </c>
      <c r="C11" s="186">
        <v>100</v>
      </c>
      <c r="D11" s="186">
        <v>21</v>
      </c>
      <c r="E11" s="186">
        <f t="shared" si="0"/>
        <v>2100</v>
      </c>
      <c r="F11" s="19">
        <v>0.97</v>
      </c>
      <c r="G11" s="34">
        <f t="shared" si="1"/>
        <v>2164.9499999999998</v>
      </c>
      <c r="H11" s="134"/>
      <c r="I11" s="134"/>
      <c r="J11" s="134"/>
      <c r="K11" s="134"/>
      <c r="L11" s="134"/>
      <c r="M11" s="143"/>
      <c r="N11" s="134"/>
      <c r="O11" s="134"/>
      <c r="P11" s="137"/>
      <c r="Q11" s="140"/>
      <c r="R11" s="6" t="s">
        <v>82</v>
      </c>
    </row>
    <row r="12" spans="1:20" x14ac:dyDescent="0.35">
      <c r="A12" s="166" t="s">
        <v>283</v>
      </c>
      <c r="B12" s="183" t="s">
        <v>11</v>
      </c>
      <c r="C12" s="186">
        <v>100</v>
      </c>
      <c r="D12" s="186">
        <v>9</v>
      </c>
      <c r="E12" s="186">
        <f t="shared" si="0"/>
        <v>900</v>
      </c>
      <c r="F12" s="19">
        <v>0.97</v>
      </c>
      <c r="G12" s="34">
        <f t="shared" si="1"/>
        <v>927.84</v>
      </c>
      <c r="H12" s="134"/>
      <c r="I12" s="134"/>
      <c r="J12" s="134"/>
      <c r="K12" s="134"/>
      <c r="L12" s="134"/>
      <c r="M12" s="143"/>
      <c r="N12" s="134"/>
      <c r="O12" s="134"/>
      <c r="P12" s="137"/>
      <c r="Q12" s="140"/>
      <c r="R12" s="57">
        <v>45565</v>
      </c>
      <c r="S12" s="121">
        <v>59.87</v>
      </c>
      <c r="T12" t="s">
        <v>84</v>
      </c>
    </row>
    <row r="13" spans="1:20" x14ac:dyDescent="0.35">
      <c r="A13" s="166" t="s">
        <v>267</v>
      </c>
      <c r="B13" s="183" t="s">
        <v>12</v>
      </c>
      <c r="C13" s="186">
        <v>70</v>
      </c>
      <c r="D13" s="186">
        <f>38+22</f>
        <v>60</v>
      </c>
      <c r="E13" s="186">
        <f t="shared" si="0"/>
        <v>4200</v>
      </c>
      <c r="F13" s="19">
        <v>0.97</v>
      </c>
      <c r="G13" s="34">
        <f t="shared" si="1"/>
        <v>4329.8999999999996</v>
      </c>
      <c r="H13" s="134"/>
      <c r="I13" s="134"/>
      <c r="J13" s="134"/>
      <c r="K13" s="134"/>
      <c r="L13" s="134"/>
      <c r="M13" s="143"/>
      <c r="N13" s="134"/>
      <c r="O13" s="134"/>
      <c r="P13" s="137"/>
      <c r="Q13" s="140"/>
    </row>
    <row r="14" spans="1:20" x14ac:dyDescent="0.35">
      <c r="A14" s="166" t="s">
        <v>176</v>
      </c>
      <c r="B14" s="183" t="s">
        <v>13</v>
      </c>
      <c r="C14" s="186">
        <v>70</v>
      </c>
      <c r="D14" s="186">
        <f>82+58</f>
        <v>140</v>
      </c>
      <c r="E14" s="186">
        <f t="shared" si="0"/>
        <v>9800</v>
      </c>
      <c r="F14" s="19">
        <v>0.97</v>
      </c>
      <c r="G14" s="34">
        <f t="shared" si="1"/>
        <v>10103.09</v>
      </c>
      <c r="H14" s="134"/>
      <c r="I14" s="134"/>
      <c r="J14" s="134"/>
      <c r="K14" s="134"/>
      <c r="L14" s="134"/>
      <c r="M14" s="143"/>
      <c r="N14" s="134"/>
      <c r="O14" s="134"/>
      <c r="P14" s="137"/>
      <c r="Q14" s="140"/>
      <c r="R14" s="6" t="s">
        <v>83</v>
      </c>
    </row>
    <row r="15" spans="1:20" x14ac:dyDescent="0.35">
      <c r="A15" s="166" t="s">
        <v>248</v>
      </c>
      <c r="B15" s="183" t="s">
        <v>14</v>
      </c>
      <c r="C15" s="186">
        <v>50</v>
      </c>
      <c r="D15" s="186">
        <f>22+24</f>
        <v>46</v>
      </c>
      <c r="E15" s="186">
        <f t="shared" si="0"/>
        <v>2300</v>
      </c>
      <c r="F15" s="19">
        <v>0.97</v>
      </c>
      <c r="G15" s="34">
        <f t="shared" si="1"/>
        <v>2371.13</v>
      </c>
      <c r="H15" s="134"/>
      <c r="I15" s="134"/>
      <c r="J15" s="134"/>
      <c r="K15" s="134"/>
      <c r="L15" s="134"/>
      <c r="M15" s="143"/>
      <c r="N15" s="134"/>
      <c r="O15" s="134"/>
      <c r="P15" s="137"/>
      <c r="Q15" s="140"/>
      <c r="R15" s="57"/>
      <c r="S15">
        <v>47</v>
      </c>
      <c r="T15" t="s">
        <v>85</v>
      </c>
    </row>
    <row r="16" spans="1:20" x14ac:dyDescent="0.35">
      <c r="A16" s="166" t="s">
        <v>276</v>
      </c>
      <c r="B16" s="183" t="s">
        <v>15</v>
      </c>
      <c r="C16" s="186">
        <v>50</v>
      </c>
      <c r="D16" s="186">
        <v>23</v>
      </c>
      <c r="E16" s="186">
        <f t="shared" si="0"/>
        <v>1150</v>
      </c>
      <c r="F16" s="19">
        <v>0.97</v>
      </c>
      <c r="G16" s="34">
        <f t="shared" si="1"/>
        <v>1185.57</v>
      </c>
      <c r="H16" s="134"/>
      <c r="I16" s="134"/>
      <c r="J16" s="134"/>
      <c r="K16" s="134"/>
      <c r="L16" s="134"/>
      <c r="M16" s="143"/>
      <c r="N16" s="134"/>
      <c r="O16" s="134"/>
      <c r="P16" s="137"/>
      <c r="Q16" s="140"/>
      <c r="S16">
        <v>5.7</v>
      </c>
    </row>
    <row r="17" spans="1:20" x14ac:dyDescent="0.35">
      <c r="A17" s="166" t="s">
        <v>167</v>
      </c>
      <c r="B17" s="183" t="s">
        <v>16</v>
      </c>
      <c r="C17" s="186">
        <v>50</v>
      </c>
      <c r="D17" s="186">
        <f>148+133</f>
        <v>281</v>
      </c>
      <c r="E17" s="186">
        <f t="shared" si="0"/>
        <v>14050</v>
      </c>
      <c r="F17" s="19">
        <v>0.97</v>
      </c>
      <c r="G17" s="34">
        <f t="shared" si="1"/>
        <v>14484.54</v>
      </c>
      <c r="H17" s="134"/>
      <c r="I17" s="134"/>
      <c r="J17" s="134"/>
      <c r="K17" s="134"/>
      <c r="L17" s="134"/>
      <c r="M17" s="143"/>
      <c r="N17" s="134"/>
      <c r="O17" s="134"/>
      <c r="P17" s="137"/>
      <c r="Q17" s="140"/>
    </row>
    <row r="18" spans="1:20" x14ac:dyDescent="0.35">
      <c r="A18" s="166" t="s">
        <v>369</v>
      </c>
      <c r="B18" s="183" t="s">
        <v>100</v>
      </c>
      <c r="C18" s="186">
        <v>150</v>
      </c>
      <c r="D18" s="186">
        <v>3</v>
      </c>
      <c r="E18" s="186">
        <f t="shared" si="0"/>
        <v>450</v>
      </c>
      <c r="F18" s="19">
        <v>0.97</v>
      </c>
      <c r="G18" s="34">
        <f t="shared" si="1"/>
        <v>463.92</v>
      </c>
      <c r="H18" s="134"/>
      <c r="I18" s="134"/>
      <c r="J18" s="134"/>
      <c r="K18" s="134"/>
      <c r="L18" s="134"/>
      <c r="M18" s="143"/>
      <c r="N18" s="134"/>
      <c r="O18" s="134"/>
      <c r="P18" s="137"/>
      <c r="Q18" s="140"/>
    </row>
    <row r="19" spans="1:20" x14ac:dyDescent="0.35">
      <c r="A19" s="166" t="s">
        <v>97</v>
      </c>
      <c r="B19" s="183" t="s">
        <v>77</v>
      </c>
      <c r="C19" s="186">
        <v>100</v>
      </c>
      <c r="D19" s="186">
        <v>110</v>
      </c>
      <c r="E19" s="186">
        <f t="shared" si="0"/>
        <v>11000</v>
      </c>
      <c r="F19" s="19">
        <v>0.97</v>
      </c>
      <c r="G19" s="34">
        <f t="shared" si="1"/>
        <v>11340.21</v>
      </c>
      <c r="H19" s="134"/>
      <c r="I19" s="134"/>
      <c r="J19" s="134"/>
      <c r="K19" s="134"/>
      <c r="L19" s="134"/>
      <c r="M19" s="143"/>
      <c r="N19" s="134"/>
      <c r="O19" s="134"/>
      <c r="P19" s="137"/>
      <c r="Q19" s="140"/>
      <c r="S19" s="121">
        <f>SUM(S15:S18)</f>
        <v>52.7</v>
      </c>
    </row>
    <row r="20" spans="1:20" x14ac:dyDescent="0.35">
      <c r="A20" s="166" t="s">
        <v>98</v>
      </c>
      <c r="B20" s="183" t="s">
        <v>78</v>
      </c>
      <c r="C20" s="186">
        <v>100</v>
      </c>
      <c r="D20" s="186">
        <v>35</v>
      </c>
      <c r="E20" s="186">
        <f t="shared" si="0"/>
        <v>3500</v>
      </c>
      <c r="F20" s="19">
        <v>0.97</v>
      </c>
      <c r="G20" s="34">
        <f t="shared" si="1"/>
        <v>3608.25</v>
      </c>
      <c r="H20" s="134"/>
      <c r="I20" s="134"/>
      <c r="J20" s="134"/>
      <c r="K20" s="134"/>
      <c r="L20" s="134"/>
      <c r="M20" s="143"/>
      <c r="N20" s="134"/>
      <c r="O20" s="134"/>
      <c r="P20" s="137"/>
      <c r="Q20" s="140"/>
    </row>
    <row r="21" spans="1:20" x14ac:dyDescent="0.35">
      <c r="A21" s="166" t="s">
        <v>99</v>
      </c>
      <c r="B21" s="183" t="s">
        <v>79</v>
      </c>
      <c r="C21" s="186">
        <v>100</v>
      </c>
      <c r="D21" s="186">
        <v>48</v>
      </c>
      <c r="E21" s="186">
        <f t="shared" si="0"/>
        <v>4800</v>
      </c>
      <c r="F21" s="19">
        <v>0.97</v>
      </c>
      <c r="G21" s="34">
        <f t="shared" si="1"/>
        <v>4948.45</v>
      </c>
      <c r="H21" s="134"/>
      <c r="I21" s="134"/>
      <c r="J21" s="134"/>
      <c r="K21" s="134"/>
      <c r="L21" s="134"/>
      <c r="M21" s="143"/>
      <c r="N21" s="134"/>
      <c r="O21" s="134"/>
      <c r="P21" s="137"/>
      <c r="Q21" s="140"/>
      <c r="R21" s="35" t="s">
        <v>543</v>
      </c>
    </row>
    <row r="22" spans="1:20" x14ac:dyDescent="0.35">
      <c r="A22" s="166" t="s">
        <v>211</v>
      </c>
      <c r="B22" s="183" t="s">
        <v>17</v>
      </c>
      <c r="C22" s="186">
        <v>50</v>
      </c>
      <c r="D22" s="186">
        <v>113</v>
      </c>
      <c r="E22" s="186">
        <f t="shared" si="0"/>
        <v>5650</v>
      </c>
      <c r="F22" s="19">
        <v>0.97</v>
      </c>
      <c r="G22" s="34">
        <f t="shared" si="1"/>
        <v>5824.74</v>
      </c>
      <c r="H22" s="134"/>
      <c r="I22" s="134"/>
      <c r="J22" s="134"/>
      <c r="K22" s="134"/>
      <c r="L22" s="134"/>
      <c r="M22" s="143"/>
      <c r="N22" s="134"/>
      <c r="O22" s="134"/>
      <c r="P22" s="137"/>
      <c r="Q22" s="140"/>
      <c r="R22" s="57"/>
      <c r="T22" s="122"/>
    </row>
    <row r="23" spans="1:20" ht="15" thickBot="1" x14ac:dyDescent="0.4">
      <c r="A23" s="167" t="s">
        <v>227</v>
      </c>
      <c r="B23" s="184" t="s">
        <v>18</v>
      </c>
      <c r="C23" s="187">
        <v>70</v>
      </c>
      <c r="D23" s="187">
        <f>73+51</f>
        <v>124</v>
      </c>
      <c r="E23" s="187">
        <f t="shared" si="0"/>
        <v>8680</v>
      </c>
      <c r="F23" s="20">
        <v>0.97</v>
      </c>
      <c r="G23" s="155">
        <f t="shared" si="1"/>
        <v>8948.4500000000007</v>
      </c>
      <c r="H23" s="135"/>
      <c r="I23" s="135"/>
      <c r="J23" s="135"/>
      <c r="K23" s="135"/>
      <c r="L23" s="135"/>
      <c r="M23" s="144"/>
      <c r="N23" s="135"/>
      <c r="O23" s="135"/>
      <c r="P23" s="138"/>
      <c r="Q23" s="141"/>
      <c r="R23" s="57"/>
      <c r="T23" s="122"/>
    </row>
    <row r="24" spans="1:20" x14ac:dyDescent="0.35">
      <c r="E24" s="36"/>
      <c r="G24" s="35">
        <f>ROUND(SUM(G4:G23)/1000,2)</f>
        <v>170.04</v>
      </c>
      <c r="H24" s="2"/>
      <c r="I24" s="6">
        <f>I4</f>
        <v>170.04</v>
      </c>
      <c r="N24" s="3"/>
      <c r="O24" s="8">
        <f>ROUND(N4-I24,2)</f>
        <v>35.380000000000003</v>
      </c>
    </row>
    <row r="25" spans="1:20" x14ac:dyDescent="0.35">
      <c r="B25" s="51" t="s">
        <v>75</v>
      </c>
      <c r="S25" s="129"/>
    </row>
    <row r="26" spans="1:20" x14ac:dyDescent="0.35">
      <c r="B26" s="51" t="s">
        <v>76</v>
      </c>
    </row>
    <row r="31" spans="1:20" x14ac:dyDescent="0.35">
      <c r="G31" s="1" t="s">
        <v>589</v>
      </c>
      <c r="H31" t="s">
        <v>590</v>
      </c>
    </row>
    <row r="32" spans="1:20" x14ac:dyDescent="0.35">
      <c r="G32" s="1" t="s">
        <v>588</v>
      </c>
      <c r="H32" t="s">
        <v>591</v>
      </c>
    </row>
  </sheetData>
  <mergeCells count="10">
    <mergeCell ref="N4:N23"/>
    <mergeCell ref="O4:O23"/>
    <mergeCell ref="P4:P23"/>
    <mergeCell ref="Q4:Q23"/>
    <mergeCell ref="H4:H23"/>
    <mergeCell ref="I4:I23"/>
    <mergeCell ref="J4:J23"/>
    <mergeCell ref="K4:K23"/>
    <mergeCell ref="L4:L23"/>
    <mergeCell ref="M4:M23"/>
  </mergeCells>
  <pageMargins left="0.7" right="0.7" top="0.75" bottom="0.75" header="0.3" footer="0.3"/>
  <pageSetup scale="4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eviasi">
                <anchor moveWithCells="1" siz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2_Click">
                <anchor moveWithCells="1" sizeWithCells="1">
                  <from>
                    <xdr:col>3</xdr:col>
                    <xdr:colOff>641350</xdr:colOff>
                    <xdr:row>27</xdr:row>
                    <xdr:rowOff>0</xdr:rowOff>
                  </from>
                  <to>
                    <xdr:col>4</xdr:col>
                    <xdr:colOff>1136650</xdr:colOff>
                    <xdr:row>28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ChuckCrest_Button3_Click">
                <anchor moveWithCells="1" sizeWithCells="1">
                  <from>
                    <xdr:col>3</xdr:col>
                    <xdr:colOff>641350</xdr:colOff>
                    <xdr:row>29</xdr:row>
                    <xdr:rowOff>177800</xdr:rowOff>
                  </from>
                  <to>
                    <xdr:col>4</xdr:col>
                    <xdr:colOff>1117600</xdr:colOff>
                    <xdr:row>32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BB93D-93AC-4D12-9BF4-82ABA6E9E925}">
  <sheetPr codeName="Sheet3">
    <pageSetUpPr fitToPage="1"/>
  </sheetPr>
  <dimension ref="A2:T23"/>
  <sheetViews>
    <sheetView zoomScale="60" zoomScaleNormal="60" workbookViewId="0">
      <selection activeCell="C22" sqref="C22"/>
    </sheetView>
  </sheetViews>
  <sheetFormatPr defaultRowHeight="14.5" x14ac:dyDescent="0.35"/>
  <cols>
    <col min="1" max="1" width="11.6328125" bestFit="1" customWidth="1"/>
    <col min="2" max="2" width="33.08984375" bestFit="1" customWidth="1"/>
    <col min="3" max="3" width="11.26953125" bestFit="1" customWidth="1"/>
    <col min="5" max="5" width="15.54296875" bestFit="1" customWidth="1"/>
    <col min="6" max="6" width="8" customWidth="1"/>
    <col min="7" max="7" width="9.81640625" bestFit="1" customWidth="1"/>
    <col min="16" max="16" width="13.54296875" customWidth="1"/>
    <col min="17" max="17" width="36.54296875" bestFit="1" customWidth="1"/>
    <col min="18" max="18" width="16.453125" bestFit="1" customWidth="1"/>
    <col min="20" max="20" width="22.36328125" customWidth="1"/>
  </cols>
  <sheetData>
    <row r="2" spans="1:20" ht="15" thickBot="1" x14ac:dyDescent="0.4">
      <c r="E2" s="5" t="s">
        <v>50</v>
      </c>
      <c r="F2" s="1"/>
      <c r="G2" s="5" t="s">
        <v>51</v>
      </c>
      <c r="H2" s="5" t="s">
        <v>52</v>
      </c>
      <c r="J2" s="7" t="s">
        <v>57</v>
      </c>
      <c r="K2" s="7" t="s">
        <v>58</v>
      </c>
      <c r="L2" s="7" t="s">
        <v>59</v>
      </c>
    </row>
    <row r="3" spans="1:20" ht="73" thickBot="1" x14ac:dyDescent="0.4">
      <c r="A3" s="75" t="s">
        <v>0</v>
      </c>
      <c r="B3" s="163" t="s">
        <v>1</v>
      </c>
      <c r="C3" s="17" t="s">
        <v>2</v>
      </c>
      <c r="D3" s="17" t="s">
        <v>54</v>
      </c>
      <c r="E3" s="10" t="s">
        <v>53</v>
      </c>
      <c r="F3" s="9" t="s">
        <v>3</v>
      </c>
      <c r="G3" s="9" t="s">
        <v>55</v>
      </c>
      <c r="H3" s="9" t="s">
        <v>69</v>
      </c>
      <c r="I3" s="11" t="s">
        <v>68</v>
      </c>
      <c r="J3" s="9" t="s">
        <v>61</v>
      </c>
      <c r="K3" s="9" t="s">
        <v>62</v>
      </c>
      <c r="L3" s="9" t="s">
        <v>63</v>
      </c>
      <c r="M3" s="9" t="s">
        <v>64</v>
      </c>
      <c r="N3" s="12" t="s">
        <v>60</v>
      </c>
      <c r="O3" s="13" t="s">
        <v>65</v>
      </c>
      <c r="P3" s="14" t="s">
        <v>66</v>
      </c>
      <c r="Q3" s="23" t="s">
        <v>104</v>
      </c>
    </row>
    <row r="4" spans="1:20" x14ac:dyDescent="0.35">
      <c r="A4" s="166" t="s">
        <v>221</v>
      </c>
      <c r="B4" s="183" t="s">
        <v>19</v>
      </c>
      <c r="C4" s="191">
        <v>150</v>
      </c>
      <c r="D4" s="188">
        <v>38</v>
      </c>
      <c r="E4" s="27">
        <f t="shared" ref="E4:E9" si="0">C4*D4</f>
        <v>5700</v>
      </c>
      <c r="F4" s="30">
        <v>0.9</v>
      </c>
      <c r="G4" s="65">
        <f>ROUND((E4/F4),2)</f>
        <v>6333.33</v>
      </c>
      <c r="H4" s="133">
        <v>0</v>
      </c>
      <c r="I4" s="133">
        <f>G10+H4</f>
        <v>14.56</v>
      </c>
      <c r="J4" s="133">
        <v>75.88</v>
      </c>
      <c r="K4" s="133">
        <v>0</v>
      </c>
      <c r="L4" s="133">
        <v>0</v>
      </c>
      <c r="M4" s="133">
        <v>37.265000000000001</v>
      </c>
      <c r="N4" s="133">
        <f>J4+K4+L4</f>
        <v>75.88</v>
      </c>
      <c r="O4" s="133">
        <f>(N4-I4)</f>
        <v>61.319999999999993</v>
      </c>
      <c r="P4" s="133">
        <f>M4-O4</f>
        <v>-24.054999999999993</v>
      </c>
      <c r="Q4" s="145">
        <f>ROUND(((P4/O4))*100,2)</f>
        <v>-39.229999999999997</v>
      </c>
      <c r="R4" s="35" t="s">
        <v>81</v>
      </c>
    </row>
    <row r="5" spans="1:20" ht="18" customHeight="1" x14ac:dyDescent="0.35">
      <c r="A5" s="166" t="s">
        <v>232</v>
      </c>
      <c r="B5" s="183" t="s">
        <v>20</v>
      </c>
      <c r="C5" s="192">
        <v>225</v>
      </c>
      <c r="D5" s="189">
        <v>14</v>
      </c>
      <c r="E5" s="28">
        <f t="shared" si="0"/>
        <v>3150</v>
      </c>
      <c r="F5" s="31">
        <v>0.9</v>
      </c>
      <c r="G5" s="66">
        <f>ROUND((E5/F5),2)</f>
        <v>3500</v>
      </c>
      <c r="H5" s="134"/>
      <c r="I5" s="134"/>
      <c r="J5" s="134"/>
      <c r="K5" s="134"/>
      <c r="L5" s="134"/>
      <c r="M5" s="134"/>
      <c r="N5" s="134"/>
      <c r="O5" s="134"/>
      <c r="P5" s="134"/>
      <c r="Q5" s="146"/>
      <c r="R5" s="128"/>
      <c r="T5" s="122"/>
    </row>
    <row r="6" spans="1:20" x14ac:dyDescent="0.35">
      <c r="A6" s="166" t="s">
        <v>96</v>
      </c>
      <c r="B6" s="183" t="s">
        <v>87</v>
      </c>
      <c r="C6" s="192">
        <v>100</v>
      </c>
      <c r="D6" s="189">
        <v>40</v>
      </c>
      <c r="E6" s="28">
        <f t="shared" si="0"/>
        <v>4000</v>
      </c>
      <c r="F6" s="31">
        <v>0.9</v>
      </c>
      <c r="G6" s="66">
        <f>ROUND((E6/F6),2)</f>
        <v>4444.4399999999996</v>
      </c>
      <c r="H6" s="134"/>
      <c r="I6" s="134"/>
      <c r="J6" s="134"/>
      <c r="K6" s="134"/>
      <c r="L6" s="134"/>
      <c r="M6" s="134"/>
      <c r="N6" s="134"/>
      <c r="O6" s="134"/>
      <c r="P6" s="134"/>
      <c r="Q6" s="146"/>
      <c r="R6" s="57"/>
      <c r="T6" s="122"/>
    </row>
    <row r="7" spans="1:20" x14ac:dyDescent="0.35">
      <c r="A7" s="166" t="s">
        <v>372</v>
      </c>
      <c r="B7" s="183" t="s">
        <v>103</v>
      </c>
      <c r="C7" s="192">
        <v>100</v>
      </c>
      <c r="D7" s="189">
        <v>1</v>
      </c>
      <c r="E7" s="28">
        <f t="shared" si="0"/>
        <v>100</v>
      </c>
      <c r="F7" s="31">
        <v>0.9</v>
      </c>
      <c r="G7" s="66">
        <f>ROUND((E7/F7),2)</f>
        <v>111.11</v>
      </c>
      <c r="H7" s="134"/>
      <c r="I7" s="134"/>
      <c r="J7" s="134"/>
      <c r="K7" s="134"/>
      <c r="L7" s="134"/>
      <c r="M7" s="134"/>
      <c r="N7" s="134"/>
      <c r="O7" s="134"/>
      <c r="P7" s="134"/>
      <c r="Q7" s="146"/>
      <c r="R7" s="57"/>
      <c r="S7" s="58"/>
    </row>
    <row r="8" spans="1:20" x14ac:dyDescent="0.35">
      <c r="A8" s="166" t="s">
        <v>383</v>
      </c>
      <c r="B8" s="183" t="s">
        <v>384</v>
      </c>
      <c r="C8" s="192">
        <v>150</v>
      </c>
      <c r="D8" s="189">
        <v>1</v>
      </c>
      <c r="E8" s="28">
        <f t="shared" si="0"/>
        <v>150</v>
      </c>
      <c r="F8" s="31">
        <v>0.9</v>
      </c>
      <c r="G8" s="66">
        <f>ROUND((E8/F8),2)</f>
        <v>166.67</v>
      </c>
      <c r="H8" s="134"/>
      <c r="I8" s="134"/>
      <c r="J8" s="134"/>
      <c r="K8" s="134"/>
      <c r="L8" s="134"/>
      <c r="M8" s="134"/>
      <c r="N8" s="134"/>
      <c r="O8" s="134"/>
      <c r="P8" s="134"/>
      <c r="Q8" s="146"/>
      <c r="R8" s="57"/>
    </row>
    <row r="9" spans="1:20" ht="15" thickBot="1" x14ac:dyDescent="0.4">
      <c r="A9" s="167" t="s">
        <v>378</v>
      </c>
      <c r="B9" s="184" t="s">
        <v>102</v>
      </c>
      <c r="C9" s="193">
        <v>100</v>
      </c>
      <c r="D9" s="190">
        <v>0</v>
      </c>
      <c r="E9" s="29">
        <f t="shared" si="0"/>
        <v>0</v>
      </c>
      <c r="F9" s="32">
        <v>0.9</v>
      </c>
      <c r="G9" s="67">
        <f t="shared" ref="G9" si="1">E9/F9</f>
        <v>0</v>
      </c>
      <c r="H9" s="135"/>
      <c r="I9" s="135"/>
      <c r="J9" s="135"/>
      <c r="K9" s="135"/>
      <c r="L9" s="135"/>
      <c r="M9" s="135"/>
      <c r="N9" s="135"/>
      <c r="O9" s="135"/>
      <c r="P9" s="135"/>
      <c r="Q9" s="147"/>
    </row>
    <row r="10" spans="1:20" x14ac:dyDescent="0.35">
      <c r="G10" s="126">
        <f>ROUND(SUM(G4:G9)/1000,2)</f>
        <v>14.56</v>
      </c>
      <c r="H10" s="2"/>
      <c r="R10" s="35" t="s">
        <v>82</v>
      </c>
    </row>
    <row r="11" spans="1:20" x14ac:dyDescent="0.35">
      <c r="R11" s="57">
        <v>45565</v>
      </c>
      <c r="S11">
        <v>75.88</v>
      </c>
    </row>
    <row r="13" spans="1:20" x14ac:dyDescent="0.35">
      <c r="R13" s="35" t="s">
        <v>83</v>
      </c>
    </row>
    <row r="14" spans="1:20" x14ac:dyDescent="0.35">
      <c r="R14" s="57">
        <v>45586</v>
      </c>
      <c r="S14">
        <v>27.14</v>
      </c>
    </row>
    <row r="15" spans="1:20" x14ac:dyDescent="0.35">
      <c r="S15">
        <v>10.125</v>
      </c>
    </row>
    <row r="19" spans="18:19" x14ac:dyDescent="0.35">
      <c r="S19" s="58">
        <f>SUM(S14:S18)</f>
        <v>37.265000000000001</v>
      </c>
    </row>
    <row r="21" spans="18:19" x14ac:dyDescent="0.35">
      <c r="R21" s="35" t="s">
        <v>540</v>
      </c>
    </row>
    <row r="22" spans="18:19" x14ac:dyDescent="0.35">
      <c r="R22" s="57"/>
    </row>
    <row r="23" spans="18:19" x14ac:dyDescent="0.35">
      <c r="S23" s="81"/>
    </row>
  </sheetData>
  <mergeCells count="10">
    <mergeCell ref="H4:H9"/>
    <mergeCell ref="I4:I9"/>
    <mergeCell ref="J4:J9"/>
    <mergeCell ref="K4:K9"/>
    <mergeCell ref="Q4:Q9"/>
    <mergeCell ref="L4:L9"/>
    <mergeCell ref="M4:M9"/>
    <mergeCell ref="N4:N9"/>
    <mergeCell ref="O4:O9"/>
    <mergeCell ref="P4:P9"/>
  </mergeCells>
  <pageMargins left="0.7" right="0.7" top="0.75" bottom="0.75" header="0.3" footer="0.3"/>
  <pageSetup scale="5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0</xdr:colOff>
                    <xdr:row>10</xdr:row>
                    <xdr:rowOff>31750</xdr:rowOff>
                  </from>
                  <to>
                    <xdr:col>5</xdr:col>
                    <xdr:colOff>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TokusenWagyu_Button2_Click">
                <anchor moveWithCells="1" sizeWithCells="1">
                  <from>
                    <xdr:col>3</xdr:col>
                    <xdr:colOff>603250</xdr:colOff>
                    <xdr:row>13</xdr:row>
                    <xdr:rowOff>82550</xdr:rowOff>
                  </from>
                  <to>
                    <xdr:col>4</xdr:col>
                    <xdr:colOff>1079500</xdr:colOff>
                    <xdr:row>15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C9BD5-E7D5-4E40-BA88-8717BE067BEC}">
  <sheetPr codeName="Sheet4">
    <pageSetUpPr fitToPage="1"/>
  </sheetPr>
  <dimension ref="A2:U20"/>
  <sheetViews>
    <sheetView zoomScale="60" zoomScaleNormal="60" workbookViewId="0">
      <selection activeCell="H17" sqref="H17"/>
    </sheetView>
  </sheetViews>
  <sheetFormatPr defaultRowHeight="14.5" x14ac:dyDescent="0.35"/>
  <cols>
    <col min="1" max="1" width="11.54296875" bestFit="1" customWidth="1"/>
    <col min="2" max="2" width="24.6328125" bestFit="1" customWidth="1"/>
    <col min="4" max="4" width="11.54296875" customWidth="1"/>
    <col min="5" max="5" width="9.81640625" customWidth="1"/>
    <col min="6" max="6" width="6.1796875" customWidth="1"/>
    <col min="11" max="11" width="10.36328125" customWidth="1"/>
    <col min="16" max="16" width="10.90625" customWidth="1"/>
    <col min="17" max="17" width="33.36328125" bestFit="1" customWidth="1"/>
    <col min="18" max="18" width="16.453125" bestFit="1" customWidth="1"/>
  </cols>
  <sheetData>
    <row r="2" spans="1:19" ht="15" thickBot="1" x14ac:dyDescent="0.4">
      <c r="G2" s="5" t="s">
        <v>51</v>
      </c>
      <c r="H2" s="5" t="s">
        <v>52</v>
      </c>
      <c r="J2" s="7" t="s">
        <v>57</v>
      </c>
      <c r="K2" s="7" t="s">
        <v>58</v>
      </c>
      <c r="L2" s="7" t="s">
        <v>59</v>
      </c>
    </row>
    <row r="3" spans="1:19" ht="86" customHeight="1" thickBot="1" x14ac:dyDescent="0.4">
      <c r="A3" s="75" t="s">
        <v>0</v>
      </c>
      <c r="B3" s="163" t="s">
        <v>1</v>
      </c>
      <c r="C3" s="17" t="s">
        <v>2</v>
      </c>
      <c r="D3" s="17" t="s">
        <v>54</v>
      </c>
      <c r="E3" s="71" t="s">
        <v>53</v>
      </c>
      <c r="F3" s="9" t="s">
        <v>3</v>
      </c>
      <c r="G3" s="9" t="s">
        <v>55</v>
      </c>
      <c r="H3" s="9" t="s">
        <v>69</v>
      </c>
      <c r="I3" s="11" t="s">
        <v>68</v>
      </c>
      <c r="J3" s="9" t="s">
        <v>61</v>
      </c>
      <c r="K3" s="9" t="s">
        <v>62</v>
      </c>
      <c r="L3" s="9" t="s">
        <v>63</v>
      </c>
      <c r="M3" s="9" t="s">
        <v>64</v>
      </c>
      <c r="N3" s="12" t="s">
        <v>60</v>
      </c>
      <c r="O3" s="13" t="s">
        <v>65</v>
      </c>
      <c r="P3" s="14" t="s">
        <v>66</v>
      </c>
      <c r="Q3" s="156" t="s">
        <v>73</v>
      </c>
    </row>
    <row r="4" spans="1:19" x14ac:dyDescent="0.35">
      <c r="A4" s="166" t="s">
        <v>306</v>
      </c>
      <c r="B4" s="183" t="s">
        <v>21</v>
      </c>
      <c r="C4" s="191">
        <v>40</v>
      </c>
      <c r="D4" s="194">
        <v>30</v>
      </c>
      <c r="E4" s="194">
        <f>C4*D4</f>
        <v>1200</v>
      </c>
      <c r="F4" s="46">
        <v>0.78</v>
      </c>
      <c r="G4" s="54">
        <f>ROUND(E4/F4,2)</f>
        <v>1538.46</v>
      </c>
      <c r="H4" s="134">
        <v>4</v>
      </c>
      <c r="I4" s="134">
        <f>ROUND((G11+H4)/1000,2)</f>
        <v>8.35</v>
      </c>
      <c r="J4" s="134">
        <v>7.92</v>
      </c>
      <c r="K4" s="134">
        <v>0</v>
      </c>
      <c r="L4" s="134">
        <v>8.65</v>
      </c>
      <c r="M4" s="134">
        <v>10.103</v>
      </c>
      <c r="N4" s="134">
        <f>J4+K4+L4</f>
        <v>16.57</v>
      </c>
      <c r="O4" s="134">
        <f>(N4-I4)</f>
        <v>8.2200000000000006</v>
      </c>
      <c r="P4" s="137">
        <f>ROUND(M4-O4,2)</f>
        <v>1.88</v>
      </c>
      <c r="Q4" s="146">
        <f>ROUND((P4/O4)*100,2)</f>
        <v>22.87</v>
      </c>
      <c r="R4" s="6" t="s">
        <v>81</v>
      </c>
    </row>
    <row r="5" spans="1:19" x14ac:dyDescent="0.35">
      <c r="A5" s="166" t="s">
        <v>228</v>
      </c>
      <c r="B5" s="183" t="s">
        <v>22</v>
      </c>
      <c r="C5" s="192">
        <v>20</v>
      </c>
      <c r="D5" s="195">
        <v>69</v>
      </c>
      <c r="E5" s="195">
        <f>C5*D5</f>
        <v>1380</v>
      </c>
      <c r="F5" s="46">
        <v>0.78</v>
      </c>
      <c r="G5" s="54">
        <f>ROUND(E5/F5,2)</f>
        <v>1769.23</v>
      </c>
      <c r="H5" s="134"/>
      <c r="I5" s="134"/>
      <c r="J5" s="134"/>
      <c r="K5" s="134"/>
      <c r="L5" s="134"/>
      <c r="M5" s="134"/>
      <c r="N5" s="134"/>
      <c r="O5" s="134"/>
      <c r="P5" s="137"/>
      <c r="Q5" s="146"/>
      <c r="R5" s="57"/>
    </row>
    <row r="6" spans="1:19" x14ac:dyDescent="0.35">
      <c r="A6" s="166" t="s">
        <v>191</v>
      </c>
      <c r="B6" s="183" t="s">
        <v>23</v>
      </c>
      <c r="C6" s="192">
        <v>10</v>
      </c>
      <c r="D6" s="195">
        <v>71</v>
      </c>
      <c r="E6" s="195">
        <f t="shared" ref="E6:E9" si="0">C6*D6</f>
        <v>710</v>
      </c>
      <c r="F6" s="46">
        <v>0.78</v>
      </c>
      <c r="G6" s="54">
        <f t="shared" ref="G6:G9" si="1">ROUND(E6/F6,2)</f>
        <v>910.26</v>
      </c>
      <c r="H6" s="134"/>
      <c r="I6" s="134"/>
      <c r="J6" s="134"/>
      <c r="K6" s="134"/>
      <c r="L6" s="134"/>
      <c r="M6" s="134"/>
      <c r="N6" s="134"/>
      <c r="O6" s="134"/>
      <c r="P6" s="137"/>
      <c r="Q6" s="146"/>
    </row>
    <row r="7" spans="1:19" x14ac:dyDescent="0.35">
      <c r="A7" s="166" t="s">
        <v>267</v>
      </c>
      <c r="B7" s="183" t="s">
        <v>12</v>
      </c>
      <c r="C7" s="192">
        <v>20</v>
      </c>
      <c r="D7" s="196">
        <v>38</v>
      </c>
      <c r="E7" s="195">
        <f t="shared" si="0"/>
        <v>760</v>
      </c>
      <c r="F7" s="46">
        <v>0.78</v>
      </c>
      <c r="G7" s="54">
        <f t="shared" si="1"/>
        <v>974.36</v>
      </c>
      <c r="H7" s="134"/>
      <c r="I7" s="134"/>
      <c r="J7" s="134"/>
      <c r="K7" s="134"/>
      <c r="L7" s="134"/>
      <c r="M7" s="134"/>
      <c r="N7" s="134"/>
      <c r="O7" s="134"/>
      <c r="P7" s="137"/>
      <c r="Q7" s="146"/>
      <c r="R7" s="6" t="s">
        <v>82</v>
      </c>
    </row>
    <row r="8" spans="1:19" x14ac:dyDescent="0.35">
      <c r="A8" s="166" t="s">
        <v>184</v>
      </c>
      <c r="B8" s="183" t="s">
        <v>24</v>
      </c>
      <c r="C8" s="192">
        <v>20</v>
      </c>
      <c r="D8" s="196">
        <v>93</v>
      </c>
      <c r="E8" s="195">
        <f t="shared" si="0"/>
        <v>1860</v>
      </c>
      <c r="F8" s="46">
        <v>0.78</v>
      </c>
      <c r="G8" s="54">
        <f t="shared" si="1"/>
        <v>2384.62</v>
      </c>
      <c r="H8" s="134"/>
      <c r="I8" s="134"/>
      <c r="J8" s="134"/>
      <c r="K8" s="134"/>
      <c r="L8" s="134"/>
      <c r="M8" s="134"/>
      <c r="N8" s="134"/>
      <c r="O8" s="134"/>
      <c r="P8" s="137"/>
      <c r="Q8" s="146"/>
      <c r="R8" s="57">
        <v>45565</v>
      </c>
      <c r="S8">
        <v>7.92</v>
      </c>
    </row>
    <row r="9" spans="1:19" x14ac:dyDescent="0.35">
      <c r="A9" s="166" t="s">
        <v>350</v>
      </c>
      <c r="B9" s="183" t="s">
        <v>25</v>
      </c>
      <c r="C9" s="192">
        <v>20</v>
      </c>
      <c r="D9" s="196">
        <v>16</v>
      </c>
      <c r="E9" s="195">
        <f t="shared" si="0"/>
        <v>320</v>
      </c>
      <c r="F9" s="46">
        <v>0.78</v>
      </c>
      <c r="G9" s="54">
        <f t="shared" si="1"/>
        <v>410.26</v>
      </c>
      <c r="H9" s="134"/>
      <c r="I9" s="134"/>
      <c r="J9" s="134"/>
      <c r="K9" s="134"/>
      <c r="L9" s="134"/>
      <c r="M9" s="134"/>
      <c r="N9" s="134"/>
      <c r="O9" s="134"/>
      <c r="P9" s="137"/>
      <c r="Q9" s="146"/>
    </row>
    <row r="10" spans="1:19" ht="15" thickBot="1" x14ac:dyDescent="0.4">
      <c r="A10" s="167" t="s">
        <v>278</v>
      </c>
      <c r="B10" s="184" t="s">
        <v>26</v>
      </c>
      <c r="C10" s="193">
        <v>20</v>
      </c>
      <c r="D10" s="197">
        <v>14</v>
      </c>
      <c r="E10" s="197">
        <f>C10*D10</f>
        <v>280</v>
      </c>
      <c r="F10" s="47">
        <v>0.78</v>
      </c>
      <c r="G10" s="55">
        <f>ROUND(E10/F10,2)</f>
        <v>358.97</v>
      </c>
      <c r="H10" s="135"/>
      <c r="I10" s="135"/>
      <c r="J10" s="135"/>
      <c r="K10" s="135"/>
      <c r="L10" s="135"/>
      <c r="M10" s="135"/>
      <c r="N10" s="135"/>
      <c r="O10" s="135"/>
      <c r="P10" s="138"/>
      <c r="Q10" s="147"/>
      <c r="R10" s="6" t="s">
        <v>83</v>
      </c>
    </row>
    <row r="11" spans="1:19" x14ac:dyDescent="0.35">
      <c r="G11" s="48">
        <f>SUM(G4:G10)</f>
        <v>8346.16</v>
      </c>
      <c r="R11" s="57">
        <v>45588</v>
      </c>
      <c r="S11">
        <v>2.7</v>
      </c>
    </row>
    <row r="12" spans="1:19" x14ac:dyDescent="0.35">
      <c r="S12">
        <v>3</v>
      </c>
    </row>
    <row r="13" spans="1:19" x14ac:dyDescent="0.35">
      <c r="S13">
        <v>1.25</v>
      </c>
    </row>
    <row r="14" spans="1:19" x14ac:dyDescent="0.35">
      <c r="S14" s="58">
        <f>SUM(S11:S13)</f>
        <v>6.95</v>
      </c>
    </row>
    <row r="15" spans="1:19" x14ac:dyDescent="0.35">
      <c r="S15" s="81"/>
    </row>
    <row r="16" spans="1:19" x14ac:dyDescent="0.35">
      <c r="R16" s="6" t="s">
        <v>557</v>
      </c>
    </row>
    <row r="17" spans="18:21" ht="58" x14ac:dyDescent="0.35">
      <c r="R17" s="57">
        <v>45574</v>
      </c>
      <c r="S17">
        <v>8.65</v>
      </c>
      <c r="T17" s="122" t="s">
        <v>558</v>
      </c>
      <c r="U17" t="s">
        <v>561</v>
      </c>
    </row>
    <row r="18" spans="18:21" x14ac:dyDescent="0.35">
      <c r="S18" s="132"/>
    </row>
    <row r="19" spans="18:21" x14ac:dyDescent="0.35">
      <c r="R19" s="6" t="s">
        <v>540</v>
      </c>
    </row>
    <row r="20" spans="18:21" ht="58" x14ac:dyDescent="0.35">
      <c r="R20" s="57">
        <v>45572</v>
      </c>
      <c r="S20">
        <v>4</v>
      </c>
      <c r="T20" s="122" t="s">
        <v>559</v>
      </c>
      <c r="U20" t="s">
        <v>560</v>
      </c>
    </row>
  </sheetData>
  <mergeCells count="10">
    <mergeCell ref="N4:N10"/>
    <mergeCell ref="O4:O10"/>
    <mergeCell ref="P4:P10"/>
    <mergeCell ref="Q4:Q10"/>
    <mergeCell ref="H4:H10"/>
    <mergeCell ref="I4:I10"/>
    <mergeCell ref="J4:J10"/>
    <mergeCell ref="K4:K10"/>
    <mergeCell ref="L4:L10"/>
    <mergeCell ref="M4:M10"/>
  </mergeCells>
  <pageMargins left="0.7" right="0.7" top="0.75" bottom="0.75" header="0.3" footer="0.3"/>
  <pageSetup scale="4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eefHam_Button1_Click">
                <anchor moveWithCells="1" sizeWithCells="1">
                  <from>
                    <xdr:col>1</xdr:col>
                    <xdr:colOff>1238250</xdr:colOff>
                    <xdr:row>10</xdr:row>
                    <xdr:rowOff>95250</xdr:rowOff>
                  </from>
                  <to>
                    <xdr:col>3</xdr:col>
                    <xdr:colOff>158750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eefHam_Button2_Click">
                <anchor moveWithCells="1" sizeWithCells="1">
                  <from>
                    <xdr:col>1</xdr:col>
                    <xdr:colOff>1238250</xdr:colOff>
                    <xdr:row>13</xdr:row>
                    <xdr:rowOff>146050</xdr:rowOff>
                  </from>
                  <to>
                    <xdr:col>3</xdr:col>
                    <xdr:colOff>146050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B5B29-7C2B-4AAF-B773-85A08299F4BF}">
  <sheetPr codeName="Sheet5">
    <pageSetUpPr fitToPage="1"/>
  </sheetPr>
  <dimension ref="A2:T40"/>
  <sheetViews>
    <sheetView zoomScale="60" zoomScaleNormal="60" workbookViewId="0">
      <selection activeCell="H4" sqref="H4:H37"/>
    </sheetView>
  </sheetViews>
  <sheetFormatPr defaultRowHeight="14.5" x14ac:dyDescent="0.35"/>
  <cols>
    <col min="1" max="1" width="11.90625" style="3" bestFit="1" customWidth="1"/>
    <col min="2" max="2" width="44.81640625" style="3" bestFit="1" customWidth="1"/>
    <col min="3" max="3" width="11.6328125" style="3" bestFit="1" customWidth="1"/>
    <col min="4" max="4" width="8.26953125" style="3" bestFit="1" customWidth="1"/>
    <col min="5" max="5" width="15.54296875" style="3" bestFit="1" customWidth="1"/>
    <col min="6" max="6" width="5.90625" style="3" bestFit="1" customWidth="1"/>
    <col min="7" max="7" width="10.453125" style="3" customWidth="1"/>
    <col min="8" max="8" width="8.7265625" style="3"/>
    <col min="9" max="9" width="14.08984375" style="3" customWidth="1"/>
    <col min="10" max="15" width="8.7265625" style="3"/>
    <col min="16" max="16" width="12.81640625" style="3" bestFit="1" customWidth="1"/>
    <col min="17" max="17" width="37.54296875" style="3" bestFit="1" customWidth="1"/>
    <col min="18" max="18" width="16.453125" style="3" bestFit="1" customWidth="1"/>
    <col min="19" max="19" width="8.7265625" style="3"/>
    <col min="20" max="20" width="24.90625" style="3" bestFit="1" customWidth="1"/>
    <col min="21" max="16384" width="8.7265625" style="3"/>
  </cols>
  <sheetData>
    <row r="2" spans="1:20" ht="15" thickBot="1" x14ac:dyDescent="0.4">
      <c r="G2" s="49" t="s">
        <v>51</v>
      </c>
      <c r="H2" s="49" t="s">
        <v>52</v>
      </c>
      <c r="J2" s="50" t="s">
        <v>57</v>
      </c>
      <c r="K2" s="50" t="s">
        <v>58</v>
      </c>
      <c r="L2" s="50" t="s">
        <v>59</v>
      </c>
    </row>
    <row r="3" spans="1:20" ht="73" thickBot="1" x14ac:dyDescent="0.4">
      <c r="A3" s="75" t="s">
        <v>0</v>
      </c>
      <c r="B3" s="163" t="s">
        <v>1</v>
      </c>
      <c r="C3" s="37" t="s">
        <v>2</v>
      </c>
      <c r="D3" s="37" t="s">
        <v>54</v>
      </c>
      <c r="E3" s="39" t="s">
        <v>53</v>
      </c>
      <c r="F3" s="9" t="s">
        <v>3</v>
      </c>
      <c r="G3" s="9" t="s">
        <v>55</v>
      </c>
      <c r="H3" s="9" t="s">
        <v>69</v>
      </c>
      <c r="I3" s="11" t="s">
        <v>70</v>
      </c>
      <c r="J3" s="9" t="s">
        <v>61</v>
      </c>
      <c r="K3" s="9" t="s">
        <v>62</v>
      </c>
      <c r="L3" s="9" t="s">
        <v>63</v>
      </c>
      <c r="M3" s="9" t="s">
        <v>64</v>
      </c>
      <c r="N3" s="12" t="s">
        <v>60</v>
      </c>
      <c r="O3" s="13" t="s">
        <v>65</v>
      </c>
      <c r="P3" s="14" t="s">
        <v>66</v>
      </c>
      <c r="Q3" s="23" t="s">
        <v>72</v>
      </c>
    </row>
    <row r="4" spans="1:20" x14ac:dyDescent="0.35">
      <c r="A4" s="168" t="s">
        <v>136</v>
      </c>
      <c r="B4" s="172" t="s">
        <v>27</v>
      </c>
      <c r="C4" s="180">
        <v>180</v>
      </c>
      <c r="D4" s="177">
        <v>437</v>
      </c>
      <c r="E4" s="177">
        <f>C4*D4</f>
        <v>78660</v>
      </c>
      <c r="F4" s="46">
        <v>0.97</v>
      </c>
      <c r="G4" s="54">
        <f>E4/F4</f>
        <v>81092.783505154643</v>
      </c>
      <c r="H4" s="134">
        <v>0</v>
      </c>
      <c r="I4" s="134">
        <f>ROUND(D39+H4,2)</f>
        <v>105.99</v>
      </c>
      <c r="J4" s="134">
        <v>27.8</v>
      </c>
      <c r="K4" s="134">
        <v>210</v>
      </c>
      <c r="L4" s="134">
        <v>0</v>
      </c>
      <c r="M4" s="134">
        <v>101.3</v>
      </c>
      <c r="N4" s="134">
        <f>J4+K4+L4</f>
        <v>237.8</v>
      </c>
      <c r="O4" s="134">
        <f>(N4-I4)</f>
        <v>131.81</v>
      </c>
      <c r="P4" s="134">
        <f>ROUND(M4-O4,2)</f>
        <v>-30.51</v>
      </c>
      <c r="Q4" s="146">
        <f>ROUND((P4/O4)*100,2)</f>
        <v>-23.15</v>
      </c>
      <c r="R4" s="63" t="s">
        <v>81</v>
      </c>
    </row>
    <row r="5" spans="1:20" x14ac:dyDescent="0.35">
      <c r="A5" s="169" t="s">
        <v>351</v>
      </c>
      <c r="B5" s="173" t="s">
        <v>28</v>
      </c>
      <c r="C5" s="181">
        <v>200</v>
      </c>
      <c r="D5" s="178">
        <v>3</v>
      </c>
      <c r="E5" s="178">
        <f>D5*C5</f>
        <v>600</v>
      </c>
      <c r="F5" s="46">
        <v>0.97</v>
      </c>
      <c r="G5" s="54">
        <f>ROUND(E5/F5,2)</f>
        <v>618.55999999999995</v>
      </c>
      <c r="H5" s="134"/>
      <c r="I5" s="134"/>
      <c r="J5" s="134"/>
      <c r="K5" s="134"/>
      <c r="L5" s="134"/>
      <c r="M5" s="134"/>
      <c r="N5" s="134"/>
      <c r="O5" s="134"/>
      <c r="P5" s="134"/>
      <c r="Q5" s="146"/>
      <c r="R5" s="59">
        <v>45568</v>
      </c>
      <c r="S5" s="3">
        <v>80</v>
      </c>
      <c r="T5" s="3" t="s">
        <v>562</v>
      </c>
    </row>
    <row r="6" spans="1:20" ht="18" customHeight="1" x14ac:dyDescent="0.35">
      <c r="A6" s="169" t="s">
        <v>191</v>
      </c>
      <c r="B6" s="173" t="s">
        <v>29</v>
      </c>
      <c r="C6" s="181">
        <v>180</v>
      </c>
      <c r="D6" s="178">
        <v>71</v>
      </c>
      <c r="E6" s="178">
        <f t="shared" ref="E6:E37" si="0">D6*C6</f>
        <v>12780</v>
      </c>
      <c r="F6" s="46">
        <v>0.97</v>
      </c>
      <c r="G6" s="54">
        <f t="shared" ref="G6:G37" si="1">ROUND(E6/F6,2)</f>
        <v>13175.26</v>
      </c>
      <c r="H6" s="134"/>
      <c r="I6" s="134"/>
      <c r="J6" s="134"/>
      <c r="K6" s="134"/>
      <c r="L6" s="134"/>
      <c r="M6" s="134"/>
      <c r="N6" s="134"/>
      <c r="O6" s="134"/>
      <c r="P6" s="134"/>
      <c r="Q6" s="146"/>
      <c r="R6" s="59">
        <v>45575</v>
      </c>
      <c r="S6" s="3">
        <v>50</v>
      </c>
      <c r="T6" s="124" t="s">
        <v>563</v>
      </c>
    </row>
    <row r="7" spans="1:20" x14ac:dyDescent="0.35">
      <c r="A7" s="169" t="s">
        <v>267</v>
      </c>
      <c r="B7" s="173" t="s">
        <v>30</v>
      </c>
      <c r="C7" s="181">
        <v>200</v>
      </c>
      <c r="D7" s="178">
        <v>38</v>
      </c>
      <c r="E7" s="178">
        <f t="shared" si="0"/>
        <v>7600</v>
      </c>
      <c r="F7" s="46">
        <v>0.97</v>
      </c>
      <c r="G7" s="54">
        <f t="shared" si="1"/>
        <v>7835.05</v>
      </c>
      <c r="H7" s="134"/>
      <c r="I7" s="134"/>
      <c r="J7" s="134"/>
      <c r="K7" s="134"/>
      <c r="L7" s="134"/>
      <c r="M7" s="134"/>
      <c r="N7" s="134"/>
      <c r="O7" s="134"/>
      <c r="P7" s="134"/>
      <c r="Q7" s="146"/>
      <c r="R7" s="59">
        <v>45582</v>
      </c>
      <c r="S7" s="3">
        <v>80</v>
      </c>
      <c r="T7" s="3" t="s">
        <v>564</v>
      </c>
    </row>
    <row r="8" spans="1:20" x14ac:dyDescent="0.35">
      <c r="A8" s="169" t="s">
        <v>248</v>
      </c>
      <c r="B8" s="173" t="s">
        <v>31</v>
      </c>
      <c r="C8" s="181">
        <v>180</v>
      </c>
      <c r="D8" s="178">
        <v>22</v>
      </c>
      <c r="E8" s="178">
        <f t="shared" si="0"/>
        <v>3960</v>
      </c>
      <c r="F8" s="46">
        <v>0.97</v>
      </c>
      <c r="G8" s="54">
        <f t="shared" si="1"/>
        <v>4082.47</v>
      </c>
      <c r="H8" s="134"/>
      <c r="I8" s="134"/>
      <c r="J8" s="134"/>
      <c r="K8" s="134"/>
      <c r="L8" s="134"/>
      <c r="M8" s="134"/>
      <c r="N8" s="134"/>
      <c r="O8" s="134"/>
      <c r="P8" s="134"/>
      <c r="Q8" s="146"/>
      <c r="R8" s="131"/>
      <c r="T8" s="123"/>
    </row>
    <row r="9" spans="1:20" x14ac:dyDescent="0.35">
      <c r="A9" s="169" t="s">
        <v>167</v>
      </c>
      <c r="B9" s="173" t="s">
        <v>32</v>
      </c>
      <c r="C9" s="181">
        <v>180</v>
      </c>
      <c r="D9" s="178">
        <v>148</v>
      </c>
      <c r="E9" s="178">
        <f t="shared" si="0"/>
        <v>26640</v>
      </c>
      <c r="F9" s="46">
        <v>0.97</v>
      </c>
      <c r="G9" s="54">
        <f t="shared" si="1"/>
        <v>27463.919999999998</v>
      </c>
      <c r="H9" s="134"/>
      <c r="I9" s="134"/>
      <c r="J9" s="134"/>
      <c r="K9" s="134"/>
      <c r="L9" s="134"/>
      <c r="M9" s="134"/>
      <c r="N9" s="134"/>
      <c r="O9" s="134"/>
      <c r="P9" s="134"/>
      <c r="Q9" s="146"/>
      <c r="R9" s="59"/>
      <c r="T9" s="123"/>
    </row>
    <row r="10" spans="1:20" x14ac:dyDescent="0.35">
      <c r="A10" s="169" t="s">
        <v>268</v>
      </c>
      <c r="B10" s="173" t="s">
        <v>33</v>
      </c>
      <c r="C10" s="181">
        <v>200</v>
      </c>
      <c r="D10" s="178">
        <v>41</v>
      </c>
      <c r="E10" s="178">
        <f t="shared" si="0"/>
        <v>8200</v>
      </c>
      <c r="F10" s="46">
        <v>0.97</v>
      </c>
      <c r="G10" s="54">
        <f t="shared" si="1"/>
        <v>8453.61</v>
      </c>
      <c r="H10" s="134"/>
      <c r="I10" s="134"/>
      <c r="J10" s="134"/>
      <c r="K10" s="134"/>
      <c r="L10" s="134"/>
      <c r="M10" s="134"/>
      <c r="N10" s="134"/>
      <c r="O10" s="134"/>
      <c r="P10" s="134"/>
      <c r="Q10" s="146"/>
      <c r="S10" s="127">
        <f>SUM(S5:S9)</f>
        <v>210</v>
      </c>
    </row>
    <row r="11" spans="1:20" x14ac:dyDescent="0.35">
      <c r="A11" s="169" t="s">
        <v>278</v>
      </c>
      <c r="B11" s="173" t="s">
        <v>34</v>
      </c>
      <c r="C11" s="181">
        <v>200</v>
      </c>
      <c r="D11" s="178">
        <v>14</v>
      </c>
      <c r="E11" s="178">
        <f t="shared" si="0"/>
        <v>2800</v>
      </c>
      <c r="F11" s="46">
        <v>0.97</v>
      </c>
      <c r="G11" s="54">
        <f t="shared" si="1"/>
        <v>2886.6</v>
      </c>
      <c r="H11" s="134"/>
      <c r="I11" s="134"/>
      <c r="J11" s="134"/>
      <c r="K11" s="134"/>
      <c r="L11" s="134"/>
      <c r="M11" s="134"/>
      <c r="N11" s="134"/>
      <c r="O11" s="134"/>
      <c r="P11" s="134"/>
      <c r="Q11" s="146"/>
      <c r="S11" s="127"/>
    </row>
    <row r="12" spans="1:20" x14ac:dyDescent="0.35">
      <c r="A12" s="169" t="s">
        <v>299</v>
      </c>
      <c r="B12" s="173" t="s">
        <v>35</v>
      </c>
      <c r="C12" s="181">
        <v>160</v>
      </c>
      <c r="D12" s="178">
        <v>12</v>
      </c>
      <c r="E12" s="178">
        <f t="shared" si="0"/>
        <v>1920</v>
      </c>
      <c r="F12" s="46">
        <v>0.97</v>
      </c>
      <c r="G12" s="54">
        <f t="shared" si="1"/>
        <v>1979.38</v>
      </c>
      <c r="H12" s="134"/>
      <c r="I12" s="134"/>
      <c r="J12" s="134"/>
      <c r="K12" s="134"/>
      <c r="L12" s="134"/>
      <c r="M12" s="134"/>
      <c r="N12" s="134"/>
      <c r="O12" s="134"/>
      <c r="P12" s="134"/>
      <c r="Q12" s="146"/>
    </row>
    <row r="13" spans="1:20" x14ac:dyDescent="0.35">
      <c r="A13" s="169" t="s">
        <v>340</v>
      </c>
      <c r="B13" s="173" t="s">
        <v>36</v>
      </c>
      <c r="C13" s="181">
        <v>160</v>
      </c>
      <c r="D13" s="178">
        <v>8</v>
      </c>
      <c r="E13" s="178">
        <f t="shared" si="0"/>
        <v>1280</v>
      </c>
      <c r="F13" s="46">
        <v>0.97</v>
      </c>
      <c r="G13" s="54">
        <f t="shared" si="1"/>
        <v>1319.59</v>
      </c>
      <c r="H13" s="134"/>
      <c r="I13" s="134"/>
      <c r="J13" s="134"/>
      <c r="K13" s="134"/>
      <c r="L13" s="134"/>
      <c r="M13" s="134"/>
      <c r="N13" s="134"/>
      <c r="O13" s="134"/>
      <c r="P13" s="134"/>
      <c r="Q13" s="146"/>
      <c r="R13" s="63" t="s">
        <v>82</v>
      </c>
    </row>
    <row r="14" spans="1:20" x14ac:dyDescent="0.35">
      <c r="A14" s="169" t="s">
        <v>344</v>
      </c>
      <c r="B14" s="173" t="s">
        <v>37</v>
      </c>
      <c r="C14" s="181">
        <v>160</v>
      </c>
      <c r="D14" s="178">
        <v>5</v>
      </c>
      <c r="E14" s="178">
        <f t="shared" si="0"/>
        <v>800</v>
      </c>
      <c r="F14" s="46">
        <v>0.97</v>
      </c>
      <c r="G14" s="54">
        <f t="shared" si="1"/>
        <v>824.74</v>
      </c>
      <c r="H14" s="134"/>
      <c r="I14" s="134"/>
      <c r="J14" s="134"/>
      <c r="K14" s="134"/>
      <c r="L14" s="134"/>
      <c r="M14" s="134"/>
      <c r="N14" s="134"/>
      <c r="O14" s="134"/>
      <c r="P14" s="134"/>
      <c r="Q14" s="146"/>
      <c r="R14" s="59">
        <v>45565</v>
      </c>
      <c r="S14" s="3">
        <v>27.8</v>
      </c>
    </row>
    <row r="15" spans="1:20" x14ac:dyDescent="0.35">
      <c r="A15" s="169" t="s">
        <v>333</v>
      </c>
      <c r="B15" s="173" t="s">
        <v>38</v>
      </c>
      <c r="C15" s="181">
        <v>160</v>
      </c>
      <c r="D15" s="178">
        <v>3</v>
      </c>
      <c r="E15" s="178">
        <f t="shared" si="0"/>
        <v>480</v>
      </c>
      <c r="F15" s="46">
        <v>0.97</v>
      </c>
      <c r="G15" s="54">
        <f t="shared" si="1"/>
        <v>494.85</v>
      </c>
      <c r="H15" s="134"/>
      <c r="I15" s="134"/>
      <c r="J15" s="134"/>
      <c r="K15" s="134"/>
      <c r="L15" s="134"/>
      <c r="M15" s="134"/>
      <c r="N15" s="134"/>
      <c r="O15" s="134"/>
      <c r="P15" s="134"/>
      <c r="Q15" s="146"/>
    </row>
    <row r="16" spans="1:20" x14ac:dyDescent="0.35">
      <c r="A16" s="169" t="s">
        <v>179</v>
      </c>
      <c r="B16" s="173" t="s">
        <v>39</v>
      </c>
      <c r="C16" s="181">
        <v>100</v>
      </c>
      <c r="D16" s="178">
        <v>166</v>
      </c>
      <c r="E16" s="178">
        <f t="shared" si="0"/>
        <v>16600</v>
      </c>
      <c r="F16" s="46">
        <v>0.97</v>
      </c>
      <c r="G16" s="54">
        <f t="shared" si="1"/>
        <v>17113.400000000001</v>
      </c>
      <c r="H16" s="134"/>
      <c r="I16" s="134"/>
      <c r="J16" s="134"/>
      <c r="K16" s="134"/>
      <c r="L16" s="134"/>
      <c r="M16" s="134"/>
      <c r="N16" s="134"/>
      <c r="O16" s="134"/>
      <c r="P16" s="134"/>
      <c r="Q16" s="146"/>
      <c r="R16" s="63" t="s">
        <v>83</v>
      </c>
    </row>
    <row r="17" spans="1:20" x14ac:dyDescent="0.35">
      <c r="A17" s="169" t="s">
        <v>219</v>
      </c>
      <c r="B17" s="173" t="s">
        <v>40</v>
      </c>
      <c r="C17" s="181">
        <v>100</v>
      </c>
      <c r="D17" s="178">
        <v>118</v>
      </c>
      <c r="E17" s="178">
        <f t="shared" si="0"/>
        <v>11800</v>
      </c>
      <c r="F17" s="46">
        <v>0.97</v>
      </c>
      <c r="G17" s="54">
        <f t="shared" si="1"/>
        <v>12164.95</v>
      </c>
      <c r="H17" s="134"/>
      <c r="I17" s="134"/>
      <c r="J17" s="134"/>
      <c r="K17" s="134"/>
      <c r="L17" s="134"/>
      <c r="M17" s="134"/>
      <c r="N17" s="134"/>
      <c r="O17" s="134"/>
      <c r="P17" s="134"/>
      <c r="Q17" s="146"/>
      <c r="R17" s="59">
        <v>45588</v>
      </c>
      <c r="S17" s="3">
        <v>100</v>
      </c>
    </row>
    <row r="18" spans="1:20" x14ac:dyDescent="0.35">
      <c r="A18" s="169" t="s">
        <v>281</v>
      </c>
      <c r="B18" s="173" t="s">
        <v>41</v>
      </c>
      <c r="C18" s="181">
        <v>100</v>
      </c>
      <c r="D18" s="178">
        <v>24</v>
      </c>
      <c r="E18" s="178">
        <f t="shared" si="0"/>
        <v>2400</v>
      </c>
      <c r="F18" s="46">
        <v>0.97</v>
      </c>
      <c r="G18" s="54">
        <f t="shared" si="1"/>
        <v>2474.23</v>
      </c>
      <c r="H18" s="134"/>
      <c r="I18" s="134"/>
      <c r="J18" s="134"/>
      <c r="K18" s="134"/>
      <c r="L18" s="134"/>
      <c r="M18" s="134"/>
      <c r="N18" s="134"/>
      <c r="O18" s="134"/>
      <c r="P18" s="134"/>
      <c r="Q18" s="146"/>
      <c r="S18" s="3">
        <v>1.3</v>
      </c>
    </row>
    <row r="19" spans="1:20" x14ac:dyDescent="0.35">
      <c r="A19" s="169" t="s">
        <v>172</v>
      </c>
      <c r="B19" s="173" t="s">
        <v>42</v>
      </c>
      <c r="C19" s="181">
        <v>100</v>
      </c>
      <c r="D19" s="178">
        <v>137</v>
      </c>
      <c r="E19" s="178">
        <f t="shared" si="0"/>
        <v>13700</v>
      </c>
      <c r="F19" s="46">
        <v>0.97</v>
      </c>
      <c r="G19" s="54">
        <f t="shared" si="1"/>
        <v>14123.71</v>
      </c>
      <c r="H19" s="134"/>
      <c r="I19" s="134"/>
      <c r="J19" s="134"/>
      <c r="K19" s="134"/>
      <c r="L19" s="134"/>
      <c r="M19" s="134"/>
      <c r="N19" s="134"/>
      <c r="O19" s="134"/>
      <c r="P19" s="134"/>
      <c r="Q19" s="146"/>
      <c r="S19" s="130"/>
    </row>
    <row r="20" spans="1:20" x14ac:dyDescent="0.35">
      <c r="A20" s="169" t="s">
        <v>230</v>
      </c>
      <c r="B20" s="173" t="s">
        <v>43</v>
      </c>
      <c r="C20" s="181">
        <v>100</v>
      </c>
      <c r="D20" s="178">
        <v>83</v>
      </c>
      <c r="E20" s="178">
        <f t="shared" si="0"/>
        <v>8300</v>
      </c>
      <c r="F20" s="46">
        <v>0.97</v>
      </c>
      <c r="G20" s="54">
        <f t="shared" si="1"/>
        <v>8556.7000000000007</v>
      </c>
      <c r="H20" s="134"/>
      <c r="I20" s="134"/>
      <c r="J20" s="134"/>
      <c r="K20" s="134"/>
      <c r="L20" s="134"/>
      <c r="M20" s="134"/>
      <c r="N20" s="134"/>
      <c r="O20" s="134"/>
      <c r="P20" s="134"/>
      <c r="Q20" s="146"/>
      <c r="S20" s="127">
        <f>SUM(S17:S19)</f>
        <v>101.3</v>
      </c>
    </row>
    <row r="21" spans="1:20" x14ac:dyDescent="0.35">
      <c r="A21" s="169" t="s">
        <v>288</v>
      </c>
      <c r="B21" s="173" t="s">
        <v>44</v>
      </c>
      <c r="C21" s="181">
        <v>100</v>
      </c>
      <c r="D21" s="178">
        <v>37</v>
      </c>
      <c r="E21" s="178">
        <f t="shared" si="0"/>
        <v>3700</v>
      </c>
      <c r="F21" s="46">
        <v>0.97</v>
      </c>
      <c r="G21" s="54">
        <f t="shared" si="1"/>
        <v>3814.43</v>
      </c>
      <c r="H21" s="134"/>
      <c r="I21" s="134"/>
      <c r="J21" s="134"/>
      <c r="K21" s="134"/>
      <c r="L21" s="134"/>
      <c r="M21" s="134"/>
      <c r="N21" s="134"/>
      <c r="O21" s="134"/>
      <c r="P21" s="134"/>
      <c r="Q21" s="146"/>
    </row>
    <row r="22" spans="1:20" x14ac:dyDescent="0.35">
      <c r="A22" s="169" t="s">
        <v>306</v>
      </c>
      <c r="B22" s="173" t="s">
        <v>45</v>
      </c>
      <c r="C22" s="181">
        <v>100</v>
      </c>
      <c r="D22" s="178">
        <v>30</v>
      </c>
      <c r="E22" s="178">
        <f t="shared" si="0"/>
        <v>3000</v>
      </c>
      <c r="F22" s="46">
        <v>0.97</v>
      </c>
      <c r="G22" s="54">
        <f t="shared" si="1"/>
        <v>3092.78</v>
      </c>
      <c r="H22" s="134"/>
      <c r="I22" s="134"/>
      <c r="J22" s="134"/>
      <c r="K22" s="134"/>
      <c r="L22" s="134"/>
      <c r="M22" s="134"/>
      <c r="N22" s="134"/>
      <c r="O22" s="134"/>
      <c r="P22" s="134"/>
      <c r="Q22" s="146"/>
    </row>
    <row r="23" spans="1:20" s="56" customFormat="1" x14ac:dyDescent="0.35">
      <c r="A23" s="169" t="s">
        <v>297</v>
      </c>
      <c r="B23" s="173" t="s">
        <v>106</v>
      </c>
      <c r="C23" s="181">
        <v>100</v>
      </c>
      <c r="D23" s="178">
        <v>35</v>
      </c>
      <c r="E23" s="178">
        <f t="shared" si="0"/>
        <v>3500</v>
      </c>
      <c r="F23" s="46">
        <v>0.97</v>
      </c>
      <c r="G23" s="54">
        <f t="shared" si="1"/>
        <v>3608.25</v>
      </c>
      <c r="H23" s="134"/>
      <c r="I23" s="134"/>
      <c r="J23" s="134"/>
      <c r="K23" s="134"/>
      <c r="L23" s="134"/>
      <c r="M23" s="134"/>
      <c r="N23" s="134"/>
      <c r="O23" s="134"/>
      <c r="P23" s="134"/>
      <c r="Q23" s="146"/>
      <c r="T23" s="3"/>
    </row>
    <row r="24" spans="1:20" x14ac:dyDescent="0.35">
      <c r="A24" s="169" t="s">
        <v>228</v>
      </c>
      <c r="B24" s="173" t="s">
        <v>46</v>
      </c>
      <c r="C24" s="181">
        <v>100</v>
      </c>
      <c r="D24" s="178">
        <v>69</v>
      </c>
      <c r="E24" s="178">
        <f t="shared" si="0"/>
        <v>6900</v>
      </c>
      <c r="F24" s="46">
        <v>0.97</v>
      </c>
      <c r="G24" s="54">
        <f t="shared" si="1"/>
        <v>7113.4</v>
      </c>
      <c r="H24" s="134"/>
      <c r="I24" s="134"/>
      <c r="J24" s="134"/>
      <c r="K24" s="134"/>
      <c r="L24" s="134"/>
      <c r="M24" s="134"/>
      <c r="N24" s="134"/>
      <c r="O24" s="134"/>
      <c r="P24" s="134"/>
      <c r="Q24" s="146"/>
    </row>
    <row r="25" spans="1:20" x14ac:dyDescent="0.35">
      <c r="A25" s="169" t="s">
        <v>286</v>
      </c>
      <c r="B25" s="173" t="s">
        <v>47</v>
      </c>
      <c r="C25" s="181">
        <v>160</v>
      </c>
      <c r="D25" s="178">
        <v>41</v>
      </c>
      <c r="E25" s="178">
        <f t="shared" si="0"/>
        <v>6560</v>
      </c>
      <c r="F25" s="46">
        <v>0.97</v>
      </c>
      <c r="G25" s="54">
        <f t="shared" si="1"/>
        <v>6762.89</v>
      </c>
      <c r="H25" s="134"/>
      <c r="I25" s="134"/>
      <c r="J25" s="134"/>
      <c r="K25" s="134"/>
      <c r="L25" s="134"/>
      <c r="M25" s="134"/>
      <c r="N25" s="134"/>
      <c r="O25" s="134"/>
      <c r="P25" s="134"/>
      <c r="Q25" s="146"/>
    </row>
    <row r="26" spans="1:20" s="56" customFormat="1" x14ac:dyDescent="0.35">
      <c r="A26" s="169" t="s">
        <v>227</v>
      </c>
      <c r="B26" s="173" t="s">
        <v>18</v>
      </c>
      <c r="C26" s="181">
        <v>180</v>
      </c>
      <c r="D26" s="178">
        <v>73</v>
      </c>
      <c r="E26" s="178">
        <f t="shared" si="0"/>
        <v>13140</v>
      </c>
      <c r="F26" s="46">
        <v>0.97</v>
      </c>
      <c r="G26" s="54">
        <f t="shared" si="1"/>
        <v>13546.39</v>
      </c>
      <c r="H26" s="134"/>
      <c r="I26" s="134"/>
      <c r="J26" s="134"/>
      <c r="K26" s="134"/>
      <c r="L26" s="134"/>
      <c r="M26" s="134"/>
      <c r="N26" s="134"/>
      <c r="O26" s="134"/>
      <c r="P26" s="134"/>
      <c r="Q26" s="146"/>
      <c r="T26" s="3"/>
    </row>
    <row r="27" spans="1:20" s="56" customFormat="1" x14ac:dyDescent="0.35">
      <c r="A27" s="169" t="s">
        <v>328</v>
      </c>
      <c r="B27" s="173" t="s">
        <v>107</v>
      </c>
      <c r="C27" s="181">
        <v>180</v>
      </c>
      <c r="D27" s="178">
        <v>11</v>
      </c>
      <c r="E27" s="178">
        <f t="shared" si="0"/>
        <v>1980</v>
      </c>
      <c r="F27" s="46">
        <v>0.97</v>
      </c>
      <c r="G27" s="54">
        <f t="shared" si="1"/>
        <v>2041.24</v>
      </c>
      <c r="H27" s="134"/>
      <c r="I27" s="134"/>
      <c r="J27" s="134"/>
      <c r="K27" s="134"/>
      <c r="L27" s="134"/>
      <c r="M27" s="134"/>
      <c r="N27" s="134"/>
      <c r="O27" s="134"/>
      <c r="P27" s="134"/>
      <c r="Q27" s="146"/>
      <c r="T27" s="3"/>
    </row>
    <row r="28" spans="1:20" x14ac:dyDescent="0.35">
      <c r="A28" s="169" t="s">
        <v>310</v>
      </c>
      <c r="B28" s="173" t="s">
        <v>48</v>
      </c>
      <c r="C28" s="181">
        <v>100</v>
      </c>
      <c r="D28" s="178">
        <v>18</v>
      </c>
      <c r="E28" s="178">
        <f t="shared" si="0"/>
        <v>1800</v>
      </c>
      <c r="F28" s="46">
        <v>0.97</v>
      </c>
      <c r="G28" s="54">
        <f t="shared" si="1"/>
        <v>1855.67</v>
      </c>
      <c r="H28" s="134"/>
      <c r="I28" s="134"/>
      <c r="J28" s="134"/>
      <c r="K28" s="134"/>
      <c r="L28" s="134"/>
      <c r="M28" s="134"/>
      <c r="N28" s="134"/>
      <c r="O28" s="134"/>
      <c r="P28" s="134"/>
      <c r="Q28" s="146"/>
    </row>
    <row r="29" spans="1:20" s="56" customFormat="1" x14ac:dyDescent="0.35">
      <c r="A29" s="169" t="s">
        <v>309</v>
      </c>
      <c r="B29" s="174" t="s">
        <v>101</v>
      </c>
      <c r="C29" s="181">
        <v>180</v>
      </c>
      <c r="D29" s="178">
        <v>34</v>
      </c>
      <c r="E29" s="178">
        <f t="shared" si="0"/>
        <v>6120</v>
      </c>
      <c r="F29" s="46">
        <v>0.97</v>
      </c>
      <c r="G29" s="54">
        <f t="shared" si="1"/>
        <v>6309.28</v>
      </c>
      <c r="H29" s="134"/>
      <c r="I29" s="134"/>
      <c r="J29" s="134"/>
      <c r="K29" s="134"/>
      <c r="L29" s="134"/>
      <c r="M29" s="134"/>
      <c r="N29" s="134"/>
      <c r="O29" s="134"/>
      <c r="P29" s="134"/>
      <c r="Q29" s="146"/>
    </row>
    <row r="30" spans="1:20" s="56" customFormat="1" x14ac:dyDescent="0.35">
      <c r="A30" s="170" t="s">
        <v>88</v>
      </c>
      <c r="B30" s="175" t="s">
        <v>89</v>
      </c>
      <c r="C30" s="181">
        <v>180</v>
      </c>
      <c r="D30" s="178">
        <v>70</v>
      </c>
      <c r="E30" s="178">
        <f t="shared" si="0"/>
        <v>12600</v>
      </c>
      <c r="F30" s="46">
        <v>0.97</v>
      </c>
      <c r="G30" s="54">
        <f t="shared" si="1"/>
        <v>12989.69</v>
      </c>
      <c r="H30" s="134"/>
      <c r="I30" s="134"/>
      <c r="J30" s="134"/>
      <c r="K30" s="134"/>
      <c r="L30" s="134"/>
      <c r="M30" s="134"/>
      <c r="N30" s="134"/>
      <c r="O30" s="134"/>
      <c r="P30" s="134"/>
      <c r="Q30" s="146"/>
    </row>
    <row r="31" spans="1:20" s="56" customFormat="1" x14ac:dyDescent="0.35">
      <c r="A31" s="170" t="s">
        <v>90</v>
      </c>
      <c r="B31" s="175" t="s">
        <v>91</v>
      </c>
      <c r="C31" s="181">
        <v>180</v>
      </c>
      <c r="D31" s="178">
        <v>111</v>
      </c>
      <c r="E31" s="178">
        <f t="shared" si="0"/>
        <v>19980</v>
      </c>
      <c r="F31" s="46">
        <v>0.97</v>
      </c>
      <c r="G31" s="54">
        <f t="shared" si="1"/>
        <v>20597.939999999999</v>
      </c>
      <c r="H31" s="134"/>
      <c r="I31" s="134"/>
      <c r="J31" s="134"/>
      <c r="K31" s="134"/>
      <c r="L31" s="134"/>
      <c r="M31" s="134"/>
      <c r="N31" s="134"/>
      <c r="O31" s="134"/>
      <c r="P31" s="134"/>
      <c r="Q31" s="146"/>
    </row>
    <row r="32" spans="1:20" s="56" customFormat="1" x14ac:dyDescent="0.35">
      <c r="A32" s="170" t="s">
        <v>92</v>
      </c>
      <c r="B32" s="175" t="s">
        <v>93</v>
      </c>
      <c r="C32" s="181">
        <v>180</v>
      </c>
      <c r="D32" s="178">
        <v>53</v>
      </c>
      <c r="E32" s="178">
        <f t="shared" si="0"/>
        <v>9540</v>
      </c>
      <c r="F32" s="46">
        <v>0.97</v>
      </c>
      <c r="G32" s="54">
        <f t="shared" si="1"/>
        <v>9835.0499999999993</v>
      </c>
      <c r="H32" s="134"/>
      <c r="I32" s="134"/>
      <c r="J32" s="134"/>
      <c r="K32" s="134"/>
      <c r="L32" s="134"/>
      <c r="M32" s="134"/>
      <c r="N32" s="134"/>
      <c r="O32" s="134"/>
      <c r="P32" s="134"/>
      <c r="Q32" s="146"/>
    </row>
    <row r="33" spans="1:17" s="56" customFormat="1" x14ac:dyDescent="0.35">
      <c r="A33" s="170" t="s">
        <v>94</v>
      </c>
      <c r="B33" s="175" t="s">
        <v>95</v>
      </c>
      <c r="C33" s="181">
        <v>180</v>
      </c>
      <c r="D33" s="178">
        <v>19</v>
      </c>
      <c r="E33" s="178">
        <f t="shared" si="0"/>
        <v>3420</v>
      </c>
      <c r="F33" s="46">
        <v>0.97</v>
      </c>
      <c r="G33" s="54">
        <f t="shared" si="1"/>
        <v>3525.77</v>
      </c>
      <c r="H33" s="134"/>
      <c r="I33" s="134"/>
      <c r="J33" s="134"/>
      <c r="K33" s="134"/>
      <c r="L33" s="134"/>
      <c r="M33" s="134"/>
      <c r="N33" s="134"/>
      <c r="O33" s="134"/>
      <c r="P33" s="134"/>
      <c r="Q33" s="146"/>
    </row>
    <row r="34" spans="1:17" s="56" customFormat="1" x14ac:dyDescent="0.35">
      <c r="A34" s="170" t="s">
        <v>96</v>
      </c>
      <c r="B34" s="175" t="s">
        <v>87</v>
      </c>
      <c r="C34" s="181">
        <v>180</v>
      </c>
      <c r="D34" s="178">
        <v>40</v>
      </c>
      <c r="E34" s="178">
        <f t="shared" si="0"/>
        <v>7200</v>
      </c>
      <c r="F34" s="46">
        <v>0.97</v>
      </c>
      <c r="G34" s="54">
        <f t="shared" si="1"/>
        <v>7422.68</v>
      </c>
      <c r="H34" s="134"/>
      <c r="I34" s="134"/>
      <c r="J34" s="134"/>
      <c r="K34" s="134"/>
      <c r="L34" s="134"/>
      <c r="M34" s="134"/>
      <c r="N34" s="134"/>
      <c r="O34" s="134"/>
      <c r="P34" s="134"/>
      <c r="Q34" s="146"/>
    </row>
    <row r="35" spans="1:17" s="56" customFormat="1" x14ac:dyDescent="0.35">
      <c r="A35" s="170" t="s">
        <v>97</v>
      </c>
      <c r="B35" s="175" t="s">
        <v>77</v>
      </c>
      <c r="C35" s="181">
        <v>180</v>
      </c>
      <c r="D35" s="178">
        <v>110</v>
      </c>
      <c r="E35" s="178">
        <f t="shared" si="0"/>
        <v>19800</v>
      </c>
      <c r="F35" s="46">
        <v>0.97</v>
      </c>
      <c r="G35" s="54">
        <f t="shared" si="1"/>
        <v>20412.37</v>
      </c>
      <c r="H35" s="134"/>
      <c r="I35" s="134"/>
      <c r="J35" s="134"/>
      <c r="K35" s="134"/>
      <c r="L35" s="134"/>
      <c r="M35" s="134"/>
      <c r="N35" s="134"/>
      <c r="O35" s="134"/>
      <c r="P35" s="134"/>
      <c r="Q35" s="146"/>
    </row>
    <row r="36" spans="1:17" s="56" customFormat="1" x14ac:dyDescent="0.35">
      <c r="A36" s="170" t="s">
        <v>98</v>
      </c>
      <c r="B36" s="175" t="s">
        <v>78</v>
      </c>
      <c r="C36" s="181">
        <v>180</v>
      </c>
      <c r="D36" s="178">
        <v>35</v>
      </c>
      <c r="E36" s="178">
        <f t="shared" si="0"/>
        <v>6300</v>
      </c>
      <c r="F36" s="46">
        <v>0.97</v>
      </c>
      <c r="G36" s="54">
        <f t="shared" si="1"/>
        <v>6494.85</v>
      </c>
      <c r="H36" s="134"/>
      <c r="I36" s="134"/>
      <c r="J36" s="134"/>
      <c r="K36" s="134"/>
      <c r="L36" s="134"/>
      <c r="M36" s="134"/>
      <c r="N36" s="134"/>
      <c r="O36" s="134"/>
      <c r="P36" s="134"/>
      <c r="Q36" s="146"/>
    </row>
    <row r="37" spans="1:17" s="56" customFormat="1" ht="15" thickBot="1" x14ac:dyDescent="0.4">
      <c r="A37" s="171" t="s">
        <v>99</v>
      </c>
      <c r="B37" s="176" t="s">
        <v>79</v>
      </c>
      <c r="C37" s="182">
        <v>180</v>
      </c>
      <c r="D37" s="179">
        <v>48</v>
      </c>
      <c r="E37" s="179">
        <f t="shared" si="0"/>
        <v>8640</v>
      </c>
      <c r="F37" s="47">
        <v>0.97</v>
      </c>
      <c r="G37" s="55">
        <f t="shared" si="1"/>
        <v>8907.2199999999993</v>
      </c>
      <c r="H37" s="135"/>
      <c r="I37" s="135"/>
      <c r="J37" s="135"/>
      <c r="K37" s="135"/>
      <c r="L37" s="135"/>
      <c r="M37" s="135"/>
      <c r="N37" s="135"/>
      <c r="O37" s="135"/>
      <c r="P37" s="135"/>
      <c r="Q37" s="147"/>
    </row>
    <row r="38" spans="1:17" x14ac:dyDescent="0.35">
      <c r="E38" s="54"/>
      <c r="G38" s="4">
        <f>SUM(G4:G28)/1000</f>
        <v>246.49485350515468</v>
      </c>
    </row>
    <row r="39" spans="1:17" x14ac:dyDescent="0.35">
      <c r="B39" s="3" t="s">
        <v>109</v>
      </c>
      <c r="C39" s="3">
        <f>ROUND(1000/2300,2)</f>
        <v>0.43</v>
      </c>
      <c r="D39" s="4">
        <f>G38*C39</f>
        <v>105.99278700721651</v>
      </c>
    </row>
    <row r="40" spans="1:17" x14ac:dyDescent="0.35">
      <c r="B40" s="56" t="s">
        <v>108</v>
      </c>
    </row>
  </sheetData>
  <mergeCells count="10">
    <mergeCell ref="N4:N37"/>
    <mergeCell ref="O4:O37"/>
    <mergeCell ref="P4:P37"/>
    <mergeCell ref="Q4:Q37"/>
    <mergeCell ref="H4:H37"/>
    <mergeCell ref="I4:I37"/>
    <mergeCell ref="J4:J37"/>
    <mergeCell ref="K4:K37"/>
    <mergeCell ref="L4:L37"/>
    <mergeCell ref="M4:M37"/>
  </mergeCells>
  <conditionalFormatting sqref="A30:B37">
    <cfRule type="expression" dxfId="2" priority="1">
      <formula>CELL("row")=ROW()</formula>
    </cfRule>
  </conditionalFormatting>
  <conditionalFormatting sqref="A30:B37">
    <cfRule type="expression" dxfId="1" priority="3">
      <formula>CELL("row")=ROW()</formula>
    </cfRule>
  </conditionalFormatting>
  <conditionalFormatting sqref="A30:B37">
    <cfRule type="expression" dxfId="0" priority="2">
      <formula>CELL("row")=ROW()</formula>
    </cfRule>
  </conditionalFormatting>
  <pageMargins left="0.7" right="0.7" top="0.75" bottom="0.75" header="0.3" footer="0.3"/>
  <pageSetup scale="43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eras_Button1_Click">
                <anchor moveWithCells="1" sizeWithCells="1">
                  <from>
                    <xdr:col>4</xdr:col>
                    <xdr:colOff>539750</xdr:colOff>
                    <xdr:row>39</xdr:row>
                    <xdr:rowOff>44450</xdr:rowOff>
                  </from>
                  <to>
                    <xdr:col>6</xdr:col>
                    <xdr:colOff>254000</xdr:colOff>
                    <xdr:row>41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Beras_Button2_Click">
                <anchor moveWithCells="1" sizeWithCells="1">
                  <from>
                    <xdr:col>6</xdr:col>
                    <xdr:colOff>596900</xdr:colOff>
                    <xdr:row>39</xdr:row>
                    <xdr:rowOff>50800</xdr:rowOff>
                  </from>
                  <to>
                    <xdr:col>8</xdr:col>
                    <xdr:colOff>635000</xdr:colOff>
                    <xdr:row>41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E1213-FF89-4370-AC71-787D922F9BCD}">
  <sheetPr codeName="Sheet6">
    <pageSetUpPr fitToPage="1"/>
  </sheetPr>
  <dimension ref="A2:T17"/>
  <sheetViews>
    <sheetView zoomScale="70" zoomScaleNormal="70" workbookViewId="0">
      <selection activeCell="C18" sqref="C18"/>
    </sheetView>
  </sheetViews>
  <sheetFormatPr defaultRowHeight="14.5" x14ac:dyDescent="0.35"/>
  <cols>
    <col min="1" max="1" width="11.90625" bestFit="1" customWidth="1"/>
    <col min="2" max="2" width="36.6328125" bestFit="1" customWidth="1"/>
    <col min="16" max="16" width="8.6328125" bestFit="1" customWidth="1"/>
    <col min="17" max="17" width="22.26953125" customWidth="1"/>
    <col min="18" max="18" width="10.453125" bestFit="1" customWidth="1"/>
    <col min="20" max="20" width="20.08984375" bestFit="1" customWidth="1"/>
  </cols>
  <sheetData>
    <row r="2" spans="1:20" ht="15" thickBot="1" x14ac:dyDescent="0.4">
      <c r="G2" s="5" t="s">
        <v>51</v>
      </c>
      <c r="H2" s="5" t="s">
        <v>52</v>
      </c>
      <c r="J2" s="7" t="s">
        <v>57</v>
      </c>
      <c r="K2" s="7" t="s">
        <v>58</v>
      </c>
      <c r="L2" s="7" t="s">
        <v>59</v>
      </c>
    </row>
    <row r="3" spans="1:20" ht="116.5" thickBot="1" x14ac:dyDescent="0.4">
      <c r="A3" s="75" t="s">
        <v>0</v>
      </c>
      <c r="B3" s="163" t="s">
        <v>1</v>
      </c>
      <c r="C3" s="37" t="s">
        <v>2</v>
      </c>
      <c r="D3" s="37" t="s">
        <v>54</v>
      </c>
      <c r="E3" s="10" t="s">
        <v>53</v>
      </c>
      <c r="F3" s="9" t="s">
        <v>3</v>
      </c>
      <c r="G3" s="9" t="s">
        <v>55</v>
      </c>
      <c r="H3" s="9" t="s">
        <v>56</v>
      </c>
      <c r="I3" s="11" t="s">
        <v>67</v>
      </c>
      <c r="J3" s="9" t="s">
        <v>61</v>
      </c>
      <c r="K3" s="9" t="s">
        <v>62</v>
      </c>
      <c r="L3" s="9" t="s">
        <v>63</v>
      </c>
      <c r="M3" s="9" t="s">
        <v>64</v>
      </c>
      <c r="N3" s="12" t="s">
        <v>60</v>
      </c>
      <c r="O3" s="13" t="s">
        <v>65</v>
      </c>
      <c r="P3" s="14" t="s">
        <v>66</v>
      </c>
      <c r="Q3" s="164" t="s">
        <v>110</v>
      </c>
    </row>
    <row r="4" spans="1:20" x14ac:dyDescent="0.35">
      <c r="A4" s="165" t="s">
        <v>156</v>
      </c>
      <c r="B4" s="198" t="s">
        <v>4</v>
      </c>
      <c r="C4" s="191">
        <v>180</v>
      </c>
      <c r="D4" s="199">
        <v>268</v>
      </c>
      <c r="E4" s="53">
        <f t="shared" ref="E4:E9" si="0">C4*D4</f>
        <v>48240</v>
      </c>
      <c r="F4" s="45">
        <v>1</v>
      </c>
      <c r="G4" s="27">
        <f t="shared" ref="G4:G9" si="1">E4/F4</f>
        <v>48240</v>
      </c>
      <c r="H4" s="133">
        <v>0</v>
      </c>
      <c r="I4" s="133">
        <f>D11+H4</f>
        <v>63.037000000000006</v>
      </c>
      <c r="J4" s="133">
        <v>26</v>
      </c>
      <c r="K4" s="133">
        <v>100</v>
      </c>
      <c r="L4" s="133">
        <v>0</v>
      </c>
      <c r="M4" s="133">
        <v>32.47</v>
      </c>
      <c r="N4" s="133">
        <f>J4+K4+L4</f>
        <v>126</v>
      </c>
      <c r="O4" s="133">
        <f>(N4-I4)</f>
        <v>62.962999999999994</v>
      </c>
      <c r="P4" s="133">
        <f>M4-O4</f>
        <v>-30.492999999999995</v>
      </c>
      <c r="Q4" s="145">
        <f>ROUND((P4/O4)*100,2)</f>
        <v>-48.43</v>
      </c>
      <c r="R4" s="6" t="s">
        <v>81</v>
      </c>
    </row>
    <row r="5" spans="1:20" x14ac:dyDescent="0.35">
      <c r="A5" s="166" t="s">
        <v>174</v>
      </c>
      <c r="B5" s="183" t="s">
        <v>5</v>
      </c>
      <c r="C5" s="192">
        <v>280</v>
      </c>
      <c r="D5" s="200">
        <v>114</v>
      </c>
      <c r="E5" s="54">
        <f t="shared" si="0"/>
        <v>31920</v>
      </c>
      <c r="F5" s="46">
        <v>1</v>
      </c>
      <c r="G5" s="28">
        <f t="shared" si="1"/>
        <v>31920</v>
      </c>
      <c r="H5" s="134"/>
      <c r="I5" s="134"/>
      <c r="J5" s="134"/>
      <c r="K5" s="134"/>
      <c r="L5" s="134"/>
      <c r="M5" s="134"/>
      <c r="N5" s="134"/>
      <c r="O5" s="134"/>
      <c r="P5" s="134"/>
      <c r="Q5" s="146"/>
      <c r="R5" s="57">
        <v>45568</v>
      </c>
      <c r="S5">
        <v>20</v>
      </c>
      <c r="T5" t="s">
        <v>544</v>
      </c>
    </row>
    <row r="6" spans="1:20" x14ac:dyDescent="0.35">
      <c r="A6" s="166" t="s">
        <v>298</v>
      </c>
      <c r="B6" s="183" t="s">
        <v>6</v>
      </c>
      <c r="C6" s="192">
        <v>100</v>
      </c>
      <c r="D6" s="200">
        <v>57</v>
      </c>
      <c r="E6" s="54">
        <f t="shared" si="0"/>
        <v>5700</v>
      </c>
      <c r="F6" s="46">
        <v>1</v>
      </c>
      <c r="G6" s="28">
        <f t="shared" si="1"/>
        <v>5700</v>
      </c>
      <c r="H6" s="134"/>
      <c r="I6" s="134"/>
      <c r="J6" s="134"/>
      <c r="K6" s="134"/>
      <c r="L6" s="134"/>
      <c r="M6" s="134"/>
      <c r="N6" s="134"/>
      <c r="O6" s="134"/>
      <c r="P6" s="134"/>
      <c r="Q6" s="146"/>
      <c r="R6" s="57">
        <v>45573</v>
      </c>
      <c r="S6">
        <v>30</v>
      </c>
      <c r="T6" t="s">
        <v>545</v>
      </c>
    </row>
    <row r="7" spans="1:20" x14ac:dyDescent="0.35">
      <c r="A7" s="166" t="s">
        <v>221</v>
      </c>
      <c r="B7" s="183" t="s">
        <v>19</v>
      </c>
      <c r="C7" s="192">
        <v>180</v>
      </c>
      <c r="D7" s="200">
        <v>38</v>
      </c>
      <c r="E7" s="54">
        <f t="shared" si="0"/>
        <v>6840</v>
      </c>
      <c r="F7" s="46">
        <v>1</v>
      </c>
      <c r="G7" s="28">
        <f t="shared" si="1"/>
        <v>6840</v>
      </c>
      <c r="H7" s="134"/>
      <c r="I7" s="134"/>
      <c r="J7" s="134"/>
      <c r="K7" s="134"/>
      <c r="L7" s="134"/>
      <c r="M7" s="134"/>
      <c r="N7" s="134"/>
      <c r="O7" s="134"/>
      <c r="P7" s="134"/>
      <c r="Q7" s="146"/>
      <c r="R7" s="57">
        <v>45577</v>
      </c>
      <c r="S7">
        <v>30</v>
      </c>
      <c r="T7" t="s">
        <v>546</v>
      </c>
    </row>
    <row r="8" spans="1:20" x14ac:dyDescent="0.35">
      <c r="A8" s="166" t="s">
        <v>232</v>
      </c>
      <c r="B8" s="183" t="s">
        <v>20</v>
      </c>
      <c r="C8" s="192">
        <v>280</v>
      </c>
      <c r="D8" s="200">
        <v>14</v>
      </c>
      <c r="E8" s="54">
        <f t="shared" si="0"/>
        <v>3920</v>
      </c>
      <c r="F8" s="46">
        <v>1</v>
      </c>
      <c r="G8" s="28">
        <f t="shared" si="1"/>
        <v>3920</v>
      </c>
      <c r="H8" s="134"/>
      <c r="I8" s="134"/>
      <c r="J8" s="134"/>
      <c r="K8" s="134"/>
      <c r="L8" s="134"/>
      <c r="M8" s="134"/>
      <c r="N8" s="134"/>
      <c r="O8" s="134"/>
      <c r="P8" s="134"/>
      <c r="Q8" s="146"/>
      <c r="R8" s="128">
        <v>45587</v>
      </c>
      <c r="S8" s="81">
        <v>20</v>
      </c>
      <c r="T8" t="s">
        <v>547</v>
      </c>
    </row>
    <row r="9" spans="1:20" ht="15" thickBot="1" x14ac:dyDescent="0.4">
      <c r="A9" s="167" t="s">
        <v>359</v>
      </c>
      <c r="B9" s="184" t="s">
        <v>49</v>
      </c>
      <c r="C9" s="193">
        <v>180</v>
      </c>
      <c r="D9" s="201">
        <v>2</v>
      </c>
      <c r="E9" s="55">
        <f t="shared" si="0"/>
        <v>360</v>
      </c>
      <c r="F9" s="47">
        <v>1</v>
      </c>
      <c r="G9" s="29">
        <f t="shared" si="1"/>
        <v>360</v>
      </c>
      <c r="H9" s="135"/>
      <c r="I9" s="135"/>
      <c r="J9" s="135"/>
      <c r="K9" s="135"/>
      <c r="L9" s="135"/>
      <c r="M9" s="135"/>
      <c r="N9" s="135"/>
      <c r="O9" s="135"/>
      <c r="P9" s="135"/>
      <c r="Q9" s="147"/>
      <c r="S9" s="125">
        <f>SUM(S5:S8)</f>
        <v>100</v>
      </c>
    </row>
    <row r="10" spans="1:20" x14ac:dyDescent="0.35">
      <c r="G10" s="2">
        <f>SUM(G4:G9)/1000</f>
        <v>96.98</v>
      </c>
    </row>
    <row r="11" spans="1:20" x14ac:dyDescent="0.35">
      <c r="B11" s="51" t="s">
        <v>71</v>
      </c>
      <c r="C11">
        <f>ROUND(2000/3074,2)</f>
        <v>0.65</v>
      </c>
      <c r="D11" s="52">
        <f>G10*C11</f>
        <v>63.037000000000006</v>
      </c>
      <c r="R11" s="6" t="s">
        <v>82</v>
      </c>
    </row>
    <row r="12" spans="1:20" x14ac:dyDescent="0.35">
      <c r="R12" s="57">
        <v>45565</v>
      </c>
      <c r="S12">
        <v>26</v>
      </c>
    </row>
    <row r="14" spans="1:20" ht="15" thickBot="1" x14ac:dyDescent="0.4">
      <c r="R14" s="6" t="s">
        <v>86</v>
      </c>
    </row>
    <row r="15" spans="1:20" ht="15" thickBot="1" x14ac:dyDescent="0.4">
      <c r="K15" s="60"/>
      <c r="R15" s="57">
        <v>45588</v>
      </c>
      <c r="S15">
        <v>30</v>
      </c>
    </row>
    <row r="16" spans="1:20" x14ac:dyDescent="0.35">
      <c r="S16">
        <v>2.4700000000000002</v>
      </c>
    </row>
    <row r="17" spans="19:19" x14ac:dyDescent="0.35">
      <c r="S17" s="125">
        <f>SUM(S15:S16)</f>
        <v>32.47</v>
      </c>
    </row>
  </sheetData>
  <mergeCells count="10">
    <mergeCell ref="O4:O9"/>
    <mergeCell ref="N4:N9"/>
    <mergeCell ref="P4:P9"/>
    <mergeCell ref="Q4:Q9"/>
    <mergeCell ref="H4:H9"/>
    <mergeCell ref="I4:I9"/>
    <mergeCell ref="J4:J9"/>
    <mergeCell ref="K4:K9"/>
    <mergeCell ref="L4:L9"/>
    <mergeCell ref="M4:M9"/>
  </mergeCells>
  <pageMargins left="0.7" right="0.7" top="0.75" bottom="0.75" header="0.3" footer="0.3"/>
  <pageSetup scale="5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elurGeranjim_Button1_Click">
                <anchor moveWithCells="1" sizeWithCells="1">
                  <from>
                    <xdr:col>5</xdr:col>
                    <xdr:colOff>6350</xdr:colOff>
                    <xdr:row>10</xdr:row>
                    <xdr:rowOff>165100</xdr:rowOff>
                  </from>
                  <to>
                    <xdr:col>6</xdr:col>
                    <xdr:colOff>571500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elurGeranjim_Button2_Click">
                <anchor moveWithCells="1" sizeWithCells="1">
                  <from>
                    <xdr:col>7</xdr:col>
                    <xdr:colOff>190500</xdr:colOff>
                    <xdr:row>10</xdr:row>
                    <xdr:rowOff>139700</xdr:rowOff>
                  </from>
                  <to>
                    <xdr:col>9</xdr:col>
                    <xdr:colOff>19050</xdr:colOff>
                    <xdr:row>12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284A5-C662-4918-A000-ECD9D21D3F19}">
  <sheetPr codeName="Sheet7"/>
  <dimension ref="A1:M204"/>
  <sheetViews>
    <sheetView topLeftCell="A4" workbookViewId="0">
      <selection activeCell="B9" sqref="B9"/>
    </sheetView>
  </sheetViews>
  <sheetFormatPr defaultRowHeight="14.5" x14ac:dyDescent="0.35"/>
  <cols>
    <col min="1" max="1" width="11.7265625" customWidth="1"/>
    <col min="2" max="2" width="43.26953125" bestFit="1" customWidth="1"/>
    <col min="3" max="4" width="17.1796875" customWidth="1"/>
    <col min="5" max="6" width="11.7265625" customWidth="1"/>
    <col min="7" max="13" width="22.6328125" customWidth="1"/>
  </cols>
  <sheetData>
    <row r="1" spans="1:13" ht="15.5" x14ac:dyDescent="0.35">
      <c r="A1" s="72" t="s">
        <v>111</v>
      </c>
    </row>
    <row r="2" spans="1:13" ht="15.5" x14ac:dyDescent="0.35">
      <c r="A2" s="72" t="s">
        <v>112</v>
      </c>
    </row>
    <row r="3" spans="1:13" ht="15.5" x14ac:dyDescent="0.35">
      <c r="A3" s="72" t="s">
        <v>113</v>
      </c>
    </row>
    <row r="4" spans="1:13" ht="15.5" x14ac:dyDescent="0.35">
      <c r="A4" s="72" t="s">
        <v>114</v>
      </c>
    </row>
    <row r="5" spans="1:13" ht="15.5" x14ac:dyDescent="0.35">
      <c r="A5" s="72" t="s">
        <v>548</v>
      </c>
    </row>
    <row r="6" spans="1:13" ht="15.5" x14ac:dyDescent="0.35">
      <c r="A6" s="72" t="s">
        <v>549</v>
      </c>
    </row>
    <row r="7" spans="1:13" ht="15.5" x14ac:dyDescent="0.35">
      <c r="A7" s="72" t="s">
        <v>550</v>
      </c>
    </row>
    <row r="9" spans="1:13" ht="15.5" x14ac:dyDescent="0.35">
      <c r="A9" s="72" t="s">
        <v>115</v>
      </c>
      <c r="B9" s="72" t="s">
        <v>116</v>
      </c>
      <c r="C9" s="72" t="s">
        <v>117</v>
      </c>
      <c r="D9" s="72" t="s">
        <v>118</v>
      </c>
      <c r="E9" s="73" t="s">
        <v>119</v>
      </c>
      <c r="F9" s="73" t="s">
        <v>120</v>
      </c>
      <c r="G9" s="73" t="s">
        <v>121</v>
      </c>
      <c r="H9" s="73" t="s">
        <v>122</v>
      </c>
      <c r="I9" s="73" t="s">
        <v>123</v>
      </c>
      <c r="J9" s="73" t="s">
        <v>124</v>
      </c>
      <c r="K9" s="73" t="s">
        <v>125</v>
      </c>
      <c r="L9" s="73" t="s">
        <v>126</v>
      </c>
      <c r="M9" s="73" t="s">
        <v>127</v>
      </c>
    </row>
    <row r="10" spans="1:13" ht="15.5" x14ac:dyDescent="0.35">
      <c r="A10" t="s">
        <v>128</v>
      </c>
      <c r="B10" t="s">
        <v>129</v>
      </c>
      <c r="C10" t="s">
        <v>130</v>
      </c>
      <c r="D10" t="s">
        <v>131</v>
      </c>
      <c r="E10" s="74">
        <v>1134</v>
      </c>
      <c r="F10" s="74">
        <v>14000</v>
      </c>
      <c r="G10" s="74">
        <v>15876000</v>
      </c>
      <c r="H10" s="74">
        <v>132300</v>
      </c>
      <c r="I10" s="74">
        <v>0</v>
      </c>
      <c r="J10" s="74">
        <v>15743700</v>
      </c>
      <c r="K10" s="74">
        <v>1102059</v>
      </c>
      <c r="L10" s="74">
        <v>1684576</v>
      </c>
      <c r="M10" s="74">
        <v>18530335</v>
      </c>
    </row>
    <row r="11" spans="1:13" ht="15.5" x14ac:dyDescent="0.35">
      <c r="A11" t="s">
        <v>136</v>
      </c>
      <c r="B11" t="s">
        <v>27</v>
      </c>
      <c r="C11" t="s">
        <v>137</v>
      </c>
      <c r="D11" t="s">
        <v>138</v>
      </c>
      <c r="E11" s="74">
        <v>435</v>
      </c>
      <c r="F11" s="74">
        <v>11000</v>
      </c>
      <c r="G11" s="74">
        <v>4785000</v>
      </c>
      <c r="H11" s="74">
        <v>63800</v>
      </c>
      <c r="I11" s="74">
        <v>0</v>
      </c>
      <c r="J11" s="74">
        <v>4721200</v>
      </c>
      <c r="K11" s="74">
        <v>330490</v>
      </c>
      <c r="L11" s="74">
        <v>505173</v>
      </c>
      <c r="M11" s="74">
        <v>5556863</v>
      </c>
    </row>
    <row r="12" spans="1:13" ht="15.5" x14ac:dyDescent="0.35">
      <c r="A12" t="s">
        <v>145</v>
      </c>
      <c r="B12" t="s">
        <v>146</v>
      </c>
      <c r="C12" t="s">
        <v>130</v>
      </c>
      <c r="D12" t="s">
        <v>131</v>
      </c>
      <c r="E12" s="74">
        <v>335</v>
      </c>
      <c r="F12" s="74">
        <v>11000</v>
      </c>
      <c r="G12" s="74">
        <v>3685000</v>
      </c>
      <c r="H12" s="74">
        <v>25300</v>
      </c>
      <c r="I12" s="74">
        <v>0</v>
      </c>
      <c r="J12" s="74">
        <v>3659700</v>
      </c>
      <c r="K12" s="74">
        <v>255567</v>
      </c>
      <c r="L12" s="74">
        <v>391530</v>
      </c>
      <c r="M12" s="74">
        <v>4306797</v>
      </c>
    </row>
    <row r="13" spans="1:13" ht="15.5" x14ac:dyDescent="0.35">
      <c r="A13" t="s">
        <v>156</v>
      </c>
      <c r="B13" t="s">
        <v>157</v>
      </c>
      <c r="C13" t="s">
        <v>137</v>
      </c>
      <c r="D13" t="s">
        <v>158</v>
      </c>
      <c r="E13" s="74">
        <v>268</v>
      </c>
      <c r="F13" s="74">
        <v>128000</v>
      </c>
      <c r="G13" s="74">
        <v>34304000</v>
      </c>
      <c r="H13" s="74">
        <v>390400</v>
      </c>
      <c r="I13" s="74">
        <v>0</v>
      </c>
      <c r="J13" s="74">
        <v>33913600</v>
      </c>
      <c r="K13" s="74">
        <v>2373952</v>
      </c>
      <c r="L13" s="74">
        <v>3628763</v>
      </c>
      <c r="M13" s="74">
        <v>39916315</v>
      </c>
    </row>
    <row r="14" spans="1:13" ht="15.5" x14ac:dyDescent="0.35">
      <c r="A14" t="s">
        <v>132</v>
      </c>
      <c r="B14" t="s">
        <v>133</v>
      </c>
      <c r="C14" t="s">
        <v>134</v>
      </c>
      <c r="D14" t="s">
        <v>135</v>
      </c>
      <c r="E14" s="74">
        <v>261</v>
      </c>
      <c r="F14" s="74">
        <v>0</v>
      </c>
      <c r="G14" s="74">
        <v>0</v>
      </c>
      <c r="H14" s="74">
        <v>0</v>
      </c>
      <c r="I14" s="74">
        <v>0</v>
      </c>
      <c r="J14" s="74">
        <v>0</v>
      </c>
      <c r="K14" s="74">
        <v>0</v>
      </c>
      <c r="L14" s="74">
        <v>0</v>
      </c>
      <c r="M14" s="74">
        <v>0</v>
      </c>
    </row>
    <row r="15" spans="1:13" ht="15.5" x14ac:dyDescent="0.35">
      <c r="A15" t="s">
        <v>153</v>
      </c>
      <c r="B15" t="s">
        <v>154</v>
      </c>
      <c r="C15" t="s">
        <v>130</v>
      </c>
      <c r="D15" t="s">
        <v>155</v>
      </c>
      <c r="E15" s="74">
        <v>247</v>
      </c>
      <c r="F15" s="74">
        <v>22800</v>
      </c>
      <c r="G15" s="74">
        <v>5631600</v>
      </c>
      <c r="H15" s="74">
        <v>68400</v>
      </c>
      <c r="I15" s="74">
        <v>0</v>
      </c>
      <c r="J15" s="74">
        <v>5563200</v>
      </c>
      <c r="K15" s="74">
        <v>383045</v>
      </c>
      <c r="L15" s="74">
        <v>594704</v>
      </c>
      <c r="M15" s="74">
        <v>6540949</v>
      </c>
    </row>
    <row r="16" spans="1:13" ht="15.5" x14ac:dyDescent="0.35">
      <c r="A16" t="s">
        <v>177</v>
      </c>
      <c r="B16" t="s">
        <v>178</v>
      </c>
      <c r="C16" t="s">
        <v>130</v>
      </c>
      <c r="D16" t="s">
        <v>131</v>
      </c>
      <c r="E16" s="74">
        <v>230</v>
      </c>
      <c r="F16" s="74">
        <v>18000</v>
      </c>
      <c r="G16" s="74">
        <v>4140000</v>
      </c>
      <c r="H16" s="74">
        <v>27900</v>
      </c>
      <c r="I16" s="74">
        <v>0</v>
      </c>
      <c r="J16" s="74">
        <v>4112100</v>
      </c>
      <c r="K16" s="74">
        <v>287847</v>
      </c>
      <c r="L16" s="74">
        <v>439994</v>
      </c>
      <c r="M16" s="74">
        <v>4839941</v>
      </c>
    </row>
    <row r="17" spans="1:13" ht="15.5" x14ac:dyDescent="0.35">
      <c r="A17" t="s">
        <v>151</v>
      </c>
      <c r="B17" t="s">
        <v>152</v>
      </c>
      <c r="C17" t="s">
        <v>130</v>
      </c>
      <c r="D17" t="s">
        <v>131</v>
      </c>
      <c r="E17" s="74">
        <v>211</v>
      </c>
      <c r="F17" s="74">
        <v>14000</v>
      </c>
      <c r="G17" s="74">
        <v>2954000</v>
      </c>
      <c r="H17" s="74">
        <v>33600</v>
      </c>
      <c r="I17" s="74">
        <v>0</v>
      </c>
      <c r="J17" s="74">
        <v>2920400</v>
      </c>
      <c r="K17" s="74">
        <v>204428</v>
      </c>
      <c r="L17" s="74">
        <v>312481</v>
      </c>
      <c r="M17" s="74">
        <v>3437309</v>
      </c>
    </row>
    <row r="18" spans="1:13" ht="15.5" x14ac:dyDescent="0.35">
      <c r="A18" t="s">
        <v>139</v>
      </c>
      <c r="B18" t="s">
        <v>140</v>
      </c>
      <c r="C18" t="s">
        <v>134</v>
      </c>
      <c r="D18" t="s">
        <v>135</v>
      </c>
      <c r="E18" s="74">
        <v>184</v>
      </c>
      <c r="F18" s="74">
        <v>2728</v>
      </c>
      <c r="G18" s="74">
        <v>501952</v>
      </c>
      <c r="H18" s="74">
        <v>0</v>
      </c>
      <c r="I18" s="74">
        <v>0</v>
      </c>
      <c r="J18" s="74">
        <v>501952</v>
      </c>
      <c r="K18" s="74">
        <v>0</v>
      </c>
      <c r="L18" s="74">
        <v>50232</v>
      </c>
      <c r="M18" s="74">
        <v>552184</v>
      </c>
    </row>
    <row r="19" spans="1:13" ht="15.5" x14ac:dyDescent="0.35">
      <c r="A19" t="s">
        <v>348</v>
      </c>
      <c r="B19" t="s">
        <v>349</v>
      </c>
      <c r="C19" t="s">
        <v>137</v>
      </c>
      <c r="D19" t="s">
        <v>138</v>
      </c>
      <c r="E19" s="74">
        <v>171</v>
      </c>
      <c r="F19" s="74">
        <v>0</v>
      </c>
      <c r="G19" s="74">
        <v>0</v>
      </c>
      <c r="H19" s="74">
        <v>0</v>
      </c>
      <c r="I19" s="74">
        <v>0</v>
      </c>
      <c r="J19" s="74">
        <v>0</v>
      </c>
      <c r="K19" s="74">
        <v>0</v>
      </c>
      <c r="L19" s="74">
        <v>0</v>
      </c>
      <c r="M19" s="74">
        <v>0</v>
      </c>
    </row>
    <row r="20" spans="1:13" ht="15.5" x14ac:dyDescent="0.35">
      <c r="A20" t="s">
        <v>179</v>
      </c>
      <c r="B20" t="s">
        <v>180</v>
      </c>
      <c r="C20" t="s">
        <v>137</v>
      </c>
      <c r="D20" t="s">
        <v>181</v>
      </c>
      <c r="E20" s="74">
        <v>165</v>
      </c>
      <c r="F20" s="74">
        <v>38000</v>
      </c>
      <c r="G20" s="74">
        <v>6270000</v>
      </c>
      <c r="H20" s="74">
        <v>79800</v>
      </c>
      <c r="I20" s="74">
        <v>0</v>
      </c>
      <c r="J20" s="74">
        <v>6190200</v>
      </c>
      <c r="K20" s="74">
        <v>427994</v>
      </c>
      <c r="L20" s="74">
        <v>661818</v>
      </c>
      <c r="M20" s="74">
        <v>7280012</v>
      </c>
    </row>
    <row r="21" spans="1:13" ht="15.5" x14ac:dyDescent="0.35">
      <c r="A21" t="s">
        <v>147</v>
      </c>
      <c r="B21" t="s">
        <v>148</v>
      </c>
      <c r="C21" t="s">
        <v>134</v>
      </c>
      <c r="D21" t="s">
        <v>135</v>
      </c>
      <c r="E21" s="74">
        <v>156</v>
      </c>
      <c r="F21" s="74">
        <v>0</v>
      </c>
      <c r="G21" s="74">
        <v>0</v>
      </c>
      <c r="H21" s="74">
        <v>0</v>
      </c>
      <c r="I21" s="74">
        <v>0</v>
      </c>
      <c r="J21" s="74">
        <v>0</v>
      </c>
      <c r="K21" s="74">
        <v>0</v>
      </c>
      <c r="L21" s="74">
        <v>0</v>
      </c>
      <c r="M21" s="74">
        <v>0</v>
      </c>
    </row>
    <row r="22" spans="1:13" ht="15.5" x14ac:dyDescent="0.35">
      <c r="A22" t="s">
        <v>182</v>
      </c>
      <c r="B22" t="s">
        <v>183</v>
      </c>
      <c r="C22" t="s">
        <v>130</v>
      </c>
      <c r="D22" t="s">
        <v>155</v>
      </c>
      <c r="E22" s="74">
        <v>155</v>
      </c>
      <c r="F22" s="74">
        <v>22800</v>
      </c>
      <c r="G22" s="74">
        <v>3534000</v>
      </c>
      <c r="H22" s="74">
        <v>42180</v>
      </c>
      <c r="I22" s="74">
        <v>0</v>
      </c>
      <c r="J22" s="74">
        <v>3491820</v>
      </c>
      <c r="K22" s="74">
        <v>233259</v>
      </c>
      <c r="L22" s="74">
        <v>372559</v>
      </c>
      <c r="M22" s="74">
        <v>4097638</v>
      </c>
    </row>
    <row r="23" spans="1:13" ht="15.5" x14ac:dyDescent="0.35">
      <c r="A23" t="s">
        <v>141</v>
      </c>
      <c r="B23" t="s">
        <v>142</v>
      </c>
      <c r="C23" t="s">
        <v>134</v>
      </c>
      <c r="D23" t="s">
        <v>135</v>
      </c>
      <c r="E23" s="74">
        <v>152</v>
      </c>
      <c r="F23" s="74">
        <v>0</v>
      </c>
      <c r="G23" s="74">
        <v>0</v>
      </c>
      <c r="H23" s="74">
        <v>0</v>
      </c>
      <c r="I23" s="74">
        <v>0</v>
      </c>
      <c r="J23" s="74">
        <v>0</v>
      </c>
      <c r="K23" s="74">
        <v>0</v>
      </c>
      <c r="L23" s="74">
        <v>0</v>
      </c>
      <c r="M23" s="74">
        <v>0</v>
      </c>
    </row>
    <row r="24" spans="1:13" ht="15.5" x14ac:dyDescent="0.35">
      <c r="A24" t="s">
        <v>149</v>
      </c>
      <c r="B24" t="s">
        <v>150</v>
      </c>
      <c r="C24" t="s">
        <v>134</v>
      </c>
      <c r="D24" t="s">
        <v>135</v>
      </c>
      <c r="E24" s="74">
        <v>151</v>
      </c>
      <c r="F24" s="74">
        <v>0</v>
      </c>
      <c r="G24" s="74">
        <v>0</v>
      </c>
      <c r="H24" s="74">
        <v>0</v>
      </c>
      <c r="I24" s="74">
        <v>0</v>
      </c>
      <c r="J24" s="74">
        <v>0</v>
      </c>
      <c r="K24" s="74">
        <v>0</v>
      </c>
      <c r="L24" s="74">
        <v>0</v>
      </c>
      <c r="M24" s="74">
        <v>0</v>
      </c>
    </row>
    <row r="25" spans="1:13" ht="15.5" x14ac:dyDescent="0.35">
      <c r="A25" t="s">
        <v>143</v>
      </c>
      <c r="B25" t="s">
        <v>144</v>
      </c>
      <c r="C25" t="s">
        <v>134</v>
      </c>
      <c r="D25" t="s">
        <v>135</v>
      </c>
      <c r="E25" s="74">
        <v>149</v>
      </c>
      <c r="F25" s="74">
        <v>0</v>
      </c>
      <c r="G25" s="74">
        <v>0</v>
      </c>
      <c r="H25" s="74">
        <v>0</v>
      </c>
      <c r="I25" s="74">
        <v>0</v>
      </c>
      <c r="J25" s="74">
        <v>0</v>
      </c>
      <c r="K25" s="74">
        <v>0</v>
      </c>
      <c r="L25" s="74">
        <v>0</v>
      </c>
      <c r="M25" s="74">
        <v>0</v>
      </c>
    </row>
    <row r="26" spans="1:13" ht="15.5" x14ac:dyDescent="0.35">
      <c r="A26" t="s">
        <v>167</v>
      </c>
      <c r="B26" t="s">
        <v>168</v>
      </c>
      <c r="C26" t="s">
        <v>137</v>
      </c>
      <c r="D26" t="s">
        <v>169</v>
      </c>
      <c r="E26" s="74">
        <v>139</v>
      </c>
      <c r="F26" s="74">
        <v>61000</v>
      </c>
      <c r="G26" s="74">
        <v>8479000</v>
      </c>
      <c r="H26" s="74">
        <v>625250</v>
      </c>
      <c r="I26" s="74">
        <v>0</v>
      </c>
      <c r="J26" s="74">
        <v>7853750</v>
      </c>
      <c r="K26" s="74">
        <v>549764</v>
      </c>
      <c r="L26" s="74">
        <v>840352</v>
      </c>
      <c r="M26" s="74">
        <v>9243866</v>
      </c>
    </row>
    <row r="27" spans="1:13" ht="15.5" x14ac:dyDescent="0.35">
      <c r="A27" t="s">
        <v>185</v>
      </c>
      <c r="B27" t="s">
        <v>186</v>
      </c>
      <c r="C27" t="s">
        <v>187</v>
      </c>
      <c r="D27" t="s">
        <v>188</v>
      </c>
      <c r="E27" s="74">
        <v>133</v>
      </c>
      <c r="F27" s="74">
        <v>50000</v>
      </c>
      <c r="G27" s="74">
        <v>6650000</v>
      </c>
      <c r="H27" s="74">
        <v>0</v>
      </c>
      <c r="I27" s="74">
        <v>0</v>
      </c>
      <c r="J27" s="74">
        <v>6650000</v>
      </c>
      <c r="K27" s="74">
        <v>465500</v>
      </c>
      <c r="L27" s="74">
        <v>711550</v>
      </c>
      <c r="M27" s="74">
        <v>7827050</v>
      </c>
    </row>
    <row r="28" spans="1:13" ht="15.5" x14ac:dyDescent="0.35">
      <c r="A28" t="s">
        <v>202</v>
      </c>
      <c r="B28" t="s">
        <v>203</v>
      </c>
      <c r="C28" t="s">
        <v>137</v>
      </c>
      <c r="D28" t="s">
        <v>161</v>
      </c>
      <c r="E28" s="74">
        <v>122</v>
      </c>
      <c r="F28" s="74">
        <v>38000</v>
      </c>
      <c r="G28" s="74">
        <v>4636000</v>
      </c>
      <c r="H28" s="74">
        <v>91200</v>
      </c>
      <c r="I28" s="74">
        <v>0</v>
      </c>
      <c r="J28" s="74">
        <v>4544800</v>
      </c>
      <c r="K28" s="74">
        <v>315476</v>
      </c>
      <c r="L28" s="74">
        <v>486026</v>
      </c>
      <c r="M28" s="74">
        <v>5346302</v>
      </c>
    </row>
    <row r="29" spans="1:13" ht="15.5" x14ac:dyDescent="0.35">
      <c r="A29" t="s">
        <v>196</v>
      </c>
      <c r="B29" t="s">
        <v>197</v>
      </c>
      <c r="C29" t="s">
        <v>134</v>
      </c>
      <c r="D29" t="s">
        <v>135</v>
      </c>
      <c r="E29" s="74">
        <v>119</v>
      </c>
      <c r="F29" s="74">
        <v>0</v>
      </c>
      <c r="G29" s="74">
        <v>0</v>
      </c>
      <c r="H29" s="74">
        <v>0</v>
      </c>
      <c r="I29" s="74">
        <v>0</v>
      </c>
      <c r="J29" s="74">
        <v>0</v>
      </c>
      <c r="K29" s="74">
        <v>0</v>
      </c>
      <c r="L29" s="74">
        <v>0</v>
      </c>
      <c r="M29" s="74">
        <v>0</v>
      </c>
    </row>
    <row r="30" spans="1:13" ht="15.5" x14ac:dyDescent="0.35">
      <c r="A30" t="s">
        <v>318</v>
      </c>
      <c r="B30" t="s">
        <v>319</v>
      </c>
      <c r="C30" t="s">
        <v>187</v>
      </c>
      <c r="D30" t="s">
        <v>188</v>
      </c>
      <c r="E30" s="74">
        <v>24</v>
      </c>
      <c r="F30" s="74">
        <v>50000</v>
      </c>
      <c r="G30" s="74">
        <v>1200000</v>
      </c>
      <c r="H30" s="74">
        <v>0</v>
      </c>
      <c r="I30" s="74">
        <v>0</v>
      </c>
      <c r="J30" s="74">
        <v>1200000</v>
      </c>
      <c r="K30" s="74">
        <v>84000</v>
      </c>
      <c r="L30" s="74">
        <v>128400</v>
      </c>
      <c r="M30" s="74">
        <v>1412400</v>
      </c>
    </row>
    <row r="31" spans="1:13" ht="15.5" x14ac:dyDescent="0.35">
      <c r="A31" t="s">
        <v>174</v>
      </c>
      <c r="B31" t="s">
        <v>175</v>
      </c>
      <c r="C31" t="s">
        <v>137</v>
      </c>
      <c r="D31" t="s">
        <v>158</v>
      </c>
      <c r="E31" s="74">
        <v>114</v>
      </c>
      <c r="F31" s="74">
        <v>179000</v>
      </c>
      <c r="G31" s="74">
        <v>20406000</v>
      </c>
      <c r="H31" s="74">
        <v>402750</v>
      </c>
      <c r="I31" s="74">
        <v>0</v>
      </c>
      <c r="J31" s="74">
        <v>20003250</v>
      </c>
      <c r="K31" s="74">
        <v>1400235</v>
      </c>
      <c r="L31" s="74">
        <v>2140347</v>
      </c>
      <c r="M31" s="74">
        <v>23543832</v>
      </c>
    </row>
    <row r="32" spans="1:13" ht="15.5" x14ac:dyDescent="0.35">
      <c r="A32" t="s">
        <v>159</v>
      </c>
      <c r="B32" t="s">
        <v>160</v>
      </c>
      <c r="C32" t="s">
        <v>137</v>
      </c>
      <c r="D32" t="s">
        <v>161</v>
      </c>
      <c r="E32" s="74">
        <v>114</v>
      </c>
      <c r="F32" s="74">
        <v>48000</v>
      </c>
      <c r="G32" s="74">
        <v>5472000</v>
      </c>
      <c r="H32" s="74">
        <v>50400</v>
      </c>
      <c r="I32" s="74">
        <v>0</v>
      </c>
      <c r="J32" s="74">
        <v>5421600</v>
      </c>
      <c r="K32" s="74">
        <v>372792</v>
      </c>
      <c r="L32" s="74">
        <v>579442</v>
      </c>
      <c r="M32" s="74">
        <v>6373834</v>
      </c>
    </row>
    <row r="33" spans="1:13" ht="15.5" x14ac:dyDescent="0.35">
      <c r="A33" t="s">
        <v>172</v>
      </c>
      <c r="B33" t="s">
        <v>9</v>
      </c>
      <c r="C33" t="s">
        <v>137</v>
      </c>
      <c r="D33" t="s">
        <v>173</v>
      </c>
      <c r="E33" s="74">
        <v>113</v>
      </c>
      <c r="F33" s="74">
        <v>54000</v>
      </c>
      <c r="G33" s="74">
        <v>6102000</v>
      </c>
      <c r="H33" s="74">
        <v>585900</v>
      </c>
      <c r="I33" s="74">
        <v>0</v>
      </c>
      <c r="J33" s="74">
        <v>5516100</v>
      </c>
      <c r="K33" s="74">
        <v>344547</v>
      </c>
      <c r="L33" s="74">
        <v>586063</v>
      </c>
      <c r="M33" s="74">
        <v>6446710</v>
      </c>
    </row>
    <row r="34" spans="1:13" ht="15.5" x14ac:dyDescent="0.35">
      <c r="A34" t="s">
        <v>90</v>
      </c>
      <c r="B34" t="s">
        <v>91</v>
      </c>
      <c r="C34" t="s">
        <v>137</v>
      </c>
      <c r="D34" t="s">
        <v>210</v>
      </c>
      <c r="E34" s="74">
        <v>111</v>
      </c>
      <c r="F34" s="74">
        <v>59000</v>
      </c>
      <c r="G34" s="74">
        <v>6549000</v>
      </c>
      <c r="H34" s="74">
        <v>67850</v>
      </c>
      <c r="I34" s="74">
        <v>0</v>
      </c>
      <c r="J34" s="74">
        <v>6481150</v>
      </c>
      <c r="K34" s="74">
        <v>446249</v>
      </c>
      <c r="L34" s="74">
        <v>692739</v>
      </c>
      <c r="M34" s="74">
        <v>7620138</v>
      </c>
    </row>
    <row r="35" spans="1:13" ht="15.5" x14ac:dyDescent="0.35">
      <c r="A35" t="s">
        <v>97</v>
      </c>
      <c r="B35" t="s">
        <v>77</v>
      </c>
      <c r="C35" t="s">
        <v>137</v>
      </c>
      <c r="D35" t="s">
        <v>210</v>
      </c>
      <c r="E35" s="74">
        <v>110</v>
      </c>
      <c r="F35" s="74">
        <v>69000</v>
      </c>
      <c r="G35" s="74">
        <v>7590000</v>
      </c>
      <c r="H35" s="74">
        <v>72450</v>
      </c>
      <c r="I35" s="74">
        <v>0</v>
      </c>
      <c r="J35" s="74">
        <v>7517550</v>
      </c>
      <c r="K35" s="74">
        <v>526231</v>
      </c>
      <c r="L35" s="74">
        <v>804380</v>
      </c>
      <c r="M35" s="74">
        <v>8848161</v>
      </c>
    </row>
    <row r="36" spans="1:13" ht="15.5" x14ac:dyDescent="0.35">
      <c r="A36" t="s">
        <v>164</v>
      </c>
      <c r="B36" t="s">
        <v>165</v>
      </c>
      <c r="C36" t="s">
        <v>137</v>
      </c>
      <c r="D36" t="s">
        <v>166</v>
      </c>
      <c r="E36" s="74">
        <v>107</v>
      </c>
      <c r="F36" s="74">
        <v>45000</v>
      </c>
      <c r="G36" s="74">
        <v>4815000</v>
      </c>
      <c r="H36" s="74">
        <v>351000</v>
      </c>
      <c r="I36" s="74">
        <v>0</v>
      </c>
      <c r="J36" s="74">
        <v>4464000</v>
      </c>
      <c r="K36" s="74">
        <v>312482</v>
      </c>
      <c r="L36" s="74">
        <v>477649</v>
      </c>
      <c r="M36" s="74">
        <v>5254131</v>
      </c>
    </row>
    <row r="37" spans="1:13" ht="15.5" x14ac:dyDescent="0.35">
      <c r="A37" t="s">
        <v>189</v>
      </c>
      <c r="B37" t="s">
        <v>190</v>
      </c>
      <c r="C37" t="s">
        <v>137</v>
      </c>
      <c r="D37" t="s">
        <v>166</v>
      </c>
      <c r="E37" s="74">
        <v>95</v>
      </c>
      <c r="F37" s="74">
        <v>40000</v>
      </c>
      <c r="G37" s="74">
        <v>3800000</v>
      </c>
      <c r="H37" s="74">
        <v>12000</v>
      </c>
      <c r="I37" s="74">
        <v>0</v>
      </c>
      <c r="J37" s="74">
        <v>3788000</v>
      </c>
      <c r="K37" s="74">
        <v>253960</v>
      </c>
      <c r="L37" s="74">
        <v>404196</v>
      </c>
      <c r="M37" s="74">
        <v>4446156</v>
      </c>
    </row>
    <row r="38" spans="1:13" ht="15.5" x14ac:dyDescent="0.35">
      <c r="A38" t="s">
        <v>223</v>
      </c>
      <c r="B38" t="s">
        <v>224</v>
      </c>
      <c r="C38" t="s">
        <v>130</v>
      </c>
      <c r="D38" t="s">
        <v>155</v>
      </c>
      <c r="E38" s="74">
        <v>94</v>
      </c>
      <c r="F38" s="74">
        <v>22800</v>
      </c>
      <c r="G38" s="74">
        <v>2143200</v>
      </c>
      <c r="H38" s="74">
        <v>13680</v>
      </c>
      <c r="I38" s="74">
        <v>0</v>
      </c>
      <c r="J38" s="74">
        <v>2129520</v>
      </c>
      <c r="K38" s="74">
        <v>147472</v>
      </c>
      <c r="L38" s="74">
        <v>227732</v>
      </c>
      <c r="M38" s="74">
        <v>2504724</v>
      </c>
    </row>
    <row r="39" spans="1:13" ht="15.5" x14ac:dyDescent="0.35">
      <c r="A39" t="s">
        <v>251</v>
      </c>
      <c r="B39" t="s">
        <v>252</v>
      </c>
      <c r="C39" t="s">
        <v>130</v>
      </c>
      <c r="D39" t="s">
        <v>155</v>
      </c>
      <c r="E39" s="74">
        <v>93</v>
      </c>
      <c r="F39" s="74">
        <v>22800</v>
      </c>
      <c r="G39" s="74">
        <v>2120400</v>
      </c>
      <c r="H39" s="74">
        <v>33060</v>
      </c>
      <c r="I39" s="74">
        <v>0</v>
      </c>
      <c r="J39" s="74">
        <v>2087340</v>
      </c>
      <c r="K39" s="74">
        <v>136540</v>
      </c>
      <c r="L39" s="74">
        <v>222417</v>
      </c>
      <c r="M39" s="74">
        <v>2446297</v>
      </c>
    </row>
    <row r="40" spans="1:13" ht="15.5" x14ac:dyDescent="0.35">
      <c r="A40" t="s">
        <v>215</v>
      </c>
      <c r="B40" t="s">
        <v>216</v>
      </c>
      <c r="C40" t="s">
        <v>130</v>
      </c>
      <c r="D40" t="s">
        <v>155</v>
      </c>
      <c r="E40" s="74">
        <v>93</v>
      </c>
      <c r="F40" s="74">
        <v>22800</v>
      </c>
      <c r="G40" s="74">
        <v>2120400</v>
      </c>
      <c r="H40" s="74">
        <v>21660</v>
      </c>
      <c r="I40" s="74">
        <v>0</v>
      </c>
      <c r="J40" s="74">
        <v>2098740</v>
      </c>
      <c r="K40" s="74">
        <v>143722</v>
      </c>
      <c r="L40" s="74">
        <v>224278</v>
      </c>
      <c r="M40" s="74">
        <v>2466740</v>
      </c>
    </row>
    <row r="41" spans="1:13" ht="15.5" x14ac:dyDescent="0.35">
      <c r="A41" t="s">
        <v>204</v>
      </c>
      <c r="B41" t="s">
        <v>205</v>
      </c>
      <c r="C41" t="s">
        <v>137</v>
      </c>
      <c r="D41" t="s">
        <v>166</v>
      </c>
      <c r="E41" s="74">
        <v>90</v>
      </c>
      <c r="F41" s="74">
        <v>65000</v>
      </c>
      <c r="G41" s="74">
        <v>5850000</v>
      </c>
      <c r="H41" s="74">
        <v>48750</v>
      </c>
      <c r="I41" s="74">
        <v>0</v>
      </c>
      <c r="J41" s="74">
        <v>5801250</v>
      </c>
      <c r="K41" s="74">
        <v>406090</v>
      </c>
      <c r="L41" s="74">
        <v>620735</v>
      </c>
      <c r="M41" s="74">
        <v>6828075</v>
      </c>
    </row>
    <row r="42" spans="1:13" ht="15.5" x14ac:dyDescent="0.35">
      <c r="A42" t="s">
        <v>246</v>
      </c>
      <c r="B42" t="s">
        <v>247</v>
      </c>
      <c r="C42" t="s">
        <v>130</v>
      </c>
      <c r="D42" t="s">
        <v>155</v>
      </c>
      <c r="E42" s="74">
        <v>89</v>
      </c>
      <c r="F42" s="74">
        <v>22800</v>
      </c>
      <c r="G42" s="74">
        <v>2029200</v>
      </c>
      <c r="H42" s="74">
        <v>10260</v>
      </c>
      <c r="I42" s="74">
        <v>0</v>
      </c>
      <c r="J42" s="74">
        <v>2018940</v>
      </c>
      <c r="K42" s="74">
        <v>131751</v>
      </c>
      <c r="L42" s="74">
        <v>215097</v>
      </c>
      <c r="M42" s="74">
        <v>2365788</v>
      </c>
    </row>
    <row r="43" spans="1:13" ht="15.5" x14ac:dyDescent="0.35">
      <c r="A43" t="s">
        <v>162</v>
      </c>
      <c r="B43" t="s">
        <v>163</v>
      </c>
      <c r="C43" t="s">
        <v>134</v>
      </c>
      <c r="D43" t="s">
        <v>135</v>
      </c>
      <c r="E43" s="74">
        <v>84</v>
      </c>
      <c r="F43" s="74">
        <v>0</v>
      </c>
      <c r="G43" s="74">
        <v>0</v>
      </c>
      <c r="H43" s="74">
        <v>0</v>
      </c>
      <c r="I43" s="74">
        <v>0</v>
      </c>
      <c r="J43" s="74">
        <v>0</v>
      </c>
      <c r="K43" s="74">
        <v>0</v>
      </c>
      <c r="L43" s="74">
        <v>0</v>
      </c>
      <c r="M43" s="74">
        <v>0</v>
      </c>
    </row>
    <row r="44" spans="1:13" ht="15.5" x14ac:dyDescent="0.35">
      <c r="A44" t="s">
        <v>219</v>
      </c>
      <c r="B44" t="s">
        <v>220</v>
      </c>
      <c r="C44" t="s">
        <v>137</v>
      </c>
      <c r="D44" t="s">
        <v>173</v>
      </c>
      <c r="E44" s="74">
        <v>83</v>
      </c>
      <c r="F44" s="74">
        <v>40000</v>
      </c>
      <c r="G44" s="74">
        <v>3320000</v>
      </c>
      <c r="H44" s="74">
        <v>44000</v>
      </c>
      <c r="I44" s="74">
        <v>0</v>
      </c>
      <c r="J44" s="74">
        <v>3276000</v>
      </c>
      <c r="K44" s="74">
        <v>215880</v>
      </c>
      <c r="L44" s="74">
        <v>349188</v>
      </c>
      <c r="M44" s="74">
        <v>3841068</v>
      </c>
    </row>
    <row r="45" spans="1:13" ht="15.5" x14ac:dyDescent="0.35">
      <c r="A45" t="s">
        <v>213</v>
      </c>
      <c r="B45" t="s">
        <v>214</v>
      </c>
      <c r="C45" t="s">
        <v>187</v>
      </c>
      <c r="D45" t="s">
        <v>188</v>
      </c>
      <c r="E45" s="74">
        <v>81</v>
      </c>
      <c r="F45" s="74">
        <v>99000</v>
      </c>
      <c r="G45" s="74">
        <v>8019000</v>
      </c>
      <c r="H45" s="74">
        <v>0</v>
      </c>
      <c r="I45" s="74">
        <v>0</v>
      </c>
      <c r="J45" s="74">
        <v>8019000</v>
      </c>
      <c r="K45" s="74">
        <v>561330</v>
      </c>
      <c r="L45" s="74">
        <v>858033</v>
      </c>
      <c r="M45" s="74">
        <v>9438363</v>
      </c>
    </row>
    <row r="46" spans="1:13" ht="15.5" x14ac:dyDescent="0.35">
      <c r="A46" t="s">
        <v>211</v>
      </c>
      <c r="B46" t="s">
        <v>212</v>
      </c>
      <c r="C46" t="s">
        <v>137</v>
      </c>
      <c r="D46" t="s">
        <v>169</v>
      </c>
      <c r="E46" s="74">
        <v>79</v>
      </c>
      <c r="F46" s="74">
        <v>54000</v>
      </c>
      <c r="G46" s="74">
        <v>4266000</v>
      </c>
      <c r="H46" s="74">
        <v>16200</v>
      </c>
      <c r="I46" s="74">
        <v>0</v>
      </c>
      <c r="J46" s="74">
        <v>4249800</v>
      </c>
      <c r="K46" s="74">
        <v>274806</v>
      </c>
      <c r="L46" s="74">
        <v>452460</v>
      </c>
      <c r="M46" s="74">
        <v>4977066</v>
      </c>
    </row>
    <row r="47" spans="1:13" ht="15.5" x14ac:dyDescent="0.35">
      <c r="A47" t="s">
        <v>184</v>
      </c>
      <c r="B47" t="s">
        <v>24</v>
      </c>
      <c r="C47" t="s">
        <v>137</v>
      </c>
      <c r="D47" t="s">
        <v>166</v>
      </c>
      <c r="E47" s="74">
        <v>79</v>
      </c>
      <c r="F47" s="74">
        <v>60000</v>
      </c>
      <c r="G47" s="74">
        <v>4740000</v>
      </c>
      <c r="H47" s="74">
        <v>99000</v>
      </c>
      <c r="I47" s="74">
        <v>0</v>
      </c>
      <c r="J47" s="74">
        <v>4641000</v>
      </c>
      <c r="K47" s="74">
        <v>316470</v>
      </c>
      <c r="L47" s="74">
        <v>495747</v>
      </c>
      <c r="M47" s="74">
        <v>5453217</v>
      </c>
    </row>
    <row r="48" spans="1:13" ht="15.5" x14ac:dyDescent="0.35">
      <c r="A48" t="s">
        <v>170</v>
      </c>
      <c r="B48" t="s">
        <v>171</v>
      </c>
      <c r="C48" t="s">
        <v>137</v>
      </c>
      <c r="D48" t="s">
        <v>161</v>
      </c>
      <c r="E48" s="74">
        <v>77</v>
      </c>
      <c r="F48" s="74">
        <v>48000</v>
      </c>
      <c r="G48" s="74">
        <v>3696000</v>
      </c>
      <c r="H48" s="74">
        <v>43200</v>
      </c>
      <c r="I48" s="74">
        <v>0</v>
      </c>
      <c r="J48" s="74">
        <v>3652800</v>
      </c>
      <c r="K48" s="74">
        <v>248976</v>
      </c>
      <c r="L48" s="74">
        <v>390180</v>
      </c>
      <c r="M48" s="74">
        <v>4291956</v>
      </c>
    </row>
    <row r="49" spans="1:13" ht="15.5" x14ac:dyDescent="0.35">
      <c r="A49" t="s">
        <v>176</v>
      </c>
      <c r="B49" t="s">
        <v>13</v>
      </c>
      <c r="C49" t="s">
        <v>137</v>
      </c>
      <c r="D49" t="s">
        <v>169</v>
      </c>
      <c r="E49" s="74">
        <v>73</v>
      </c>
      <c r="F49" s="74">
        <v>63000</v>
      </c>
      <c r="G49" s="74">
        <v>4599000</v>
      </c>
      <c r="H49" s="74">
        <v>264600</v>
      </c>
      <c r="I49" s="74">
        <v>0</v>
      </c>
      <c r="J49" s="74">
        <v>4334400</v>
      </c>
      <c r="K49" s="74">
        <v>276951</v>
      </c>
      <c r="L49" s="74">
        <v>461136</v>
      </c>
      <c r="M49" s="74">
        <v>5072487</v>
      </c>
    </row>
    <row r="50" spans="1:13" ht="15.5" x14ac:dyDescent="0.35">
      <c r="A50" t="s">
        <v>191</v>
      </c>
      <c r="B50" t="s">
        <v>23</v>
      </c>
      <c r="C50" t="s">
        <v>137</v>
      </c>
      <c r="D50" t="s">
        <v>158</v>
      </c>
      <c r="E50" s="74">
        <v>71</v>
      </c>
      <c r="F50" s="74">
        <v>35000</v>
      </c>
      <c r="G50" s="74">
        <v>2485000</v>
      </c>
      <c r="H50" s="74">
        <v>36750</v>
      </c>
      <c r="I50" s="74">
        <v>0</v>
      </c>
      <c r="J50" s="74">
        <v>2448250</v>
      </c>
      <c r="K50" s="74">
        <v>171381</v>
      </c>
      <c r="L50" s="74">
        <v>261961</v>
      </c>
      <c r="M50" s="74">
        <v>2881592</v>
      </c>
    </row>
    <row r="51" spans="1:13" ht="15.5" x14ac:dyDescent="0.35">
      <c r="A51" t="s">
        <v>272</v>
      </c>
      <c r="B51" t="s">
        <v>273</v>
      </c>
      <c r="C51" t="s">
        <v>130</v>
      </c>
      <c r="D51" t="s">
        <v>155</v>
      </c>
      <c r="E51" s="74">
        <v>71</v>
      </c>
      <c r="F51" s="74">
        <v>22800</v>
      </c>
      <c r="G51" s="74">
        <v>1618800</v>
      </c>
      <c r="H51" s="74">
        <v>6840</v>
      </c>
      <c r="I51" s="74">
        <v>0</v>
      </c>
      <c r="J51" s="74">
        <v>1611960</v>
      </c>
      <c r="K51" s="74">
        <v>106454</v>
      </c>
      <c r="L51" s="74">
        <v>171866</v>
      </c>
      <c r="M51" s="74">
        <v>1890280</v>
      </c>
    </row>
    <row r="52" spans="1:13" ht="15.5" x14ac:dyDescent="0.35">
      <c r="A52" t="s">
        <v>88</v>
      </c>
      <c r="B52" t="s">
        <v>89</v>
      </c>
      <c r="C52" t="s">
        <v>137</v>
      </c>
      <c r="D52" t="s">
        <v>210</v>
      </c>
      <c r="E52" s="74">
        <v>70</v>
      </c>
      <c r="F52" s="74">
        <v>59000</v>
      </c>
      <c r="G52" s="74">
        <v>4130000</v>
      </c>
      <c r="H52" s="74">
        <v>17700</v>
      </c>
      <c r="I52" s="74">
        <v>0</v>
      </c>
      <c r="J52" s="74">
        <v>4112300</v>
      </c>
      <c r="K52" s="74">
        <v>287862</v>
      </c>
      <c r="L52" s="74">
        <v>440016</v>
      </c>
      <c r="M52" s="74">
        <v>4840178</v>
      </c>
    </row>
    <row r="53" spans="1:13" ht="15.5" x14ac:dyDescent="0.35">
      <c r="A53" t="s">
        <v>230</v>
      </c>
      <c r="B53" t="s">
        <v>231</v>
      </c>
      <c r="C53" t="s">
        <v>137</v>
      </c>
      <c r="D53" t="s">
        <v>173</v>
      </c>
      <c r="E53" s="74">
        <v>67</v>
      </c>
      <c r="F53" s="74">
        <v>47000</v>
      </c>
      <c r="G53" s="74">
        <v>3149000</v>
      </c>
      <c r="H53" s="74">
        <v>51700</v>
      </c>
      <c r="I53" s="74">
        <v>0</v>
      </c>
      <c r="J53" s="74">
        <v>3097300</v>
      </c>
      <c r="K53" s="74">
        <v>210234</v>
      </c>
      <c r="L53" s="74">
        <v>330755</v>
      </c>
      <c r="M53" s="74">
        <v>3638289</v>
      </c>
    </row>
    <row r="54" spans="1:13" ht="15.5" x14ac:dyDescent="0.35">
      <c r="A54" t="s">
        <v>314</v>
      </c>
      <c r="B54" t="s">
        <v>315</v>
      </c>
      <c r="C54" t="s">
        <v>187</v>
      </c>
      <c r="D54" t="s">
        <v>188</v>
      </c>
      <c r="E54" s="74">
        <v>22</v>
      </c>
      <c r="F54" s="74">
        <v>50000</v>
      </c>
      <c r="G54" s="74">
        <v>1100000</v>
      </c>
      <c r="H54" s="74">
        <v>0</v>
      </c>
      <c r="I54" s="74">
        <v>0</v>
      </c>
      <c r="J54" s="74">
        <v>1100000</v>
      </c>
      <c r="K54" s="74">
        <v>77000</v>
      </c>
      <c r="L54" s="74">
        <v>117700</v>
      </c>
      <c r="M54" s="74">
        <v>1294700</v>
      </c>
    </row>
    <row r="55" spans="1:13" ht="15.5" x14ac:dyDescent="0.35">
      <c r="A55" t="s">
        <v>253</v>
      </c>
      <c r="B55" t="s">
        <v>254</v>
      </c>
      <c r="C55" t="s">
        <v>137</v>
      </c>
      <c r="D55" t="s">
        <v>161</v>
      </c>
      <c r="E55" s="74">
        <v>63</v>
      </c>
      <c r="F55" s="74">
        <v>35000</v>
      </c>
      <c r="G55" s="74">
        <v>2205000</v>
      </c>
      <c r="H55" s="74">
        <v>31500</v>
      </c>
      <c r="I55" s="74">
        <v>0</v>
      </c>
      <c r="J55" s="74">
        <v>2173500</v>
      </c>
      <c r="K55" s="74">
        <v>144798</v>
      </c>
      <c r="L55" s="74">
        <v>231828</v>
      </c>
      <c r="M55" s="74">
        <v>2550126</v>
      </c>
    </row>
    <row r="56" spans="1:13" ht="15.5" x14ac:dyDescent="0.35">
      <c r="A56" t="s">
        <v>320</v>
      </c>
      <c r="B56" t="s">
        <v>321</v>
      </c>
      <c r="C56" t="s">
        <v>187</v>
      </c>
      <c r="D56" t="s">
        <v>188</v>
      </c>
      <c r="E56" s="74">
        <v>9</v>
      </c>
      <c r="F56" s="74">
        <v>50000</v>
      </c>
      <c r="G56" s="74">
        <v>450000</v>
      </c>
      <c r="H56" s="74">
        <v>0</v>
      </c>
      <c r="I56" s="74">
        <v>0</v>
      </c>
      <c r="J56" s="74">
        <v>450000</v>
      </c>
      <c r="K56" s="74">
        <v>31500</v>
      </c>
      <c r="L56" s="74">
        <v>48150</v>
      </c>
      <c r="M56" s="74">
        <v>529650</v>
      </c>
    </row>
    <row r="57" spans="1:13" ht="15.5" x14ac:dyDescent="0.35">
      <c r="A57" t="s">
        <v>298</v>
      </c>
      <c r="B57" t="s">
        <v>6</v>
      </c>
      <c r="C57" t="s">
        <v>137</v>
      </c>
      <c r="D57" t="s">
        <v>158</v>
      </c>
      <c r="E57" s="74">
        <v>57</v>
      </c>
      <c r="F57" s="74">
        <v>118000</v>
      </c>
      <c r="G57" s="74">
        <v>6726000</v>
      </c>
      <c r="H57" s="74">
        <v>88500</v>
      </c>
      <c r="I57" s="74">
        <v>0</v>
      </c>
      <c r="J57" s="74">
        <v>6637500</v>
      </c>
      <c r="K57" s="74">
        <v>464625</v>
      </c>
      <c r="L57" s="74">
        <v>710212</v>
      </c>
      <c r="M57" s="74">
        <v>7812337</v>
      </c>
    </row>
    <row r="58" spans="1:13" ht="15.5" x14ac:dyDescent="0.35">
      <c r="A58" t="s">
        <v>217</v>
      </c>
      <c r="B58" t="s">
        <v>218</v>
      </c>
      <c r="C58" t="s">
        <v>137</v>
      </c>
      <c r="D58" t="s">
        <v>161</v>
      </c>
      <c r="E58" s="74">
        <v>57</v>
      </c>
      <c r="F58" s="74">
        <v>48000</v>
      </c>
      <c r="G58" s="74">
        <v>2736000</v>
      </c>
      <c r="H58" s="74">
        <v>7200</v>
      </c>
      <c r="I58" s="74">
        <v>0</v>
      </c>
      <c r="J58" s="74">
        <v>2728800</v>
      </c>
      <c r="K58" s="74">
        <v>191016</v>
      </c>
      <c r="L58" s="74">
        <v>291982</v>
      </c>
      <c r="M58" s="74">
        <v>3211798</v>
      </c>
    </row>
    <row r="59" spans="1:13" ht="15.5" x14ac:dyDescent="0.35">
      <c r="A59" t="s">
        <v>234</v>
      </c>
      <c r="B59" t="s">
        <v>235</v>
      </c>
      <c r="C59" t="s">
        <v>137</v>
      </c>
      <c r="D59" t="s">
        <v>138</v>
      </c>
      <c r="E59" s="74">
        <v>56</v>
      </c>
      <c r="F59" s="74">
        <v>17000</v>
      </c>
      <c r="G59" s="74">
        <v>952000</v>
      </c>
      <c r="H59" s="74">
        <v>8500</v>
      </c>
      <c r="I59" s="74">
        <v>0</v>
      </c>
      <c r="J59" s="74">
        <v>943500</v>
      </c>
      <c r="K59" s="74">
        <v>64856</v>
      </c>
      <c r="L59" s="74">
        <v>100835</v>
      </c>
      <c r="M59" s="74">
        <v>1109191</v>
      </c>
    </row>
    <row r="60" spans="1:13" ht="15.5" x14ac:dyDescent="0.35">
      <c r="A60" t="s">
        <v>228</v>
      </c>
      <c r="B60" t="s">
        <v>229</v>
      </c>
      <c r="C60" t="s">
        <v>137</v>
      </c>
      <c r="D60" t="s">
        <v>173</v>
      </c>
      <c r="E60" s="74">
        <v>56</v>
      </c>
      <c r="F60" s="74">
        <v>50000</v>
      </c>
      <c r="G60" s="74">
        <v>2800000</v>
      </c>
      <c r="H60" s="74">
        <v>30000</v>
      </c>
      <c r="I60" s="74">
        <v>0</v>
      </c>
      <c r="J60" s="74">
        <v>2770000</v>
      </c>
      <c r="K60" s="74">
        <v>169400</v>
      </c>
      <c r="L60" s="74">
        <v>293942</v>
      </c>
      <c r="M60" s="74">
        <v>3233342</v>
      </c>
    </row>
    <row r="61" spans="1:13" ht="15.5" x14ac:dyDescent="0.35">
      <c r="A61" t="s">
        <v>208</v>
      </c>
      <c r="B61" t="s">
        <v>209</v>
      </c>
      <c r="C61" t="s">
        <v>134</v>
      </c>
      <c r="D61" t="s">
        <v>135</v>
      </c>
      <c r="E61" s="74">
        <v>54</v>
      </c>
      <c r="F61" s="74">
        <v>0</v>
      </c>
      <c r="G61" s="74">
        <v>0</v>
      </c>
      <c r="H61" s="74">
        <v>0</v>
      </c>
      <c r="I61" s="74">
        <v>0</v>
      </c>
      <c r="J61" s="74">
        <v>0</v>
      </c>
      <c r="K61" s="74">
        <v>0</v>
      </c>
      <c r="L61" s="74">
        <v>0</v>
      </c>
      <c r="M61" s="74">
        <v>0</v>
      </c>
    </row>
    <row r="62" spans="1:13" ht="15.5" x14ac:dyDescent="0.35">
      <c r="A62" t="s">
        <v>92</v>
      </c>
      <c r="B62" t="s">
        <v>93</v>
      </c>
      <c r="C62" t="s">
        <v>137</v>
      </c>
      <c r="D62" t="s">
        <v>210</v>
      </c>
      <c r="E62" s="74">
        <v>53</v>
      </c>
      <c r="F62" s="74">
        <v>59000</v>
      </c>
      <c r="G62" s="74">
        <v>3127000</v>
      </c>
      <c r="H62" s="74">
        <v>35400</v>
      </c>
      <c r="I62" s="74">
        <v>0</v>
      </c>
      <c r="J62" s="74">
        <v>3091600</v>
      </c>
      <c r="K62" s="74">
        <v>216414</v>
      </c>
      <c r="L62" s="74">
        <v>330801</v>
      </c>
      <c r="M62" s="74">
        <v>3638815</v>
      </c>
    </row>
    <row r="63" spans="1:13" ht="15.5" x14ac:dyDescent="0.35">
      <c r="A63" t="s">
        <v>227</v>
      </c>
      <c r="B63" t="s">
        <v>18</v>
      </c>
      <c r="C63" t="s">
        <v>137</v>
      </c>
      <c r="D63" t="s">
        <v>169</v>
      </c>
      <c r="E63" s="74">
        <v>53</v>
      </c>
      <c r="F63" s="74">
        <v>57000</v>
      </c>
      <c r="G63" s="74">
        <v>3021000</v>
      </c>
      <c r="H63" s="74">
        <v>245100</v>
      </c>
      <c r="I63" s="74">
        <v>0</v>
      </c>
      <c r="J63" s="74">
        <v>2775900</v>
      </c>
      <c r="K63" s="74">
        <v>186333</v>
      </c>
      <c r="L63" s="74">
        <v>296223</v>
      </c>
      <c r="M63" s="74">
        <v>3258456</v>
      </c>
    </row>
    <row r="64" spans="1:13" ht="15.5" x14ac:dyDescent="0.35">
      <c r="A64" t="s">
        <v>274</v>
      </c>
      <c r="B64" t="s">
        <v>275</v>
      </c>
      <c r="C64" t="s">
        <v>187</v>
      </c>
      <c r="D64" t="s">
        <v>188</v>
      </c>
      <c r="E64" s="74">
        <v>38</v>
      </c>
      <c r="F64" s="74">
        <v>50000</v>
      </c>
      <c r="G64" s="74">
        <v>1900000</v>
      </c>
      <c r="H64" s="74">
        <v>0</v>
      </c>
      <c r="I64" s="74">
        <v>0</v>
      </c>
      <c r="J64" s="74">
        <v>1900000</v>
      </c>
      <c r="K64" s="74">
        <v>133000</v>
      </c>
      <c r="L64" s="74">
        <v>203300</v>
      </c>
      <c r="M64" s="74">
        <v>2236300</v>
      </c>
    </row>
    <row r="65" spans="1:13" ht="15.5" x14ac:dyDescent="0.35">
      <c r="A65" t="s">
        <v>99</v>
      </c>
      <c r="B65" t="s">
        <v>79</v>
      </c>
      <c r="C65" t="s">
        <v>137</v>
      </c>
      <c r="D65" t="s">
        <v>210</v>
      </c>
      <c r="E65" s="74">
        <v>48</v>
      </c>
      <c r="F65" s="74">
        <v>72000</v>
      </c>
      <c r="G65" s="74">
        <v>3456000</v>
      </c>
      <c r="H65" s="74">
        <v>25200</v>
      </c>
      <c r="I65" s="74">
        <v>0</v>
      </c>
      <c r="J65" s="74">
        <v>3430800</v>
      </c>
      <c r="K65" s="74">
        <v>240156</v>
      </c>
      <c r="L65" s="74">
        <v>367095</v>
      </c>
      <c r="M65" s="74">
        <v>4038051</v>
      </c>
    </row>
    <row r="66" spans="1:13" ht="15.5" x14ac:dyDescent="0.35">
      <c r="A66" t="s">
        <v>290</v>
      </c>
      <c r="B66" t="s">
        <v>291</v>
      </c>
      <c r="C66" t="s">
        <v>130</v>
      </c>
      <c r="D66" t="s">
        <v>155</v>
      </c>
      <c r="E66" s="74">
        <v>46</v>
      </c>
      <c r="F66" s="74">
        <v>22800</v>
      </c>
      <c r="G66" s="74">
        <v>1048800</v>
      </c>
      <c r="H66" s="74">
        <v>4560</v>
      </c>
      <c r="I66" s="74">
        <v>0</v>
      </c>
      <c r="J66" s="74">
        <v>1044240</v>
      </c>
      <c r="K66" s="74">
        <v>65436</v>
      </c>
      <c r="L66" s="74">
        <v>110983</v>
      </c>
      <c r="M66" s="74">
        <v>1220659</v>
      </c>
    </row>
    <row r="67" spans="1:13" ht="15.5" x14ac:dyDescent="0.35">
      <c r="A67" t="s">
        <v>242</v>
      </c>
      <c r="B67" t="s">
        <v>243</v>
      </c>
      <c r="C67" t="s">
        <v>137</v>
      </c>
      <c r="D67" t="s">
        <v>243</v>
      </c>
      <c r="E67" s="74">
        <v>45</v>
      </c>
      <c r="F67" s="74">
        <v>155000</v>
      </c>
      <c r="G67" s="74">
        <v>6975000</v>
      </c>
      <c r="H67" s="74">
        <v>93000</v>
      </c>
      <c r="I67" s="74">
        <v>0</v>
      </c>
      <c r="J67" s="74">
        <v>6882000</v>
      </c>
      <c r="K67" s="74">
        <v>481742</v>
      </c>
      <c r="L67" s="74">
        <v>736373</v>
      </c>
      <c r="M67" s="74">
        <v>8100115</v>
      </c>
    </row>
    <row r="68" spans="1:13" ht="15.5" x14ac:dyDescent="0.35">
      <c r="A68" t="s">
        <v>240</v>
      </c>
      <c r="B68" t="s">
        <v>241</v>
      </c>
      <c r="C68" t="s">
        <v>137</v>
      </c>
      <c r="D68" t="s">
        <v>161</v>
      </c>
      <c r="E68" s="74">
        <v>43</v>
      </c>
      <c r="F68" s="74">
        <v>35000</v>
      </c>
      <c r="G68" s="74">
        <v>1505000</v>
      </c>
      <c r="H68" s="74">
        <v>15750</v>
      </c>
      <c r="I68" s="74">
        <v>0</v>
      </c>
      <c r="J68" s="74">
        <v>1489250</v>
      </c>
      <c r="K68" s="74">
        <v>101799</v>
      </c>
      <c r="L68" s="74">
        <v>159104</v>
      </c>
      <c r="M68" s="74">
        <v>1750153</v>
      </c>
    </row>
    <row r="69" spans="1:13" ht="15.5" x14ac:dyDescent="0.35">
      <c r="A69" t="s">
        <v>198</v>
      </c>
      <c r="B69" t="s">
        <v>199</v>
      </c>
      <c r="C69" t="s">
        <v>137</v>
      </c>
      <c r="D69" t="s">
        <v>138</v>
      </c>
      <c r="E69" s="74">
        <v>41</v>
      </c>
      <c r="F69" s="74">
        <v>0</v>
      </c>
      <c r="G69" s="74">
        <v>0</v>
      </c>
      <c r="H69" s="74">
        <v>0</v>
      </c>
      <c r="I69" s="74">
        <v>0</v>
      </c>
      <c r="J69" s="74">
        <v>0</v>
      </c>
      <c r="K69" s="74">
        <v>0</v>
      </c>
      <c r="L69" s="74">
        <v>0</v>
      </c>
      <c r="M69" s="74">
        <v>0</v>
      </c>
    </row>
    <row r="70" spans="1:13" ht="15.5" x14ac:dyDescent="0.35">
      <c r="A70" t="s">
        <v>96</v>
      </c>
      <c r="B70" t="s">
        <v>87</v>
      </c>
      <c r="C70" t="s">
        <v>137</v>
      </c>
      <c r="D70" t="s">
        <v>210</v>
      </c>
      <c r="E70" s="74">
        <v>40</v>
      </c>
      <c r="F70" s="74">
        <v>89000</v>
      </c>
      <c r="G70" s="74">
        <v>3560000</v>
      </c>
      <c r="H70" s="74">
        <v>31150</v>
      </c>
      <c r="I70" s="74">
        <v>0</v>
      </c>
      <c r="J70" s="74">
        <v>3528850</v>
      </c>
      <c r="K70" s="74">
        <v>247020</v>
      </c>
      <c r="L70" s="74">
        <v>377587</v>
      </c>
      <c r="M70" s="74">
        <v>4153457</v>
      </c>
    </row>
    <row r="71" spans="1:13" ht="15.5" x14ac:dyDescent="0.35">
      <c r="A71" t="s">
        <v>270</v>
      </c>
      <c r="B71" t="s">
        <v>271</v>
      </c>
      <c r="C71" t="s">
        <v>137</v>
      </c>
      <c r="D71" t="s">
        <v>161</v>
      </c>
      <c r="E71" s="74">
        <v>40</v>
      </c>
      <c r="F71" s="74">
        <v>28000</v>
      </c>
      <c r="G71" s="74">
        <v>1120000</v>
      </c>
      <c r="H71" s="74">
        <v>4200</v>
      </c>
      <c r="I71" s="74">
        <v>0</v>
      </c>
      <c r="J71" s="74">
        <v>1115800</v>
      </c>
      <c r="K71" s="74">
        <v>78106</v>
      </c>
      <c r="L71" s="74">
        <v>119391</v>
      </c>
      <c r="M71" s="74">
        <v>1313297</v>
      </c>
    </row>
    <row r="72" spans="1:13" ht="15.5" x14ac:dyDescent="0.35">
      <c r="A72" t="s">
        <v>286</v>
      </c>
      <c r="B72" t="s">
        <v>287</v>
      </c>
      <c r="C72" t="s">
        <v>137</v>
      </c>
      <c r="D72" t="s">
        <v>161</v>
      </c>
      <c r="E72" s="74">
        <v>39</v>
      </c>
      <c r="F72" s="74">
        <v>22000</v>
      </c>
      <c r="G72" s="74">
        <v>858000</v>
      </c>
      <c r="H72" s="74">
        <v>3300</v>
      </c>
      <c r="I72" s="74">
        <v>0</v>
      </c>
      <c r="J72" s="74">
        <v>854700</v>
      </c>
      <c r="K72" s="74">
        <v>58289</v>
      </c>
      <c r="L72" s="74">
        <v>91299</v>
      </c>
      <c r="M72" s="74">
        <v>1004288</v>
      </c>
    </row>
    <row r="73" spans="1:13" ht="15.5" x14ac:dyDescent="0.35">
      <c r="A73" t="s">
        <v>221</v>
      </c>
      <c r="B73" t="s">
        <v>222</v>
      </c>
      <c r="C73" t="s">
        <v>137</v>
      </c>
      <c r="D73" t="s">
        <v>158</v>
      </c>
      <c r="E73" s="74">
        <v>38</v>
      </c>
      <c r="F73" s="74">
        <v>183000</v>
      </c>
      <c r="G73" s="74">
        <v>6954000</v>
      </c>
      <c r="H73" s="74">
        <v>109800</v>
      </c>
      <c r="I73" s="74">
        <v>0</v>
      </c>
      <c r="J73" s="74">
        <v>6844200</v>
      </c>
      <c r="K73" s="74">
        <v>479096</v>
      </c>
      <c r="L73" s="74">
        <v>732330</v>
      </c>
      <c r="M73" s="74">
        <v>8055626</v>
      </c>
    </row>
    <row r="74" spans="1:13" ht="15.5" x14ac:dyDescent="0.35">
      <c r="A74" t="s">
        <v>206</v>
      </c>
      <c r="B74" t="s">
        <v>207</v>
      </c>
      <c r="C74" t="s">
        <v>134</v>
      </c>
      <c r="D74" t="s">
        <v>135</v>
      </c>
      <c r="E74" s="74">
        <v>38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</row>
    <row r="75" spans="1:13" ht="15.5" x14ac:dyDescent="0.35">
      <c r="A75" t="s">
        <v>244</v>
      </c>
      <c r="B75" t="s">
        <v>245</v>
      </c>
      <c r="C75" t="s">
        <v>187</v>
      </c>
      <c r="D75" t="s">
        <v>188</v>
      </c>
      <c r="E75" s="74">
        <v>51</v>
      </c>
      <c r="F75" s="74">
        <v>50000</v>
      </c>
      <c r="G75" s="74">
        <v>2550000</v>
      </c>
      <c r="H75" s="74">
        <v>0</v>
      </c>
      <c r="I75" s="74">
        <v>0</v>
      </c>
      <c r="J75" s="74">
        <v>2550000</v>
      </c>
      <c r="K75" s="74">
        <v>178500</v>
      </c>
      <c r="L75" s="74">
        <v>272850</v>
      </c>
      <c r="M75" s="74">
        <v>3001350</v>
      </c>
    </row>
    <row r="76" spans="1:13" ht="15.5" x14ac:dyDescent="0.35">
      <c r="A76" t="s">
        <v>219</v>
      </c>
      <c r="B76" t="s">
        <v>220</v>
      </c>
      <c r="C76" t="s">
        <v>137</v>
      </c>
      <c r="D76" t="s">
        <v>173</v>
      </c>
      <c r="E76" s="74">
        <v>35</v>
      </c>
      <c r="F76" s="74">
        <v>44800</v>
      </c>
      <c r="G76" s="74">
        <v>1568000</v>
      </c>
      <c r="H76" s="74">
        <v>0</v>
      </c>
      <c r="I76" s="74">
        <v>0</v>
      </c>
      <c r="J76" s="74">
        <v>1568000</v>
      </c>
      <c r="K76" s="74">
        <v>0</v>
      </c>
      <c r="L76" s="74">
        <v>156800</v>
      </c>
      <c r="M76" s="74">
        <v>1724800</v>
      </c>
    </row>
    <row r="77" spans="1:13" ht="15.5" x14ac:dyDescent="0.35">
      <c r="A77" t="s">
        <v>98</v>
      </c>
      <c r="B77" t="s">
        <v>78</v>
      </c>
      <c r="C77" t="s">
        <v>137</v>
      </c>
      <c r="D77" t="s">
        <v>210</v>
      </c>
      <c r="E77" s="74">
        <v>35</v>
      </c>
      <c r="F77" s="74">
        <v>72000</v>
      </c>
      <c r="G77" s="74">
        <v>2520000</v>
      </c>
      <c r="H77" s="74">
        <v>10800</v>
      </c>
      <c r="I77" s="74">
        <v>0</v>
      </c>
      <c r="J77" s="74">
        <v>2509200</v>
      </c>
      <c r="K77" s="74">
        <v>170604</v>
      </c>
      <c r="L77" s="74">
        <v>267980</v>
      </c>
      <c r="M77" s="74">
        <v>2947784</v>
      </c>
    </row>
    <row r="78" spans="1:13" ht="15.5" x14ac:dyDescent="0.35">
      <c r="A78" t="s">
        <v>238</v>
      </c>
      <c r="B78" t="s">
        <v>239</v>
      </c>
      <c r="C78" t="s">
        <v>137</v>
      </c>
      <c r="D78" t="s">
        <v>169</v>
      </c>
      <c r="E78" s="74">
        <v>35</v>
      </c>
      <c r="F78" s="74">
        <v>50000</v>
      </c>
      <c r="G78" s="74">
        <v>1750000</v>
      </c>
      <c r="H78" s="74">
        <v>15000</v>
      </c>
      <c r="I78" s="74">
        <v>0</v>
      </c>
      <c r="J78" s="74">
        <v>1735000</v>
      </c>
      <c r="K78" s="74">
        <v>121450</v>
      </c>
      <c r="L78" s="74">
        <v>185646</v>
      </c>
      <c r="M78" s="74">
        <v>2042096</v>
      </c>
    </row>
    <row r="79" spans="1:13" ht="15.5" x14ac:dyDescent="0.35">
      <c r="A79" t="s">
        <v>268</v>
      </c>
      <c r="B79" t="s">
        <v>269</v>
      </c>
      <c r="C79" t="s">
        <v>137</v>
      </c>
      <c r="D79" t="s">
        <v>169</v>
      </c>
      <c r="E79" s="74">
        <v>35</v>
      </c>
      <c r="F79" s="74">
        <v>52000</v>
      </c>
      <c r="G79" s="74">
        <v>1820000</v>
      </c>
      <c r="H79" s="74">
        <v>75400</v>
      </c>
      <c r="I79" s="74">
        <v>0</v>
      </c>
      <c r="J79" s="74">
        <v>1744600</v>
      </c>
      <c r="K79" s="74">
        <v>118482</v>
      </c>
      <c r="L79" s="74">
        <v>186308</v>
      </c>
      <c r="M79" s="74">
        <v>2049390</v>
      </c>
    </row>
    <row r="80" spans="1:13" ht="15.5" x14ac:dyDescent="0.35">
      <c r="A80" t="s">
        <v>236</v>
      </c>
      <c r="B80" t="s">
        <v>237</v>
      </c>
      <c r="C80" t="s">
        <v>137</v>
      </c>
      <c r="D80" t="s">
        <v>138</v>
      </c>
      <c r="E80" s="74">
        <v>34</v>
      </c>
      <c r="F80" s="74">
        <v>20000</v>
      </c>
      <c r="G80" s="74">
        <v>680000</v>
      </c>
      <c r="H80" s="74">
        <v>10000</v>
      </c>
      <c r="I80" s="74">
        <v>0</v>
      </c>
      <c r="J80" s="74">
        <v>670000</v>
      </c>
      <c r="K80" s="74">
        <v>46900</v>
      </c>
      <c r="L80" s="74">
        <v>71690</v>
      </c>
      <c r="M80" s="74">
        <v>788590</v>
      </c>
    </row>
    <row r="81" spans="1:13" ht="15.5" x14ac:dyDescent="0.35">
      <c r="A81" t="s">
        <v>309</v>
      </c>
      <c r="B81" t="s">
        <v>101</v>
      </c>
      <c r="C81" t="s">
        <v>137</v>
      </c>
      <c r="D81" t="s">
        <v>138</v>
      </c>
      <c r="E81" s="74">
        <v>34</v>
      </c>
      <c r="F81" s="74">
        <v>14000</v>
      </c>
      <c r="G81" s="74">
        <v>476000</v>
      </c>
      <c r="H81" s="74">
        <v>21700</v>
      </c>
      <c r="I81" s="74">
        <v>0</v>
      </c>
      <c r="J81" s="74">
        <v>454300</v>
      </c>
      <c r="K81" s="74">
        <v>31801</v>
      </c>
      <c r="L81" s="74">
        <v>48610</v>
      </c>
      <c r="M81" s="74">
        <v>534711</v>
      </c>
    </row>
    <row r="82" spans="1:13" ht="15.5" x14ac:dyDescent="0.35">
      <c r="A82" t="s">
        <v>211</v>
      </c>
      <c r="B82" t="s">
        <v>212</v>
      </c>
      <c r="C82" t="s">
        <v>137</v>
      </c>
      <c r="D82" t="s">
        <v>169</v>
      </c>
      <c r="E82" s="74">
        <v>34</v>
      </c>
      <c r="F82" s="74">
        <v>60480</v>
      </c>
      <c r="G82" s="74">
        <v>2056320</v>
      </c>
      <c r="H82" s="74">
        <v>0</v>
      </c>
      <c r="I82" s="74">
        <v>0</v>
      </c>
      <c r="J82" s="74">
        <v>2056320</v>
      </c>
      <c r="K82" s="74">
        <v>0</v>
      </c>
      <c r="L82" s="74">
        <v>205632</v>
      </c>
      <c r="M82" s="74">
        <v>2261952</v>
      </c>
    </row>
    <row r="83" spans="1:13" ht="15.5" x14ac:dyDescent="0.35">
      <c r="A83" t="s">
        <v>288</v>
      </c>
      <c r="B83" t="s">
        <v>289</v>
      </c>
      <c r="C83" t="s">
        <v>137</v>
      </c>
      <c r="D83" t="s">
        <v>173</v>
      </c>
      <c r="E83" s="74">
        <v>33</v>
      </c>
      <c r="F83" s="74">
        <v>47000</v>
      </c>
      <c r="G83" s="74">
        <v>1551000</v>
      </c>
      <c r="H83" s="74">
        <v>0</v>
      </c>
      <c r="I83" s="74">
        <v>0</v>
      </c>
      <c r="J83" s="74">
        <v>1551000</v>
      </c>
      <c r="K83" s="74">
        <v>105280</v>
      </c>
      <c r="L83" s="74">
        <v>165628</v>
      </c>
      <c r="M83" s="74">
        <v>1821908</v>
      </c>
    </row>
    <row r="84" spans="1:13" ht="15.5" x14ac:dyDescent="0.35">
      <c r="A84" t="s">
        <v>267</v>
      </c>
      <c r="B84" t="s">
        <v>12</v>
      </c>
      <c r="C84" t="s">
        <v>137</v>
      </c>
      <c r="D84" t="s">
        <v>169</v>
      </c>
      <c r="E84" s="74">
        <v>32</v>
      </c>
      <c r="F84" s="74">
        <v>57000</v>
      </c>
      <c r="G84" s="74">
        <v>1824000</v>
      </c>
      <c r="H84" s="74">
        <v>245100</v>
      </c>
      <c r="I84" s="74">
        <v>0</v>
      </c>
      <c r="J84" s="74">
        <v>1578900</v>
      </c>
      <c r="K84" s="74">
        <v>110524</v>
      </c>
      <c r="L84" s="74">
        <v>168942</v>
      </c>
      <c r="M84" s="74">
        <v>1858366</v>
      </c>
    </row>
    <row r="85" spans="1:13" ht="15.5" x14ac:dyDescent="0.35">
      <c r="A85" t="s">
        <v>302</v>
      </c>
      <c r="B85" t="s">
        <v>303</v>
      </c>
      <c r="C85" t="s">
        <v>130</v>
      </c>
      <c r="D85" t="s">
        <v>155</v>
      </c>
      <c r="E85" s="74">
        <v>31</v>
      </c>
      <c r="F85" s="74">
        <v>22800</v>
      </c>
      <c r="G85" s="74">
        <v>706800</v>
      </c>
      <c r="H85" s="74">
        <v>4560</v>
      </c>
      <c r="I85" s="74">
        <v>0</v>
      </c>
      <c r="J85" s="74">
        <v>702240</v>
      </c>
      <c r="K85" s="74">
        <v>49157</v>
      </c>
      <c r="L85" s="74">
        <v>75152</v>
      </c>
      <c r="M85" s="74">
        <v>826549</v>
      </c>
    </row>
    <row r="86" spans="1:13" ht="15.5" x14ac:dyDescent="0.35">
      <c r="A86" t="s">
        <v>263</v>
      </c>
      <c r="B86" t="s">
        <v>264</v>
      </c>
      <c r="C86" t="s">
        <v>137</v>
      </c>
      <c r="D86" t="s">
        <v>243</v>
      </c>
      <c r="E86" s="74">
        <v>30</v>
      </c>
      <c r="F86" s="74">
        <v>168000</v>
      </c>
      <c r="G86" s="74">
        <v>5040000</v>
      </c>
      <c r="H86" s="74">
        <v>84000</v>
      </c>
      <c r="I86" s="74">
        <v>0</v>
      </c>
      <c r="J86" s="74">
        <v>4956000</v>
      </c>
      <c r="K86" s="74">
        <v>346920</v>
      </c>
      <c r="L86" s="74">
        <v>530293</v>
      </c>
      <c r="M86" s="74">
        <v>5833213</v>
      </c>
    </row>
    <row r="87" spans="1:13" ht="15.5" x14ac:dyDescent="0.35">
      <c r="A87" t="s">
        <v>363</v>
      </c>
      <c r="B87" t="s">
        <v>364</v>
      </c>
      <c r="C87" t="s">
        <v>134</v>
      </c>
      <c r="D87" t="s">
        <v>135</v>
      </c>
      <c r="E87" s="74">
        <v>28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</row>
    <row r="88" spans="1:13" ht="15.5" x14ac:dyDescent="0.35">
      <c r="A88" t="s">
        <v>189</v>
      </c>
      <c r="B88" t="s">
        <v>190</v>
      </c>
      <c r="C88" t="s">
        <v>137</v>
      </c>
      <c r="D88" t="s">
        <v>166</v>
      </c>
      <c r="E88" s="74">
        <v>28</v>
      </c>
      <c r="F88" s="74">
        <v>44800</v>
      </c>
      <c r="G88" s="74">
        <v>1254400</v>
      </c>
      <c r="H88" s="74">
        <v>0</v>
      </c>
      <c r="I88" s="74">
        <v>0</v>
      </c>
      <c r="J88" s="74">
        <v>1254400</v>
      </c>
      <c r="K88" s="74">
        <v>0</v>
      </c>
      <c r="L88" s="74">
        <v>125440</v>
      </c>
      <c r="M88" s="74">
        <v>1379840</v>
      </c>
    </row>
    <row r="89" spans="1:13" ht="15.5" x14ac:dyDescent="0.35">
      <c r="A89" t="s">
        <v>234</v>
      </c>
      <c r="B89" t="s">
        <v>235</v>
      </c>
      <c r="C89" t="s">
        <v>137</v>
      </c>
      <c r="D89" t="s">
        <v>138</v>
      </c>
      <c r="E89" s="74">
        <v>27</v>
      </c>
      <c r="F89" s="74">
        <v>19040</v>
      </c>
      <c r="G89" s="74">
        <v>514080</v>
      </c>
      <c r="H89" s="74">
        <v>0</v>
      </c>
      <c r="I89" s="74">
        <v>0</v>
      </c>
      <c r="J89" s="74">
        <v>514080</v>
      </c>
      <c r="K89" s="74">
        <v>0</v>
      </c>
      <c r="L89" s="74">
        <v>51408</v>
      </c>
      <c r="M89" s="74">
        <v>565488</v>
      </c>
    </row>
    <row r="90" spans="1:13" ht="15.5" x14ac:dyDescent="0.35">
      <c r="A90" t="s">
        <v>292</v>
      </c>
      <c r="B90" t="s">
        <v>293</v>
      </c>
      <c r="C90" t="s">
        <v>134</v>
      </c>
      <c r="D90" t="s">
        <v>135</v>
      </c>
      <c r="E90" s="74">
        <v>27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</row>
    <row r="91" spans="1:13" ht="15.5" x14ac:dyDescent="0.35">
      <c r="A91" t="s">
        <v>172</v>
      </c>
      <c r="B91" t="s">
        <v>9</v>
      </c>
      <c r="C91" t="s">
        <v>137</v>
      </c>
      <c r="D91" t="s">
        <v>173</v>
      </c>
      <c r="E91" s="74">
        <v>24</v>
      </c>
      <c r="F91" s="74">
        <v>60480</v>
      </c>
      <c r="G91" s="74">
        <v>1451520</v>
      </c>
      <c r="H91" s="74">
        <v>0</v>
      </c>
      <c r="I91" s="74">
        <v>0</v>
      </c>
      <c r="J91" s="74">
        <v>1451520</v>
      </c>
      <c r="K91" s="74">
        <v>0</v>
      </c>
      <c r="L91" s="74">
        <v>145152</v>
      </c>
      <c r="M91" s="74">
        <v>1596672</v>
      </c>
    </row>
    <row r="92" spans="1:13" ht="15.5" x14ac:dyDescent="0.35">
      <c r="A92" t="s">
        <v>200</v>
      </c>
      <c r="B92" t="s">
        <v>201</v>
      </c>
      <c r="C92" t="s">
        <v>187</v>
      </c>
      <c r="D92" t="s">
        <v>188</v>
      </c>
      <c r="E92" s="74">
        <v>58</v>
      </c>
      <c r="F92" s="74">
        <v>50000</v>
      </c>
      <c r="G92" s="74">
        <v>2900000</v>
      </c>
      <c r="H92" s="74">
        <v>0</v>
      </c>
      <c r="I92" s="74">
        <v>0</v>
      </c>
      <c r="J92" s="74">
        <v>2900000</v>
      </c>
      <c r="K92" s="74">
        <v>203000</v>
      </c>
      <c r="L92" s="74">
        <v>310300</v>
      </c>
      <c r="M92" s="74">
        <v>3413300</v>
      </c>
    </row>
    <row r="93" spans="1:13" ht="15.5" x14ac:dyDescent="0.35">
      <c r="A93" t="s">
        <v>322</v>
      </c>
      <c r="B93" t="s">
        <v>323</v>
      </c>
      <c r="C93" t="s">
        <v>137</v>
      </c>
      <c r="D93" t="s">
        <v>161</v>
      </c>
      <c r="E93" s="74">
        <v>23</v>
      </c>
      <c r="F93" s="74">
        <v>30000</v>
      </c>
      <c r="G93" s="74">
        <v>690000</v>
      </c>
      <c r="H93" s="74">
        <v>4500</v>
      </c>
      <c r="I93" s="74">
        <v>0</v>
      </c>
      <c r="J93" s="74">
        <v>685500</v>
      </c>
      <c r="K93" s="74">
        <v>47985</v>
      </c>
      <c r="L93" s="74">
        <v>73349</v>
      </c>
      <c r="M93" s="74">
        <v>806834</v>
      </c>
    </row>
    <row r="94" spans="1:13" ht="15.5" x14ac:dyDescent="0.35">
      <c r="A94" t="s">
        <v>335</v>
      </c>
      <c r="B94" t="s">
        <v>336</v>
      </c>
      <c r="C94" t="s">
        <v>130</v>
      </c>
      <c r="D94" t="s">
        <v>155</v>
      </c>
      <c r="E94" s="74">
        <v>22</v>
      </c>
      <c r="F94" s="74">
        <v>22800</v>
      </c>
      <c r="G94" s="74">
        <v>501600</v>
      </c>
      <c r="H94" s="74">
        <v>0</v>
      </c>
      <c r="I94" s="74">
        <v>0</v>
      </c>
      <c r="J94" s="74">
        <v>501600</v>
      </c>
      <c r="K94" s="74">
        <v>33516</v>
      </c>
      <c r="L94" s="74">
        <v>53519</v>
      </c>
      <c r="M94" s="74">
        <v>588635</v>
      </c>
    </row>
    <row r="95" spans="1:13" ht="15.5" x14ac:dyDescent="0.35">
      <c r="A95" t="s">
        <v>192</v>
      </c>
      <c r="B95" t="s">
        <v>193</v>
      </c>
      <c r="C95" t="s">
        <v>187</v>
      </c>
      <c r="D95" t="s">
        <v>188</v>
      </c>
      <c r="E95" s="74">
        <v>118</v>
      </c>
      <c r="F95" s="74">
        <v>50000</v>
      </c>
      <c r="G95" s="74">
        <v>5900000</v>
      </c>
      <c r="H95" s="74">
        <v>0</v>
      </c>
      <c r="I95" s="74">
        <v>0</v>
      </c>
      <c r="J95" s="74">
        <v>5900000</v>
      </c>
      <c r="K95" s="74">
        <v>413000</v>
      </c>
      <c r="L95" s="74">
        <v>631300</v>
      </c>
      <c r="M95" s="74">
        <v>6944300</v>
      </c>
    </row>
    <row r="96" spans="1:13" ht="15.5" x14ac:dyDescent="0.35">
      <c r="A96" t="s">
        <v>279</v>
      </c>
      <c r="B96" t="s">
        <v>280</v>
      </c>
      <c r="C96" t="s">
        <v>137</v>
      </c>
      <c r="D96" t="s">
        <v>161</v>
      </c>
      <c r="E96" s="74">
        <v>22</v>
      </c>
      <c r="F96" s="74">
        <v>48000</v>
      </c>
      <c r="G96" s="74">
        <v>1056000</v>
      </c>
      <c r="H96" s="74">
        <v>14400</v>
      </c>
      <c r="I96" s="74">
        <v>0</v>
      </c>
      <c r="J96" s="74">
        <v>1041600</v>
      </c>
      <c r="K96" s="74">
        <v>66192</v>
      </c>
      <c r="L96" s="74">
        <v>110780</v>
      </c>
      <c r="M96" s="74">
        <v>1218572</v>
      </c>
    </row>
    <row r="97" spans="1:13" ht="15.5" x14ac:dyDescent="0.35">
      <c r="A97" t="s">
        <v>250</v>
      </c>
      <c r="B97" t="s">
        <v>10</v>
      </c>
      <c r="C97" t="s">
        <v>137</v>
      </c>
      <c r="D97" t="s">
        <v>243</v>
      </c>
      <c r="E97" s="74">
        <v>21</v>
      </c>
      <c r="F97" s="74">
        <v>196000</v>
      </c>
      <c r="G97" s="74">
        <v>4116000</v>
      </c>
      <c r="H97" s="74">
        <v>29400</v>
      </c>
      <c r="I97" s="74">
        <v>0</v>
      </c>
      <c r="J97" s="74">
        <v>4086600</v>
      </c>
      <c r="K97" s="74">
        <v>286062</v>
      </c>
      <c r="L97" s="74">
        <v>437266</v>
      </c>
      <c r="M97" s="74">
        <v>4809928</v>
      </c>
    </row>
    <row r="98" spans="1:13" ht="15.5" x14ac:dyDescent="0.35">
      <c r="A98" t="s">
        <v>307</v>
      </c>
      <c r="B98" t="s">
        <v>308</v>
      </c>
      <c r="C98" t="s">
        <v>130</v>
      </c>
      <c r="D98" t="s">
        <v>155</v>
      </c>
      <c r="E98" s="74">
        <v>21</v>
      </c>
      <c r="F98" s="74">
        <v>22800</v>
      </c>
      <c r="G98" s="74">
        <v>478800</v>
      </c>
      <c r="H98" s="74">
        <v>0</v>
      </c>
      <c r="I98" s="74">
        <v>0</v>
      </c>
      <c r="J98" s="74">
        <v>478800</v>
      </c>
      <c r="K98" s="74">
        <v>31920</v>
      </c>
      <c r="L98" s="74">
        <v>51078</v>
      </c>
      <c r="M98" s="74">
        <v>561798</v>
      </c>
    </row>
    <row r="99" spans="1:13" ht="15.5" x14ac:dyDescent="0.35">
      <c r="A99" t="s">
        <v>257</v>
      </c>
      <c r="B99" t="s">
        <v>258</v>
      </c>
      <c r="C99" t="s">
        <v>134</v>
      </c>
      <c r="D99" t="s">
        <v>135</v>
      </c>
      <c r="E99" s="74">
        <v>21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</row>
    <row r="100" spans="1:13" ht="15.5" x14ac:dyDescent="0.35">
      <c r="A100" t="s">
        <v>248</v>
      </c>
      <c r="B100" t="s">
        <v>249</v>
      </c>
      <c r="C100" t="s">
        <v>137</v>
      </c>
      <c r="D100" t="s">
        <v>169</v>
      </c>
      <c r="E100" s="74">
        <v>21</v>
      </c>
      <c r="F100" s="74">
        <v>57000</v>
      </c>
      <c r="G100" s="74">
        <v>1197000</v>
      </c>
      <c r="H100" s="74">
        <v>236550</v>
      </c>
      <c r="I100" s="74">
        <v>0</v>
      </c>
      <c r="J100" s="74">
        <v>960450</v>
      </c>
      <c r="K100" s="74">
        <v>67232</v>
      </c>
      <c r="L100" s="74">
        <v>102768</v>
      </c>
      <c r="M100" s="74">
        <v>1130450</v>
      </c>
    </row>
    <row r="101" spans="1:13" ht="15.5" x14ac:dyDescent="0.35">
      <c r="A101" t="s">
        <v>255</v>
      </c>
      <c r="B101" t="s">
        <v>256</v>
      </c>
      <c r="C101" t="s">
        <v>137</v>
      </c>
      <c r="D101" t="s">
        <v>138</v>
      </c>
      <c r="E101" s="74">
        <v>20</v>
      </c>
      <c r="F101" s="74">
        <v>8000</v>
      </c>
      <c r="G101" s="74">
        <v>160000</v>
      </c>
      <c r="H101" s="74">
        <v>7200</v>
      </c>
      <c r="I101" s="74">
        <v>0</v>
      </c>
      <c r="J101" s="74">
        <v>152800</v>
      </c>
      <c r="K101" s="74">
        <v>10696</v>
      </c>
      <c r="L101" s="74">
        <v>16352</v>
      </c>
      <c r="M101" s="74">
        <v>179848</v>
      </c>
    </row>
    <row r="102" spans="1:13" ht="15.5" x14ac:dyDescent="0.35">
      <c r="A102" t="s">
        <v>297</v>
      </c>
      <c r="B102" t="s">
        <v>106</v>
      </c>
      <c r="C102" t="s">
        <v>137</v>
      </c>
      <c r="D102" t="s">
        <v>173</v>
      </c>
      <c r="E102" s="74">
        <v>20</v>
      </c>
      <c r="F102" s="74">
        <v>45000</v>
      </c>
      <c r="G102" s="74">
        <v>900000</v>
      </c>
      <c r="H102" s="74">
        <v>6750</v>
      </c>
      <c r="I102" s="74">
        <v>0</v>
      </c>
      <c r="J102" s="74">
        <v>893250</v>
      </c>
      <c r="K102" s="74">
        <v>53078</v>
      </c>
      <c r="L102" s="74">
        <v>94633</v>
      </c>
      <c r="M102" s="74">
        <v>1040961</v>
      </c>
    </row>
    <row r="103" spans="1:13" ht="15.5" x14ac:dyDescent="0.35">
      <c r="A103" t="s">
        <v>306</v>
      </c>
      <c r="B103" t="s">
        <v>21</v>
      </c>
      <c r="C103" t="s">
        <v>137</v>
      </c>
      <c r="D103" t="s">
        <v>173</v>
      </c>
      <c r="E103" s="74">
        <v>20</v>
      </c>
      <c r="F103" s="74">
        <v>45000</v>
      </c>
      <c r="G103" s="74">
        <v>900000</v>
      </c>
      <c r="H103" s="74">
        <v>0</v>
      </c>
      <c r="I103" s="74">
        <v>0</v>
      </c>
      <c r="J103" s="74">
        <v>900000</v>
      </c>
      <c r="K103" s="74">
        <v>56700</v>
      </c>
      <c r="L103" s="74">
        <v>95670</v>
      </c>
      <c r="M103" s="74">
        <v>1052370</v>
      </c>
    </row>
    <row r="104" spans="1:13" ht="15.5" x14ac:dyDescent="0.35">
      <c r="A104" t="s">
        <v>227</v>
      </c>
      <c r="B104" t="s">
        <v>18</v>
      </c>
      <c r="C104" t="s">
        <v>137</v>
      </c>
      <c r="D104" t="s">
        <v>169</v>
      </c>
      <c r="E104" s="74">
        <v>20</v>
      </c>
      <c r="F104" s="74">
        <v>63840</v>
      </c>
      <c r="G104" s="74">
        <v>1276800</v>
      </c>
      <c r="H104" s="74">
        <v>0</v>
      </c>
      <c r="I104" s="74">
        <v>0</v>
      </c>
      <c r="J104" s="74">
        <v>1276800</v>
      </c>
      <c r="K104" s="74">
        <v>0</v>
      </c>
      <c r="L104" s="74">
        <v>127680</v>
      </c>
      <c r="M104" s="74">
        <v>1404480</v>
      </c>
    </row>
    <row r="105" spans="1:13" ht="15.5" x14ac:dyDescent="0.35">
      <c r="A105" t="s">
        <v>281</v>
      </c>
      <c r="B105" t="s">
        <v>282</v>
      </c>
      <c r="C105" t="s">
        <v>137</v>
      </c>
      <c r="D105" t="s">
        <v>173</v>
      </c>
      <c r="E105" s="74">
        <v>19</v>
      </c>
      <c r="F105" s="74">
        <v>38000</v>
      </c>
      <c r="G105" s="74">
        <v>722000</v>
      </c>
      <c r="H105" s="74">
        <v>24700</v>
      </c>
      <c r="I105" s="74">
        <v>0</v>
      </c>
      <c r="J105" s="74">
        <v>697300</v>
      </c>
      <c r="K105" s="74">
        <v>43491</v>
      </c>
      <c r="L105" s="74">
        <v>74079</v>
      </c>
      <c r="M105" s="74">
        <v>814870</v>
      </c>
    </row>
    <row r="106" spans="1:13" ht="15.5" x14ac:dyDescent="0.35">
      <c r="A106" t="s">
        <v>284</v>
      </c>
      <c r="B106" t="s">
        <v>285</v>
      </c>
      <c r="C106" t="s">
        <v>130</v>
      </c>
      <c r="D106" t="s">
        <v>155</v>
      </c>
      <c r="E106" s="74">
        <v>19</v>
      </c>
      <c r="F106" s="74">
        <v>22800</v>
      </c>
      <c r="G106" s="74">
        <v>433200</v>
      </c>
      <c r="H106" s="74">
        <v>0</v>
      </c>
      <c r="I106" s="74">
        <v>0</v>
      </c>
      <c r="J106" s="74">
        <v>433200</v>
      </c>
      <c r="K106" s="74">
        <v>30324</v>
      </c>
      <c r="L106" s="74">
        <v>46360</v>
      </c>
      <c r="M106" s="74">
        <v>509884</v>
      </c>
    </row>
    <row r="107" spans="1:13" ht="15.5" x14ac:dyDescent="0.35">
      <c r="A107" t="s">
        <v>94</v>
      </c>
      <c r="B107" t="s">
        <v>95</v>
      </c>
      <c r="C107" t="s">
        <v>137</v>
      </c>
      <c r="D107" t="s">
        <v>210</v>
      </c>
      <c r="E107" s="74">
        <v>19</v>
      </c>
      <c r="F107" s="74">
        <v>59000</v>
      </c>
      <c r="G107" s="74">
        <v>1121000</v>
      </c>
      <c r="H107" s="74">
        <v>0</v>
      </c>
      <c r="I107" s="74">
        <v>0</v>
      </c>
      <c r="J107" s="74">
        <v>1121000</v>
      </c>
      <c r="K107" s="74">
        <v>78470</v>
      </c>
      <c r="L107" s="74">
        <v>119947</v>
      </c>
      <c r="M107" s="74">
        <v>1319417</v>
      </c>
    </row>
    <row r="108" spans="1:13" ht="15.5" x14ac:dyDescent="0.35">
      <c r="A108" t="s">
        <v>310</v>
      </c>
      <c r="B108" t="s">
        <v>311</v>
      </c>
      <c r="C108" t="s">
        <v>187</v>
      </c>
      <c r="D108" t="s">
        <v>187</v>
      </c>
      <c r="E108" s="74">
        <v>18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</row>
    <row r="109" spans="1:13" ht="15.5" x14ac:dyDescent="0.35">
      <c r="A109" t="s">
        <v>312</v>
      </c>
      <c r="B109" t="s">
        <v>313</v>
      </c>
      <c r="C109" t="s">
        <v>187</v>
      </c>
      <c r="D109" t="s">
        <v>187</v>
      </c>
      <c r="E109" s="74">
        <v>18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</row>
    <row r="110" spans="1:13" ht="15.5" x14ac:dyDescent="0.35">
      <c r="A110" t="s">
        <v>276</v>
      </c>
      <c r="B110" t="s">
        <v>277</v>
      </c>
      <c r="C110" t="s">
        <v>137</v>
      </c>
      <c r="D110" t="s">
        <v>169</v>
      </c>
      <c r="E110" s="74">
        <v>18</v>
      </c>
      <c r="F110" s="74">
        <v>50000</v>
      </c>
      <c r="G110" s="74">
        <v>900000</v>
      </c>
      <c r="H110" s="74">
        <v>7500</v>
      </c>
      <c r="I110" s="74">
        <v>0</v>
      </c>
      <c r="J110" s="74">
        <v>892500</v>
      </c>
      <c r="K110" s="74">
        <v>62475</v>
      </c>
      <c r="L110" s="74">
        <v>95498</v>
      </c>
      <c r="M110" s="74">
        <v>1050473</v>
      </c>
    </row>
    <row r="111" spans="1:13" ht="15.5" x14ac:dyDescent="0.35">
      <c r="A111" t="s">
        <v>164</v>
      </c>
      <c r="B111" t="s">
        <v>165</v>
      </c>
      <c r="C111" t="s">
        <v>137</v>
      </c>
      <c r="D111" t="s">
        <v>166</v>
      </c>
      <c r="E111" s="74">
        <v>18</v>
      </c>
      <c r="F111" s="74">
        <v>50400</v>
      </c>
      <c r="G111" s="74">
        <v>907200</v>
      </c>
      <c r="H111" s="74">
        <v>0</v>
      </c>
      <c r="I111" s="74">
        <v>0</v>
      </c>
      <c r="J111" s="74">
        <v>907200</v>
      </c>
      <c r="K111" s="74">
        <v>0</v>
      </c>
      <c r="L111" s="74">
        <v>90720</v>
      </c>
      <c r="M111" s="74">
        <v>997920</v>
      </c>
    </row>
    <row r="112" spans="1:13" ht="15.5" x14ac:dyDescent="0.35">
      <c r="A112" t="s">
        <v>294</v>
      </c>
      <c r="B112" t="s">
        <v>295</v>
      </c>
      <c r="C112" t="s">
        <v>137</v>
      </c>
      <c r="D112" t="s">
        <v>296</v>
      </c>
      <c r="E112" s="74">
        <v>16</v>
      </c>
      <c r="F112" s="74">
        <v>88000</v>
      </c>
      <c r="G112" s="74">
        <v>1408000</v>
      </c>
      <c r="H112" s="74">
        <v>35200</v>
      </c>
      <c r="I112" s="74">
        <v>0</v>
      </c>
      <c r="J112" s="74">
        <v>1372800</v>
      </c>
      <c r="K112" s="74">
        <v>96096</v>
      </c>
      <c r="L112" s="74">
        <v>146890</v>
      </c>
      <c r="M112" s="74">
        <v>1615786</v>
      </c>
    </row>
    <row r="113" spans="1:13" ht="15.5" x14ac:dyDescent="0.35">
      <c r="A113" t="s">
        <v>230</v>
      </c>
      <c r="B113" t="s">
        <v>231</v>
      </c>
      <c r="C113" t="s">
        <v>137</v>
      </c>
      <c r="D113" t="s">
        <v>173</v>
      </c>
      <c r="E113" s="74">
        <v>16</v>
      </c>
      <c r="F113" s="74">
        <v>52640</v>
      </c>
      <c r="G113" s="74">
        <v>842240</v>
      </c>
      <c r="H113" s="74">
        <v>0</v>
      </c>
      <c r="I113" s="74">
        <v>0</v>
      </c>
      <c r="J113" s="74">
        <v>842240</v>
      </c>
      <c r="K113" s="74">
        <v>0</v>
      </c>
      <c r="L113" s="74">
        <v>84224</v>
      </c>
      <c r="M113" s="74">
        <v>926464</v>
      </c>
    </row>
    <row r="114" spans="1:13" ht="15.5" x14ac:dyDescent="0.35">
      <c r="A114" t="s">
        <v>353</v>
      </c>
      <c r="B114" t="s">
        <v>354</v>
      </c>
      <c r="C114" t="s">
        <v>134</v>
      </c>
      <c r="D114" t="s">
        <v>135</v>
      </c>
      <c r="E114" s="74">
        <v>16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</row>
    <row r="115" spans="1:13" ht="15.5" x14ac:dyDescent="0.35">
      <c r="A115" t="s">
        <v>217</v>
      </c>
      <c r="B115" t="s">
        <v>218</v>
      </c>
      <c r="C115" t="s">
        <v>137</v>
      </c>
      <c r="D115" t="s">
        <v>161</v>
      </c>
      <c r="E115" s="74">
        <v>16</v>
      </c>
      <c r="F115" s="74">
        <v>53760</v>
      </c>
      <c r="G115" s="74">
        <v>860160</v>
      </c>
      <c r="H115" s="74">
        <v>0</v>
      </c>
      <c r="I115" s="74">
        <v>0</v>
      </c>
      <c r="J115" s="74">
        <v>860160</v>
      </c>
      <c r="K115" s="74">
        <v>0</v>
      </c>
      <c r="L115" s="74">
        <v>86016</v>
      </c>
      <c r="M115" s="74">
        <v>946176</v>
      </c>
    </row>
    <row r="116" spans="1:13" ht="15.5" x14ac:dyDescent="0.35">
      <c r="A116" t="s">
        <v>204</v>
      </c>
      <c r="B116" t="s">
        <v>205</v>
      </c>
      <c r="C116" t="s">
        <v>137</v>
      </c>
      <c r="D116" t="s">
        <v>166</v>
      </c>
      <c r="E116" s="74">
        <v>16</v>
      </c>
      <c r="F116" s="74">
        <v>72800</v>
      </c>
      <c r="G116" s="74">
        <v>1164800</v>
      </c>
      <c r="H116" s="74">
        <v>0</v>
      </c>
      <c r="I116" s="74">
        <v>0</v>
      </c>
      <c r="J116" s="74">
        <v>1164800</v>
      </c>
      <c r="K116" s="74">
        <v>0</v>
      </c>
      <c r="L116" s="74">
        <v>116480</v>
      </c>
      <c r="M116" s="74">
        <v>1281280</v>
      </c>
    </row>
    <row r="117" spans="1:13" ht="15.5" x14ac:dyDescent="0.35">
      <c r="A117" t="s">
        <v>350</v>
      </c>
      <c r="B117" t="s">
        <v>25</v>
      </c>
      <c r="C117" t="s">
        <v>137</v>
      </c>
      <c r="D117" t="s">
        <v>166</v>
      </c>
      <c r="E117" s="74">
        <v>16</v>
      </c>
      <c r="F117" s="74">
        <v>80000</v>
      </c>
      <c r="G117" s="74">
        <v>1280000</v>
      </c>
      <c r="H117" s="74">
        <v>24000</v>
      </c>
      <c r="I117" s="74">
        <v>0</v>
      </c>
      <c r="J117" s="74">
        <v>1256000</v>
      </c>
      <c r="K117" s="74">
        <v>87920</v>
      </c>
      <c r="L117" s="74">
        <v>134392</v>
      </c>
      <c r="M117" s="74">
        <v>1478312</v>
      </c>
    </row>
    <row r="118" spans="1:13" ht="15.5" x14ac:dyDescent="0.35">
      <c r="A118" t="s">
        <v>386</v>
      </c>
      <c r="B118" t="s">
        <v>387</v>
      </c>
      <c r="C118" t="s">
        <v>137</v>
      </c>
      <c r="D118" t="s">
        <v>166</v>
      </c>
      <c r="E118" s="74">
        <v>16</v>
      </c>
      <c r="F118" s="74">
        <v>65000</v>
      </c>
      <c r="G118" s="74">
        <v>1040000</v>
      </c>
      <c r="H118" s="74">
        <v>32500</v>
      </c>
      <c r="I118" s="74">
        <v>0</v>
      </c>
      <c r="J118" s="74">
        <v>1007500</v>
      </c>
      <c r="K118" s="74">
        <v>70526</v>
      </c>
      <c r="L118" s="74">
        <v>107803</v>
      </c>
      <c r="M118" s="74">
        <v>1185829</v>
      </c>
    </row>
    <row r="119" spans="1:13" ht="15.5" x14ac:dyDescent="0.35">
      <c r="A119" t="s">
        <v>297</v>
      </c>
      <c r="B119" t="s">
        <v>106</v>
      </c>
      <c r="C119" t="s">
        <v>137</v>
      </c>
      <c r="D119" t="s">
        <v>173</v>
      </c>
      <c r="E119" s="74">
        <v>15</v>
      </c>
      <c r="F119" s="74">
        <v>50400</v>
      </c>
      <c r="G119" s="74">
        <v>756000</v>
      </c>
      <c r="H119" s="74">
        <v>0</v>
      </c>
      <c r="I119" s="74">
        <v>0</v>
      </c>
      <c r="J119" s="74">
        <v>756000</v>
      </c>
      <c r="K119" s="74">
        <v>0</v>
      </c>
      <c r="L119" s="74">
        <v>75600</v>
      </c>
      <c r="M119" s="74">
        <v>831600</v>
      </c>
    </row>
    <row r="120" spans="1:13" ht="15.5" x14ac:dyDescent="0.35">
      <c r="A120" t="s">
        <v>232</v>
      </c>
      <c r="B120" t="s">
        <v>233</v>
      </c>
      <c r="C120" t="s">
        <v>137</v>
      </c>
      <c r="D120" t="s">
        <v>158</v>
      </c>
      <c r="E120" s="74">
        <v>14</v>
      </c>
      <c r="F120" s="74">
        <v>259000</v>
      </c>
      <c r="G120" s="74">
        <v>3626000</v>
      </c>
      <c r="H120" s="74">
        <v>0</v>
      </c>
      <c r="I120" s="74">
        <v>0</v>
      </c>
      <c r="J120" s="74">
        <v>3626000</v>
      </c>
      <c r="K120" s="74">
        <v>253820</v>
      </c>
      <c r="L120" s="74">
        <v>387982</v>
      </c>
      <c r="M120" s="74">
        <v>4267802</v>
      </c>
    </row>
    <row r="121" spans="1:13" ht="15.5" x14ac:dyDescent="0.35">
      <c r="A121" t="s">
        <v>278</v>
      </c>
      <c r="B121" t="s">
        <v>26</v>
      </c>
      <c r="C121" t="s">
        <v>137</v>
      </c>
      <c r="D121" t="s">
        <v>169</v>
      </c>
      <c r="E121" s="74">
        <v>14</v>
      </c>
      <c r="F121" s="74">
        <v>52000</v>
      </c>
      <c r="G121" s="74">
        <v>728000</v>
      </c>
      <c r="H121" s="74">
        <v>0</v>
      </c>
      <c r="I121" s="74">
        <v>0</v>
      </c>
      <c r="J121" s="74">
        <v>728000</v>
      </c>
      <c r="K121" s="74">
        <v>50960</v>
      </c>
      <c r="L121" s="74">
        <v>77896</v>
      </c>
      <c r="M121" s="74">
        <v>856856</v>
      </c>
    </row>
    <row r="122" spans="1:13" ht="15.5" x14ac:dyDescent="0.35">
      <c r="A122" t="s">
        <v>184</v>
      </c>
      <c r="B122" t="s">
        <v>24</v>
      </c>
      <c r="C122" t="s">
        <v>137</v>
      </c>
      <c r="D122" t="s">
        <v>166</v>
      </c>
      <c r="E122" s="74">
        <v>14</v>
      </c>
      <c r="F122" s="74">
        <v>67200</v>
      </c>
      <c r="G122" s="74">
        <v>940800</v>
      </c>
      <c r="H122" s="74">
        <v>0</v>
      </c>
      <c r="I122" s="74">
        <v>0</v>
      </c>
      <c r="J122" s="74">
        <v>940800</v>
      </c>
      <c r="K122" s="74">
        <v>0</v>
      </c>
      <c r="L122" s="74">
        <v>94080</v>
      </c>
      <c r="M122" s="74">
        <v>1034880</v>
      </c>
    </row>
    <row r="123" spans="1:13" ht="15.5" x14ac:dyDescent="0.35">
      <c r="A123" t="s">
        <v>228</v>
      </c>
      <c r="B123" t="s">
        <v>229</v>
      </c>
      <c r="C123" t="s">
        <v>137</v>
      </c>
      <c r="D123" t="s">
        <v>173</v>
      </c>
      <c r="E123" s="74">
        <v>13</v>
      </c>
      <c r="F123" s="74">
        <v>56000</v>
      </c>
      <c r="G123" s="74">
        <v>728000</v>
      </c>
      <c r="H123" s="74">
        <v>0</v>
      </c>
      <c r="I123" s="74">
        <v>0</v>
      </c>
      <c r="J123" s="74">
        <v>728000</v>
      </c>
      <c r="K123" s="74">
        <v>0</v>
      </c>
      <c r="L123" s="74">
        <v>72800</v>
      </c>
      <c r="M123" s="74">
        <v>800800</v>
      </c>
    </row>
    <row r="124" spans="1:13" ht="15.5" x14ac:dyDescent="0.35">
      <c r="A124" t="s">
        <v>194</v>
      </c>
      <c r="B124" t="s">
        <v>195</v>
      </c>
      <c r="C124" t="s">
        <v>134</v>
      </c>
      <c r="D124" t="s">
        <v>135</v>
      </c>
      <c r="E124" s="74">
        <v>13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</row>
    <row r="125" spans="1:13" ht="15.5" x14ac:dyDescent="0.35">
      <c r="A125" t="s">
        <v>159</v>
      </c>
      <c r="B125" t="s">
        <v>160</v>
      </c>
      <c r="C125" t="s">
        <v>137</v>
      </c>
      <c r="D125" t="s">
        <v>161</v>
      </c>
      <c r="E125" s="74">
        <v>13</v>
      </c>
      <c r="F125" s="74">
        <v>53760</v>
      </c>
      <c r="G125" s="74">
        <v>698880</v>
      </c>
      <c r="H125" s="74">
        <v>0</v>
      </c>
      <c r="I125" s="74">
        <v>0</v>
      </c>
      <c r="J125" s="74">
        <v>698880</v>
      </c>
      <c r="K125" s="74">
        <v>0</v>
      </c>
      <c r="L125" s="74">
        <v>69888</v>
      </c>
      <c r="M125" s="74">
        <v>768768</v>
      </c>
    </row>
    <row r="126" spans="1:13" ht="15.5" x14ac:dyDescent="0.35">
      <c r="A126" t="s">
        <v>259</v>
      </c>
      <c r="B126" t="s">
        <v>260</v>
      </c>
      <c r="C126" t="s">
        <v>137</v>
      </c>
      <c r="D126" t="s">
        <v>161</v>
      </c>
      <c r="E126" s="74">
        <v>13</v>
      </c>
      <c r="F126" s="74">
        <v>36000</v>
      </c>
      <c r="G126" s="74">
        <v>468000</v>
      </c>
      <c r="H126" s="74">
        <v>7200</v>
      </c>
      <c r="I126" s="74">
        <v>0</v>
      </c>
      <c r="J126" s="74">
        <v>460800</v>
      </c>
      <c r="K126" s="74">
        <v>32256</v>
      </c>
      <c r="L126" s="74">
        <v>49306</v>
      </c>
      <c r="M126" s="74">
        <v>542362</v>
      </c>
    </row>
    <row r="127" spans="1:13" ht="15.5" x14ac:dyDescent="0.35">
      <c r="A127" t="s">
        <v>342</v>
      </c>
      <c r="B127" t="s">
        <v>343</v>
      </c>
      <c r="C127" t="s">
        <v>137</v>
      </c>
      <c r="D127" t="s">
        <v>138</v>
      </c>
      <c r="E127" s="74">
        <v>11</v>
      </c>
      <c r="F127" s="74">
        <v>48000</v>
      </c>
      <c r="G127" s="74">
        <v>528000</v>
      </c>
      <c r="H127" s="74">
        <v>0</v>
      </c>
      <c r="I127" s="74">
        <v>0</v>
      </c>
      <c r="J127" s="74">
        <v>528000</v>
      </c>
      <c r="K127" s="74">
        <v>36960</v>
      </c>
      <c r="L127" s="74">
        <v>56496</v>
      </c>
      <c r="M127" s="74">
        <v>621456</v>
      </c>
    </row>
    <row r="128" spans="1:13" ht="15.5" x14ac:dyDescent="0.35">
      <c r="A128" t="s">
        <v>361</v>
      </c>
      <c r="B128" t="s">
        <v>362</v>
      </c>
      <c r="C128" t="s">
        <v>137</v>
      </c>
      <c r="D128" t="s">
        <v>138</v>
      </c>
      <c r="E128" s="74">
        <v>11</v>
      </c>
      <c r="F128" s="74">
        <v>9000</v>
      </c>
      <c r="G128" s="74">
        <v>99000</v>
      </c>
      <c r="H128" s="74">
        <v>1350</v>
      </c>
      <c r="I128" s="74">
        <v>0</v>
      </c>
      <c r="J128" s="74">
        <v>97650</v>
      </c>
      <c r="K128" s="74">
        <v>6836</v>
      </c>
      <c r="L128" s="74">
        <v>10449</v>
      </c>
      <c r="M128" s="74">
        <v>114935</v>
      </c>
    </row>
    <row r="129" spans="1:13" ht="15.5" x14ac:dyDescent="0.35">
      <c r="A129" t="s">
        <v>261</v>
      </c>
      <c r="B129" t="s">
        <v>262</v>
      </c>
      <c r="C129" t="s">
        <v>137</v>
      </c>
      <c r="D129" t="s">
        <v>161</v>
      </c>
      <c r="E129" s="74">
        <v>11</v>
      </c>
      <c r="F129" s="74">
        <v>27000</v>
      </c>
      <c r="G129" s="74">
        <v>297000</v>
      </c>
      <c r="H129" s="74">
        <v>0</v>
      </c>
      <c r="I129" s="74">
        <v>0</v>
      </c>
      <c r="J129" s="74">
        <v>297000</v>
      </c>
      <c r="K129" s="74">
        <v>20790</v>
      </c>
      <c r="L129" s="74">
        <v>31779</v>
      </c>
      <c r="M129" s="74">
        <v>349569</v>
      </c>
    </row>
    <row r="130" spans="1:13" ht="15.5" x14ac:dyDescent="0.35">
      <c r="A130" t="s">
        <v>306</v>
      </c>
      <c r="B130" t="s">
        <v>21</v>
      </c>
      <c r="C130" t="s">
        <v>137</v>
      </c>
      <c r="D130" t="s">
        <v>173</v>
      </c>
      <c r="E130" s="74">
        <v>10</v>
      </c>
      <c r="F130" s="74">
        <v>50400</v>
      </c>
      <c r="G130" s="74">
        <v>504000</v>
      </c>
      <c r="H130" s="74">
        <v>0</v>
      </c>
      <c r="I130" s="74">
        <v>0</v>
      </c>
      <c r="J130" s="74">
        <v>504000</v>
      </c>
      <c r="K130" s="74">
        <v>0</v>
      </c>
      <c r="L130" s="74">
        <v>50400</v>
      </c>
      <c r="M130" s="74">
        <v>554400</v>
      </c>
    </row>
    <row r="131" spans="1:13" ht="15.5" x14ac:dyDescent="0.35">
      <c r="A131" t="s">
        <v>265</v>
      </c>
      <c r="B131" t="s">
        <v>266</v>
      </c>
      <c r="C131" t="s">
        <v>134</v>
      </c>
      <c r="D131" t="s">
        <v>135</v>
      </c>
      <c r="E131" s="74">
        <v>10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</row>
    <row r="132" spans="1:13" ht="15.5" x14ac:dyDescent="0.35">
      <c r="A132" t="s">
        <v>240</v>
      </c>
      <c r="B132" t="s">
        <v>241</v>
      </c>
      <c r="C132" t="s">
        <v>137</v>
      </c>
      <c r="D132" t="s">
        <v>161</v>
      </c>
      <c r="E132" s="74">
        <v>10</v>
      </c>
      <c r="F132" s="74">
        <v>39200</v>
      </c>
      <c r="G132" s="74">
        <v>392000</v>
      </c>
      <c r="H132" s="74">
        <v>0</v>
      </c>
      <c r="I132" s="74">
        <v>0</v>
      </c>
      <c r="J132" s="74">
        <v>392000</v>
      </c>
      <c r="K132" s="74">
        <v>0</v>
      </c>
      <c r="L132" s="74">
        <v>39200</v>
      </c>
      <c r="M132" s="74">
        <v>431200</v>
      </c>
    </row>
    <row r="133" spans="1:13" ht="15.5" x14ac:dyDescent="0.35">
      <c r="A133" t="s">
        <v>283</v>
      </c>
      <c r="B133" t="s">
        <v>11</v>
      </c>
      <c r="C133" t="s">
        <v>137</v>
      </c>
      <c r="D133" t="s">
        <v>243</v>
      </c>
      <c r="E133" s="74">
        <v>9</v>
      </c>
      <c r="F133" s="74">
        <v>209000</v>
      </c>
      <c r="G133" s="74">
        <v>1881000</v>
      </c>
      <c r="H133" s="74">
        <v>0</v>
      </c>
      <c r="I133" s="74">
        <v>0</v>
      </c>
      <c r="J133" s="74">
        <v>1881000</v>
      </c>
      <c r="K133" s="74">
        <v>131670</v>
      </c>
      <c r="L133" s="74">
        <v>201267</v>
      </c>
      <c r="M133" s="74">
        <v>2213937</v>
      </c>
    </row>
    <row r="134" spans="1:13" ht="15.5" x14ac:dyDescent="0.35">
      <c r="A134" t="s">
        <v>225</v>
      </c>
      <c r="B134" t="s">
        <v>226</v>
      </c>
      <c r="C134" t="s">
        <v>187</v>
      </c>
      <c r="D134" t="s">
        <v>188</v>
      </c>
      <c r="E134" s="74">
        <v>67</v>
      </c>
      <c r="F134" s="74">
        <v>50000</v>
      </c>
      <c r="G134" s="74">
        <v>3350000</v>
      </c>
      <c r="H134" s="74">
        <v>0</v>
      </c>
      <c r="I134" s="74">
        <v>0</v>
      </c>
      <c r="J134" s="74">
        <v>3350000</v>
      </c>
      <c r="K134" s="74">
        <v>234500</v>
      </c>
      <c r="L134" s="74">
        <v>358450</v>
      </c>
      <c r="M134" s="74">
        <v>3942950</v>
      </c>
    </row>
    <row r="135" spans="1:13" ht="15.5" x14ac:dyDescent="0.35">
      <c r="A135" t="s">
        <v>176</v>
      </c>
      <c r="B135" t="s">
        <v>13</v>
      </c>
      <c r="C135" t="s">
        <v>137</v>
      </c>
      <c r="D135" t="s">
        <v>169</v>
      </c>
      <c r="E135" s="74">
        <v>9</v>
      </c>
      <c r="F135" s="74">
        <v>70560</v>
      </c>
      <c r="G135" s="74">
        <v>635040</v>
      </c>
      <c r="H135" s="74">
        <v>0</v>
      </c>
      <c r="I135" s="74">
        <v>0</v>
      </c>
      <c r="J135" s="74">
        <v>635040</v>
      </c>
      <c r="K135" s="74">
        <v>0</v>
      </c>
      <c r="L135" s="74">
        <v>63504</v>
      </c>
      <c r="M135" s="74">
        <v>698544</v>
      </c>
    </row>
    <row r="136" spans="1:13" ht="15.5" x14ac:dyDescent="0.35">
      <c r="A136" t="s">
        <v>167</v>
      </c>
      <c r="B136" t="s">
        <v>168</v>
      </c>
      <c r="C136" t="s">
        <v>137</v>
      </c>
      <c r="D136" t="s">
        <v>169</v>
      </c>
      <c r="E136" s="74">
        <v>9</v>
      </c>
      <c r="F136" s="74">
        <v>68320</v>
      </c>
      <c r="G136" s="74">
        <v>614880</v>
      </c>
      <c r="H136" s="74">
        <v>0</v>
      </c>
      <c r="I136" s="74">
        <v>0</v>
      </c>
      <c r="J136" s="74">
        <v>614880</v>
      </c>
      <c r="K136" s="74">
        <v>0</v>
      </c>
      <c r="L136" s="74">
        <v>61488</v>
      </c>
      <c r="M136" s="74">
        <v>676368</v>
      </c>
    </row>
    <row r="137" spans="1:13" ht="15.5" x14ac:dyDescent="0.35">
      <c r="A137" t="s">
        <v>170</v>
      </c>
      <c r="B137" t="s">
        <v>171</v>
      </c>
      <c r="C137" t="s">
        <v>137</v>
      </c>
      <c r="D137" t="s">
        <v>161</v>
      </c>
      <c r="E137" s="74">
        <v>9</v>
      </c>
      <c r="F137" s="74">
        <v>53760</v>
      </c>
      <c r="G137" s="74">
        <v>483840</v>
      </c>
      <c r="H137" s="74">
        <v>0</v>
      </c>
      <c r="I137" s="74">
        <v>0</v>
      </c>
      <c r="J137" s="74">
        <v>483840</v>
      </c>
      <c r="K137" s="74">
        <v>0</v>
      </c>
      <c r="L137" s="74">
        <v>48384</v>
      </c>
      <c r="M137" s="74">
        <v>532224</v>
      </c>
    </row>
    <row r="138" spans="1:13" ht="15.5" x14ac:dyDescent="0.35">
      <c r="A138" t="s">
        <v>326</v>
      </c>
      <c r="B138" t="s">
        <v>327</v>
      </c>
      <c r="C138" t="s">
        <v>137</v>
      </c>
      <c r="D138" t="s">
        <v>161</v>
      </c>
      <c r="E138" s="74">
        <v>9</v>
      </c>
      <c r="F138" s="74">
        <v>30000</v>
      </c>
      <c r="G138" s="74">
        <v>270000</v>
      </c>
      <c r="H138" s="74">
        <v>4500</v>
      </c>
      <c r="I138" s="74">
        <v>0</v>
      </c>
      <c r="J138" s="74">
        <v>265500</v>
      </c>
      <c r="K138" s="74">
        <v>18585</v>
      </c>
      <c r="L138" s="74">
        <v>28409</v>
      </c>
      <c r="M138" s="74">
        <v>312494</v>
      </c>
    </row>
    <row r="139" spans="1:13" ht="15.5" x14ac:dyDescent="0.35">
      <c r="A139" t="s">
        <v>355</v>
      </c>
      <c r="B139" t="s">
        <v>356</v>
      </c>
      <c r="C139" t="s">
        <v>137</v>
      </c>
      <c r="D139" t="s">
        <v>166</v>
      </c>
      <c r="E139" s="74">
        <v>9</v>
      </c>
      <c r="F139" s="74">
        <v>60000</v>
      </c>
      <c r="G139" s="74">
        <v>540000</v>
      </c>
      <c r="H139" s="74">
        <v>0</v>
      </c>
      <c r="I139" s="74">
        <v>0</v>
      </c>
      <c r="J139" s="74">
        <v>540000</v>
      </c>
      <c r="K139" s="74">
        <v>37800</v>
      </c>
      <c r="L139" s="74">
        <v>57780</v>
      </c>
      <c r="M139" s="74">
        <v>635580</v>
      </c>
    </row>
    <row r="140" spans="1:13" ht="15.5" x14ac:dyDescent="0.35">
      <c r="A140" t="s">
        <v>340</v>
      </c>
      <c r="B140" t="s">
        <v>341</v>
      </c>
      <c r="C140" t="s">
        <v>137</v>
      </c>
      <c r="D140" t="s">
        <v>301</v>
      </c>
      <c r="E140" s="74">
        <v>8</v>
      </c>
      <c r="F140" s="74">
        <v>47000</v>
      </c>
      <c r="G140" s="74">
        <v>376000</v>
      </c>
      <c r="H140" s="74">
        <v>0</v>
      </c>
      <c r="I140" s="74">
        <v>0</v>
      </c>
      <c r="J140" s="74">
        <v>376000</v>
      </c>
      <c r="K140" s="74">
        <v>23030</v>
      </c>
      <c r="L140" s="74">
        <v>39903</v>
      </c>
      <c r="M140" s="74">
        <v>438933</v>
      </c>
    </row>
    <row r="141" spans="1:13" ht="15.5" x14ac:dyDescent="0.35">
      <c r="A141" t="s">
        <v>304</v>
      </c>
      <c r="B141" t="s">
        <v>305</v>
      </c>
      <c r="C141" t="s">
        <v>137</v>
      </c>
      <c r="D141" t="s">
        <v>138</v>
      </c>
      <c r="E141" s="74">
        <v>8</v>
      </c>
      <c r="F141" s="74">
        <v>8000</v>
      </c>
      <c r="G141" s="74">
        <v>64000</v>
      </c>
      <c r="H141" s="74">
        <v>0</v>
      </c>
      <c r="I141" s="74">
        <v>0</v>
      </c>
      <c r="J141" s="74">
        <v>64000</v>
      </c>
      <c r="K141" s="74">
        <v>4480</v>
      </c>
      <c r="L141" s="74">
        <v>6848</v>
      </c>
      <c r="M141" s="74">
        <v>75328</v>
      </c>
    </row>
    <row r="142" spans="1:13" ht="15.5" x14ac:dyDescent="0.35">
      <c r="A142" t="s">
        <v>316</v>
      </c>
      <c r="B142" t="s">
        <v>317</v>
      </c>
      <c r="C142" t="s">
        <v>137</v>
      </c>
      <c r="D142" t="s">
        <v>138</v>
      </c>
      <c r="E142" s="74">
        <v>8</v>
      </c>
      <c r="F142" s="74">
        <v>2000</v>
      </c>
      <c r="G142" s="74">
        <v>16000</v>
      </c>
      <c r="H142" s="74">
        <v>300</v>
      </c>
      <c r="I142" s="74">
        <v>0</v>
      </c>
      <c r="J142" s="74">
        <v>15700</v>
      </c>
      <c r="K142" s="74">
        <v>1099</v>
      </c>
      <c r="L142" s="74">
        <v>1680</v>
      </c>
      <c r="M142" s="74">
        <v>18479</v>
      </c>
    </row>
    <row r="143" spans="1:13" ht="15.5" x14ac:dyDescent="0.35">
      <c r="A143" t="s">
        <v>381</v>
      </c>
      <c r="B143" t="s">
        <v>382</v>
      </c>
      <c r="C143" t="s">
        <v>137</v>
      </c>
      <c r="D143" t="s">
        <v>138</v>
      </c>
      <c r="E143" s="74">
        <v>8</v>
      </c>
      <c r="F143" s="74">
        <v>10000</v>
      </c>
      <c r="G143" s="74">
        <v>80000</v>
      </c>
      <c r="H143" s="74">
        <v>3500</v>
      </c>
      <c r="I143" s="74">
        <v>0</v>
      </c>
      <c r="J143" s="74">
        <v>76500</v>
      </c>
      <c r="K143" s="74">
        <v>5355</v>
      </c>
      <c r="L143" s="74">
        <v>8186</v>
      </c>
      <c r="M143" s="74">
        <v>90041</v>
      </c>
    </row>
    <row r="144" spans="1:13" ht="15.5" x14ac:dyDescent="0.35">
      <c r="A144" t="s">
        <v>182</v>
      </c>
      <c r="B144" t="s">
        <v>373</v>
      </c>
      <c r="C144" t="s">
        <v>130</v>
      </c>
      <c r="D144" t="s">
        <v>155</v>
      </c>
      <c r="E144" s="74">
        <v>8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</row>
    <row r="145" spans="1:13" ht="15.5" x14ac:dyDescent="0.35">
      <c r="A145" t="s">
        <v>328</v>
      </c>
      <c r="B145" t="s">
        <v>107</v>
      </c>
      <c r="C145" t="s">
        <v>137</v>
      </c>
      <c r="D145" t="s">
        <v>169</v>
      </c>
      <c r="E145" s="74">
        <v>8</v>
      </c>
      <c r="F145" s="74">
        <v>45000</v>
      </c>
      <c r="G145" s="74">
        <v>360000</v>
      </c>
      <c r="H145" s="74">
        <v>0</v>
      </c>
      <c r="I145" s="74">
        <v>0</v>
      </c>
      <c r="J145" s="74">
        <v>360000</v>
      </c>
      <c r="K145" s="74">
        <v>18900</v>
      </c>
      <c r="L145" s="74">
        <v>37890</v>
      </c>
      <c r="M145" s="74">
        <v>416790</v>
      </c>
    </row>
    <row r="146" spans="1:13" ht="15.5" x14ac:dyDescent="0.35">
      <c r="A146" t="s">
        <v>365</v>
      </c>
      <c r="B146" t="s">
        <v>366</v>
      </c>
      <c r="C146" t="s">
        <v>134</v>
      </c>
      <c r="D146" t="s">
        <v>135</v>
      </c>
      <c r="E146" s="74">
        <v>7</v>
      </c>
      <c r="F146" s="74">
        <v>3000</v>
      </c>
      <c r="G146" s="74">
        <v>21000</v>
      </c>
      <c r="H146" s="74">
        <v>0</v>
      </c>
      <c r="I146" s="74">
        <v>0</v>
      </c>
      <c r="J146" s="74">
        <v>21000</v>
      </c>
      <c r="K146" s="74">
        <v>1470</v>
      </c>
      <c r="L146" s="74">
        <v>2247</v>
      </c>
      <c r="M146" s="74">
        <v>24717</v>
      </c>
    </row>
    <row r="147" spans="1:13" ht="15.5" x14ac:dyDescent="0.35">
      <c r="A147" t="s">
        <v>253</v>
      </c>
      <c r="B147" t="s">
        <v>254</v>
      </c>
      <c r="C147" t="s">
        <v>137</v>
      </c>
      <c r="D147" t="s">
        <v>161</v>
      </c>
      <c r="E147" s="74">
        <v>7</v>
      </c>
      <c r="F147" s="74">
        <v>39200</v>
      </c>
      <c r="G147" s="74">
        <v>274400</v>
      </c>
      <c r="H147" s="74">
        <v>0</v>
      </c>
      <c r="I147" s="74">
        <v>0</v>
      </c>
      <c r="J147" s="74">
        <v>274400</v>
      </c>
      <c r="K147" s="74">
        <v>0</v>
      </c>
      <c r="L147" s="74">
        <v>27440</v>
      </c>
      <c r="M147" s="74">
        <v>301840</v>
      </c>
    </row>
    <row r="148" spans="1:13" ht="15.5" x14ac:dyDescent="0.35">
      <c r="A148" t="s">
        <v>338</v>
      </c>
      <c r="B148" t="s">
        <v>339</v>
      </c>
      <c r="C148" t="s">
        <v>137</v>
      </c>
      <c r="D148" t="s">
        <v>161</v>
      </c>
      <c r="E148" s="74">
        <v>7</v>
      </c>
      <c r="F148" s="74">
        <v>28000</v>
      </c>
      <c r="G148" s="74">
        <v>196000</v>
      </c>
      <c r="H148" s="74">
        <v>0</v>
      </c>
      <c r="I148" s="74">
        <v>0</v>
      </c>
      <c r="J148" s="74">
        <v>196000</v>
      </c>
      <c r="K148" s="74">
        <v>13720</v>
      </c>
      <c r="L148" s="74">
        <v>20972</v>
      </c>
      <c r="M148" s="74">
        <v>230692</v>
      </c>
    </row>
    <row r="149" spans="1:13" ht="15.5" x14ac:dyDescent="0.35">
      <c r="A149" t="s">
        <v>388</v>
      </c>
      <c r="B149" t="s">
        <v>389</v>
      </c>
      <c r="C149" t="s">
        <v>137</v>
      </c>
      <c r="D149" t="s">
        <v>166</v>
      </c>
      <c r="E149" s="74">
        <v>7</v>
      </c>
      <c r="F149" s="74">
        <v>85000</v>
      </c>
      <c r="G149" s="74">
        <v>595000</v>
      </c>
      <c r="H149" s="74">
        <v>17000</v>
      </c>
      <c r="I149" s="74">
        <v>0</v>
      </c>
      <c r="J149" s="74">
        <v>578000</v>
      </c>
      <c r="K149" s="74">
        <v>40460</v>
      </c>
      <c r="L149" s="74">
        <v>61846</v>
      </c>
      <c r="M149" s="74">
        <v>680306</v>
      </c>
    </row>
    <row r="150" spans="1:13" ht="15.5" x14ac:dyDescent="0.35">
      <c r="A150" t="s">
        <v>299</v>
      </c>
      <c r="B150" t="s">
        <v>300</v>
      </c>
      <c r="C150" t="s">
        <v>137</v>
      </c>
      <c r="D150" t="s">
        <v>301</v>
      </c>
      <c r="E150" s="74">
        <v>6</v>
      </c>
      <c r="F150" s="74">
        <v>47000</v>
      </c>
      <c r="G150" s="74">
        <v>282000</v>
      </c>
      <c r="H150" s="74">
        <v>0</v>
      </c>
      <c r="I150" s="74">
        <v>0</v>
      </c>
      <c r="J150" s="74">
        <v>282000</v>
      </c>
      <c r="K150" s="74">
        <v>16450</v>
      </c>
      <c r="L150" s="74">
        <v>29845</v>
      </c>
      <c r="M150" s="74">
        <v>328295</v>
      </c>
    </row>
    <row r="151" spans="1:13" ht="15.5" x14ac:dyDescent="0.35">
      <c r="A151" t="s">
        <v>299</v>
      </c>
      <c r="B151" t="s">
        <v>300</v>
      </c>
      <c r="C151" t="s">
        <v>137</v>
      </c>
      <c r="D151" t="s">
        <v>301</v>
      </c>
      <c r="E151" s="74">
        <v>6</v>
      </c>
      <c r="F151" s="74">
        <v>52640</v>
      </c>
      <c r="G151" s="74">
        <v>315840</v>
      </c>
      <c r="H151" s="74">
        <v>0</v>
      </c>
      <c r="I151" s="74">
        <v>0</v>
      </c>
      <c r="J151" s="74">
        <v>315840</v>
      </c>
      <c r="K151" s="74">
        <v>0</v>
      </c>
      <c r="L151" s="74">
        <v>31584</v>
      </c>
      <c r="M151" s="74">
        <v>347424</v>
      </c>
    </row>
    <row r="152" spans="1:13" ht="15.5" x14ac:dyDescent="0.35">
      <c r="A152" t="s">
        <v>236</v>
      </c>
      <c r="B152" t="s">
        <v>237</v>
      </c>
      <c r="C152" t="s">
        <v>137</v>
      </c>
      <c r="D152" t="s">
        <v>138</v>
      </c>
      <c r="E152" s="74">
        <v>6</v>
      </c>
      <c r="F152" s="74">
        <v>23000</v>
      </c>
      <c r="G152" s="74">
        <v>138000</v>
      </c>
      <c r="H152" s="74">
        <v>0</v>
      </c>
      <c r="I152" s="74">
        <v>0</v>
      </c>
      <c r="J152" s="74">
        <v>138000</v>
      </c>
      <c r="K152" s="74">
        <v>0</v>
      </c>
      <c r="L152" s="74">
        <v>13800</v>
      </c>
      <c r="M152" s="74">
        <v>151800</v>
      </c>
    </row>
    <row r="153" spans="1:13" ht="15.5" x14ac:dyDescent="0.35">
      <c r="A153" t="s">
        <v>335</v>
      </c>
      <c r="B153" t="s">
        <v>385</v>
      </c>
      <c r="C153" t="s">
        <v>130</v>
      </c>
      <c r="D153" t="s">
        <v>155</v>
      </c>
      <c r="E153" s="74">
        <v>6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</row>
    <row r="154" spans="1:13" ht="15.5" x14ac:dyDescent="0.35">
      <c r="A154" t="s">
        <v>267</v>
      </c>
      <c r="B154" t="s">
        <v>12</v>
      </c>
      <c r="C154" t="s">
        <v>137</v>
      </c>
      <c r="D154" t="s">
        <v>169</v>
      </c>
      <c r="E154" s="74">
        <v>6</v>
      </c>
      <c r="F154" s="74">
        <v>63840</v>
      </c>
      <c r="G154" s="74">
        <v>383040</v>
      </c>
      <c r="H154" s="74">
        <v>0</v>
      </c>
      <c r="I154" s="74">
        <v>0</v>
      </c>
      <c r="J154" s="74">
        <v>383040</v>
      </c>
      <c r="K154" s="74">
        <v>0</v>
      </c>
      <c r="L154" s="74">
        <v>38304</v>
      </c>
      <c r="M154" s="74">
        <v>421344</v>
      </c>
    </row>
    <row r="155" spans="1:13" ht="15.5" x14ac:dyDescent="0.35">
      <c r="A155" t="s">
        <v>268</v>
      </c>
      <c r="B155" t="s">
        <v>269</v>
      </c>
      <c r="C155" t="s">
        <v>137</v>
      </c>
      <c r="D155" t="s">
        <v>169</v>
      </c>
      <c r="E155" s="74">
        <v>6</v>
      </c>
      <c r="F155" s="74">
        <v>58240</v>
      </c>
      <c r="G155" s="74">
        <v>349440</v>
      </c>
      <c r="H155" s="74">
        <v>0</v>
      </c>
      <c r="I155" s="74">
        <v>0</v>
      </c>
      <c r="J155" s="74">
        <v>349440</v>
      </c>
      <c r="K155" s="74">
        <v>0</v>
      </c>
      <c r="L155" s="74">
        <v>34944</v>
      </c>
      <c r="M155" s="74">
        <v>384384</v>
      </c>
    </row>
    <row r="156" spans="1:13" ht="15.5" x14ac:dyDescent="0.35">
      <c r="A156" t="s">
        <v>346</v>
      </c>
      <c r="B156" t="s">
        <v>347</v>
      </c>
      <c r="C156" t="s">
        <v>137</v>
      </c>
      <c r="D156" t="s">
        <v>138</v>
      </c>
      <c r="E156" s="74">
        <v>5</v>
      </c>
      <c r="F156" s="74">
        <v>5000</v>
      </c>
      <c r="G156" s="74">
        <v>25000</v>
      </c>
      <c r="H156" s="74">
        <v>1750</v>
      </c>
      <c r="I156" s="74">
        <v>0</v>
      </c>
      <c r="J156" s="74">
        <v>23250</v>
      </c>
      <c r="K156" s="74">
        <v>1348</v>
      </c>
      <c r="L156" s="74">
        <v>2460</v>
      </c>
      <c r="M156" s="74">
        <v>27058</v>
      </c>
    </row>
    <row r="157" spans="1:13" ht="15.5" x14ac:dyDescent="0.35">
      <c r="A157" t="s">
        <v>281</v>
      </c>
      <c r="B157" t="s">
        <v>282</v>
      </c>
      <c r="C157" t="s">
        <v>137</v>
      </c>
      <c r="D157" t="s">
        <v>173</v>
      </c>
      <c r="E157" s="74">
        <v>5</v>
      </c>
      <c r="F157" s="74">
        <v>42560</v>
      </c>
      <c r="G157" s="74">
        <v>212800</v>
      </c>
      <c r="H157" s="74">
        <v>0</v>
      </c>
      <c r="I157" s="74">
        <v>0</v>
      </c>
      <c r="J157" s="74">
        <v>212800</v>
      </c>
      <c r="K157" s="74">
        <v>0</v>
      </c>
      <c r="L157" s="74">
        <v>21280</v>
      </c>
      <c r="M157" s="74">
        <v>234080</v>
      </c>
    </row>
    <row r="158" spans="1:13" ht="15.5" x14ac:dyDescent="0.35">
      <c r="A158" t="s">
        <v>276</v>
      </c>
      <c r="B158" t="s">
        <v>277</v>
      </c>
      <c r="C158" t="s">
        <v>137</v>
      </c>
      <c r="D158" t="s">
        <v>169</v>
      </c>
      <c r="E158" s="74">
        <v>5</v>
      </c>
      <c r="F158" s="74">
        <v>56000</v>
      </c>
      <c r="G158" s="74">
        <v>280000</v>
      </c>
      <c r="H158" s="74">
        <v>0</v>
      </c>
      <c r="I158" s="74">
        <v>0</v>
      </c>
      <c r="J158" s="74">
        <v>280000</v>
      </c>
      <c r="K158" s="74">
        <v>0</v>
      </c>
      <c r="L158" s="74">
        <v>28000</v>
      </c>
      <c r="M158" s="74">
        <v>308000</v>
      </c>
    </row>
    <row r="159" spans="1:13" ht="15.5" x14ac:dyDescent="0.35">
      <c r="A159" t="s">
        <v>279</v>
      </c>
      <c r="B159" t="s">
        <v>280</v>
      </c>
      <c r="C159" t="s">
        <v>137</v>
      </c>
      <c r="D159" t="s">
        <v>161</v>
      </c>
      <c r="E159" s="74">
        <v>5</v>
      </c>
      <c r="F159" s="74">
        <v>53760</v>
      </c>
      <c r="G159" s="74">
        <v>268800</v>
      </c>
      <c r="H159" s="74">
        <v>0</v>
      </c>
      <c r="I159" s="74">
        <v>0</v>
      </c>
      <c r="J159" s="74">
        <v>268800</v>
      </c>
      <c r="K159" s="74">
        <v>0</v>
      </c>
      <c r="L159" s="74">
        <v>26880</v>
      </c>
      <c r="M159" s="74">
        <v>295680</v>
      </c>
    </row>
    <row r="160" spans="1:13" ht="15.5" x14ac:dyDescent="0.35">
      <c r="A160" t="s">
        <v>329</v>
      </c>
      <c r="B160" t="s">
        <v>330</v>
      </c>
      <c r="C160" t="s">
        <v>137</v>
      </c>
      <c r="D160" t="s">
        <v>161</v>
      </c>
      <c r="E160" s="74">
        <v>5</v>
      </c>
      <c r="F160" s="74">
        <v>36000</v>
      </c>
      <c r="G160" s="74">
        <v>180000</v>
      </c>
      <c r="H160" s="74">
        <v>0</v>
      </c>
      <c r="I160" s="74">
        <v>0</v>
      </c>
      <c r="J160" s="74">
        <v>180000</v>
      </c>
      <c r="K160" s="74">
        <v>12600</v>
      </c>
      <c r="L160" s="74">
        <v>19260</v>
      </c>
      <c r="M160" s="74">
        <v>211860</v>
      </c>
    </row>
    <row r="161" spans="1:13" ht="15.5" x14ac:dyDescent="0.35">
      <c r="A161" t="s">
        <v>551</v>
      </c>
      <c r="B161" t="s">
        <v>552</v>
      </c>
      <c r="C161" t="s">
        <v>137</v>
      </c>
      <c r="D161" t="s">
        <v>138</v>
      </c>
      <c r="E161" s="74">
        <v>4</v>
      </c>
      <c r="F161" s="74">
        <v>8000</v>
      </c>
      <c r="G161" s="74">
        <v>32000</v>
      </c>
      <c r="H161" s="74">
        <v>0</v>
      </c>
      <c r="I161" s="74">
        <v>0</v>
      </c>
      <c r="J161" s="74">
        <v>32000</v>
      </c>
      <c r="K161" s="74">
        <v>2240</v>
      </c>
      <c r="L161" s="74">
        <v>3424</v>
      </c>
      <c r="M161" s="74">
        <v>37664</v>
      </c>
    </row>
    <row r="162" spans="1:13" ht="15.5" x14ac:dyDescent="0.35">
      <c r="A162" t="s">
        <v>288</v>
      </c>
      <c r="B162" t="s">
        <v>289</v>
      </c>
      <c r="C162" t="s">
        <v>137</v>
      </c>
      <c r="D162" t="s">
        <v>173</v>
      </c>
      <c r="E162" s="74">
        <v>4</v>
      </c>
      <c r="F162" s="74">
        <v>52640</v>
      </c>
      <c r="G162" s="74">
        <v>210560</v>
      </c>
      <c r="H162" s="74">
        <v>0</v>
      </c>
      <c r="I162" s="74">
        <v>0</v>
      </c>
      <c r="J162" s="74">
        <v>210560</v>
      </c>
      <c r="K162" s="74">
        <v>0</v>
      </c>
      <c r="L162" s="74">
        <v>21056</v>
      </c>
      <c r="M162" s="74">
        <v>231616</v>
      </c>
    </row>
    <row r="163" spans="1:13" ht="15.5" x14ac:dyDescent="0.35">
      <c r="A163" t="s">
        <v>153</v>
      </c>
      <c r="B163" t="s">
        <v>337</v>
      </c>
      <c r="C163" t="s">
        <v>130</v>
      </c>
      <c r="D163" t="s">
        <v>155</v>
      </c>
      <c r="E163" s="74">
        <v>4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</row>
    <row r="164" spans="1:13" ht="15.5" x14ac:dyDescent="0.35">
      <c r="A164" t="s">
        <v>238</v>
      </c>
      <c r="B164" t="s">
        <v>239</v>
      </c>
      <c r="C164" t="s">
        <v>137</v>
      </c>
      <c r="D164" t="s">
        <v>169</v>
      </c>
      <c r="E164" s="74">
        <v>4</v>
      </c>
      <c r="F164" s="74">
        <v>56000</v>
      </c>
      <c r="G164" s="74">
        <v>224000</v>
      </c>
      <c r="H164" s="74">
        <v>0</v>
      </c>
      <c r="I164" s="74">
        <v>0</v>
      </c>
      <c r="J164" s="74">
        <v>224000</v>
      </c>
      <c r="K164" s="74">
        <v>0</v>
      </c>
      <c r="L164" s="74">
        <v>22400</v>
      </c>
      <c r="M164" s="74">
        <v>246400</v>
      </c>
    </row>
    <row r="165" spans="1:13" ht="15.5" x14ac:dyDescent="0.35">
      <c r="A165" t="s">
        <v>338</v>
      </c>
      <c r="B165" t="s">
        <v>339</v>
      </c>
      <c r="C165" t="s">
        <v>137</v>
      </c>
      <c r="D165" t="s">
        <v>161</v>
      </c>
      <c r="E165" s="74">
        <v>4</v>
      </c>
      <c r="F165" s="74">
        <v>31360</v>
      </c>
      <c r="G165" s="74">
        <v>125440</v>
      </c>
      <c r="H165" s="74">
        <v>0</v>
      </c>
      <c r="I165" s="74">
        <v>0</v>
      </c>
      <c r="J165" s="74">
        <v>125440</v>
      </c>
      <c r="K165" s="74">
        <v>0</v>
      </c>
      <c r="L165" s="74">
        <v>12544</v>
      </c>
      <c r="M165" s="74">
        <v>137984</v>
      </c>
    </row>
    <row r="166" spans="1:13" ht="15.5" x14ac:dyDescent="0.35">
      <c r="A166" t="s">
        <v>367</v>
      </c>
      <c r="B166" t="s">
        <v>368</v>
      </c>
      <c r="C166" t="s">
        <v>137</v>
      </c>
      <c r="D166" t="s">
        <v>161</v>
      </c>
      <c r="E166" s="74">
        <v>4</v>
      </c>
      <c r="F166" s="74">
        <v>38000</v>
      </c>
      <c r="G166" s="74">
        <v>152000</v>
      </c>
      <c r="H166" s="74">
        <v>0</v>
      </c>
      <c r="I166" s="74">
        <v>0</v>
      </c>
      <c r="J166" s="74">
        <v>152000</v>
      </c>
      <c r="K166" s="74">
        <v>10640</v>
      </c>
      <c r="L166" s="74">
        <v>16264</v>
      </c>
      <c r="M166" s="74">
        <v>178904</v>
      </c>
    </row>
    <row r="167" spans="1:13" ht="15.5" x14ac:dyDescent="0.35">
      <c r="A167" t="s">
        <v>351</v>
      </c>
      <c r="B167" t="s">
        <v>352</v>
      </c>
      <c r="C167" t="s">
        <v>137</v>
      </c>
      <c r="D167" t="s">
        <v>296</v>
      </c>
      <c r="E167" s="74">
        <v>3</v>
      </c>
      <c r="F167" s="74">
        <v>19000</v>
      </c>
      <c r="G167" s="74">
        <v>57000</v>
      </c>
      <c r="H167" s="74">
        <v>0</v>
      </c>
      <c r="I167" s="74">
        <v>0</v>
      </c>
      <c r="J167" s="74">
        <v>57000</v>
      </c>
      <c r="K167" s="74">
        <v>3990</v>
      </c>
      <c r="L167" s="74">
        <v>6099</v>
      </c>
      <c r="M167" s="74">
        <v>67089</v>
      </c>
    </row>
    <row r="168" spans="1:13" ht="15.5" x14ac:dyDescent="0.35">
      <c r="A168" t="s">
        <v>344</v>
      </c>
      <c r="B168" t="s">
        <v>345</v>
      </c>
      <c r="C168" t="s">
        <v>137</v>
      </c>
      <c r="D168" t="s">
        <v>301</v>
      </c>
      <c r="E168" s="74">
        <v>3</v>
      </c>
      <c r="F168" s="74">
        <v>65000</v>
      </c>
      <c r="G168" s="74">
        <v>195000</v>
      </c>
      <c r="H168" s="74">
        <v>0</v>
      </c>
      <c r="I168" s="74">
        <v>0</v>
      </c>
      <c r="J168" s="74">
        <v>195000</v>
      </c>
      <c r="K168" s="74">
        <v>13650</v>
      </c>
      <c r="L168" s="74">
        <v>20865</v>
      </c>
      <c r="M168" s="74">
        <v>229515</v>
      </c>
    </row>
    <row r="169" spans="1:13" ht="15.5" x14ac:dyDescent="0.35">
      <c r="A169" t="s">
        <v>333</v>
      </c>
      <c r="B169" t="s">
        <v>334</v>
      </c>
      <c r="C169" t="s">
        <v>137</v>
      </c>
      <c r="D169" t="s">
        <v>301</v>
      </c>
      <c r="E169" s="74">
        <v>3</v>
      </c>
      <c r="F169" s="74">
        <v>52640</v>
      </c>
      <c r="G169" s="74">
        <v>157920</v>
      </c>
      <c r="H169" s="74">
        <v>0</v>
      </c>
      <c r="I169" s="74">
        <v>0</v>
      </c>
      <c r="J169" s="74">
        <v>157920</v>
      </c>
      <c r="K169" s="74">
        <v>0</v>
      </c>
      <c r="L169" s="74">
        <v>15792</v>
      </c>
      <c r="M169" s="74">
        <v>173712</v>
      </c>
    </row>
    <row r="170" spans="1:13" ht="15.5" x14ac:dyDescent="0.35">
      <c r="A170" t="s">
        <v>376</v>
      </c>
      <c r="B170" t="s">
        <v>377</v>
      </c>
      <c r="C170" t="s">
        <v>137</v>
      </c>
      <c r="D170" t="s">
        <v>138</v>
      </c>
      <c r="E170" s="74">
        <v>3</v>
      </c>
      <c r="F170" s="74">
        <v>8000</v>
      </c>
      <c r="G170" s="74">
        <v>24000</v>
      </c>
      <c r="H170" s="74">
        <v>0</v>
      </c>
      <c r="I170" s="74">
        <v>0</v>
      </c>
      <c r="J170" s="74">
        <v>24000</v>
      </c>
      <c r="K170" s="74">
        <v>1680</v>
      </c>
      <c r="L170" s="74">
        <v>2568</v>
      </c>
      <c r="M170" s="74">
        <v>28248</v>
      </c>
    </row>
    <row r="171" spans="1:13" ht="15.5" x14ac:dyDescent="0.35">
      <c r="A171" t="s">
        <v>369</v>
      </c>
      <c r="B171" t="s">
        <v>370</v>
      </c>
      <c r="C171" t="s">
        <v>137</v>
      </c>
      <c r="D171" t="s">
        <v>138</v>
      </c>
      <c r="E171" s="74">
        <v>3</v>
      </c>
      <c r="F171" s="74">
        <v>78000</v>
      </c>
      <c r="G171" s="74">
        <v>234000</v>
      </c>
      <c r="H171" s="74">
        <v>0</v>
      </c>
      <c r="I171" s="74">
        <v>0</v>
      </c>
      <c r="J171" s="74">
        <v>234000</v>
      </c>
      <c r="K171" s="74">
        <v>16380</v>
      </c>
      <c r="L171" s="74">
        <v>25038</v>
      </c>
      <c r="M171" s="74">
        <v>275418</v>
      </c>
    </row>
    <row r="172" spans="1:13" ht="15.5" x14ac:dyDescent="0.35">
      <c r="A172" t="s">
        <v>538</v>
      </c>
      <c r="B172" t="s">
        <v>539</v>
      </c>
      <c r="C172" t="s">
        <v>137</v>
      </c>
      <c r="D172" t="s">
        <v>138</v>
      </c>
      <c r="E172" s="74">
        <v>3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</row>
    <row r="173" spans="1:13" ht="15.5" x14ac:dyDescent="0.35">
      <c r="A173" t="s">
        <v>328</v>
      </c>
      <c r="B173" t="s">
        <v>107</v>
      </c>
      <c r="C173" t="s">
        <v>137</v>
      </c>
      <c r="D173" t="s">
        <v>169</v>
      </c>
      <c r="E173" s="74">
        <v>3</v>
      </c>
      <c r="F173" s="74">
        <v>50400</v>
      </c>
      <c r="G173" s="74">
        <v>151200</v>
      </c>
      <c r="H173" s="74">
        <v>0</v>
      </c>
      <c r="I173" s="74">
        <v>0</v>
      </c>
      <c r="J173" s="74">
        <v>151200</v>
      </c>
      <c r="K173" s="74">
        <v>0</v>
      </c>
      <c r="L173" s="74">
        <v>15120</v>
      </c>
      <c r="M173" s="74">
        <v>166320</v>
      </c>
    </row>
    <row r="174" spans="1:13" ht="15.5" x14ac:dyDescent="0.35">
      <c r="A174" t="s">
        <v>202</v>
      </c>
      <c r="B174" t="s">
        <v>203</v>
      </c>
      <c r="C174" t="s">
        <v>137</v>
      </c>
      <c r="D174" t="s">
        <v>161</v>
      </c>
      <c r="E174" s="74">
        <v>3</v>
      </c>
      <c r="F174" s="74">
        <v>42560</v>
      </c>
      <c r="G174" s="74">
        <v>127680</v>
      </c>
      <c r="H174" s="74">
        <v>0</v>
      </c>
      <c r="I174" s="74">
        <v>0</v>
      </c>
      <c r="J174" s="74">
        <v>127680</v>
      </c>
      <c r="K174" s="74">
        <v>0</v>
      </c>
      <c r="L174" s="74">
        <v>12768</v>
      </c>
      <c r="M174" s="74">
        <v>140448</v>
      </c>
    </row>
    <row r="175" spans="1:13" ht="15.5" x14ac:dyDescent="0.35">
      <c r="A175" t="s">
        <v>344</v>
      </c>
      <c r="B175" t="s">
        <v>345</v>
      </c>
      <c r="C175" t="s">
        <v>137</v>
      </c>
      <c r="D175" t="s">
        <v>301</v>
      </c>
      <c r="E175" s="74">
        <v>2</v>
      </c>
      <c r="F175" s="74">
        <v>72800</v>
      </c>
      <c r="G175" s="74">
        <v>145600</v>
      </c>
      <c r="H175" s="74">
        <v>0</v>
      </c>
      <c r="I175" s="74">
        <v>0</v>
      </c>
      <c r="J175" s="74">
        <v>145600</v>
      </c>
      <c r="K175" s="74">
        <v>0</v>
      </c>
      <c r="L175" s="74">
        <v>14560</v>
      </c>
      <c r="M175" s="74">
        <v>160160</v>
      </c>
    </row>
    <row r="176" spans="1:13" ht="15.5" x14ac:dyDescent="0.35">
      <c r="A176" t="s">
        <v>136</v>
      </c>
      <c r="B176" t="s">
        <v>27</v>
      </c>
      <c r="C176" t="s">
        <v>137</v>
      </c>
      <c r="D176" t="s">
        <v>138</v>
      </c>
      <c r="E176" s="74">
        <v>2</v>
      </c>
      <c r="F176" s="74">
        <v>11200</v>
      </c>
      <c r="G176" s="74">
        <v>22400</v>
      </c>
      <c r="H176" s="74">
        <v>0</v>
      </c>
      <c r="I176" s="74">
        <v>0</v>
      </c>
      <c r="J176" s="74">
        <v>22400</v>
      </c>
      <c r="K176" s="74">
        <v>0</v>
      </c>
      <c r="L176" s="74">
        <v>2240</v>
      </c>
      <c r="M176" s="74">
        <v>24640</v>
      </c>
    </row>
    <row r="177" spans="1:13" ht="15.5" x14ac:dyDescent="0.35">
      <c r="A177" t="s">
        <v>536</v>
      </c>
      <c r="B177" t="s">
        <v>537</v>
      </c>
      <c r="C177" t="s">
        <v>137</v>
      </c>
      <c r="D177" t="s">
        <v>138</v>
      </c>
      <c r="E177" s="74">
        <v>2</v>
      </c>
      <c r="F177" s="74">
        <v>8000</v>
      </c>
      <c r="G177" s="74">
        <v>16000</v>
      </c>
      <c r="H177" s="74">
        <v>0</v>
      </c>
      <c r="I177" s="74">
        <v>0</v>
      </c>
      <c r="J177" s="74">
        <v>16000</v>
      </c>
      <c r="K177" s="74">
        <v>1120</v>
      </c>
      <c r="L177" s="74">
        <v>1712</v>
      </c>
      <c r="M177" s="74">
        <v>18832</v>
      </c>
    </row>
    <row r="178" spans="1:13" ht="15.5" x14ac:dyDescent="0.35">
      <c r="A178" t="s">
        <v>359</v>
      </c>
      <c r="B178" t="s">
        <v>360</v>
      </c>
      <c r="C178" t="s">
        <v>137</v>
      </c>
      <c r="D178" t="s">
        <v>138</v>
      </c>
      <c r="E178" s="74">
        <v>2</v>
      </c>
      <c r="F178" s="74">
        <v>22000</v>
      </c>
      <c r="G178" s="74">
        <v>44000</v>
      </c>
      <c r="H178" s="74">
        <v>0</v>
      </c>
      <c r="I178" s="74">
        <v>0</v>
      </c>
      <c r="J178" s="74">
        <v>44000</v>
      </c>
      <c r="K178" s="74">
        <v>3080</v>
      </c>
      <c r="L178" s="74">
        <v>4708</v>
      </c>
      <c r="M178" s="74">
        <v>51788</v>
      </c>
    </row>
    <row r="179" spans="1:13" ht="15.5" x14ac:dyDescent="0.35">
      <c r="A179" t="s">
        <v>153</v>
      </c>
      <c r="B179" t="s">
        <v>154</v>
      </c>
      <c r="C179" t="s">
        <v>130</v>
      </c>
      <c r="D179" t="s">
        <v>155</v>
      </c>
      <c r="E179" s="74">
        <v>2</v>
      </c>
      <c r="F179" s="74">
        <v>25536</v>
      </c>
      <c r="G179" s="74">
        <v>51072</v>
      </c>
      <c r="H179" s="74">
        <v>0</v>
      </c>
      <c r="I179" s="74">
        <v>0</v>
      </c>
      <c r="J179" s="74">
        <v>51072</v>
      </c>
      <c r="K179" s="74">
        <v>0</v>
      </c>
      <c r="L179" s="74">
        <v>5108</v>
      </c>
      <c r="M179" s="74">
        <v>56180</v>
      </c>
    </row>
    <row r="180" spans="1:13" ht="15.5" x14ac:dyDescent="0.35">
      <c r="A180" t="s">
        <v>284</v>
      </c>
      <c r="B180" t="s">
        <v>285</v>
      </c>
      <c r="C180" t="s">
        <v>130</v>
      </c>
      <c r="D180" t="s">
        <v>155</v>
      </c>
      <c r="E180" s="74">
        <v>2</v>
      </c>
      <c r="F180" s="74">
        <v>25536</v>
      </c>
      <c r="G180" s="74">
        <v>51072</v>
      </c>
      <c r="H180" s="74">
        <v>0</v>
      </c>
      <c r="I180" s="74">
        <v>0</v>
      </c>
      <c r="J180" s="74">
        <v>51072</v>
      </c>
      <c r="K180" s="74">
        <v>0</v>
      </c>
      <c r="L180" s="74">
        <v>5107</v>
      </c>
      <c r="M180" s="74">
        <v>56179</v>
      </c>
    </row>
    <row r="181" spans="1:13" ht="15.5" x14ac:dyDescent="0.35">
      <c r="A181" t="s">
        <v>215</v>
      </c>
      <c r="B181" t="s">
        <v>216</v>
      </c>
      <c r="C181" t="s">
        <v>130</v>
      </c>
      <c r="D181" t="s">
        <v>155</v>
      </c>
      <c r="E181" s="74">
        <v>2</v>
      </c>
      <c r="F181" s="74">
        <v>25536</v>
      </c>
      <c r="G181" s="74">
        <v>51072</v>
      </c>
      <c r="H181" s="74">
        <v>0</v>
      </c>
      <c r="I181" s="74">
        <v>0</v>
      </c>
      <c r="J181" s="74">
        <v>51072</v>
      </c>
      <c r="K181" s="74">
        <v>0</v>
      </c>
      <c r="L181" s="74">
        <v>5108</v>
      </c>
      <c r="M181" s="74">
        <v>56180</v>
      </c>
    </row>
    <row r="182" spans="1:13" ht="15.5" x14ac:dyDescent="0.35">
      <c r="A182" t="s">
        <v>541</v>
      </c>
      <c r="B182" t="s">
        <v>542</v>
      </c>
      <c r="C182" t="s">
        <v>134</v>
      </c>
      <c r="D182" t="s">
        <v>135</v>
      </c>
      <c r="E182" s="74">
        <v>2</v>
      </c>
      <c r="F182" s="74">
        <v>1000</v>
      </c>
      <c r="G182" s="74">
        <v>2000</v>
      </c>
      <c r="H182" s="74">
        <v>0</v>
      </c>
      <c r="I182" s="74">
        <v>0</v>
      </c>
      <c r="J182" s="74">
        <v>2000</v>
      </c>
      <c r="K182" s="74">
        <v>0</v>
      </c>
      <c r="L182" s="74">
        <v>200</v>
      </c>
      <c r="M182" s="74">
        <v>2200</v>
      </c>
    </row>
    <row r="183" spans="1:13" ht="15.5" x14ac:dyDescent="0.35">
      <c r="A183" t="s">
        <v>534</v>
      </c>
      <c r="B183" t="s">
        <v>535</v>
      </c>
      <c r="C183" t="s">
        <v>187</v>
      </c>
      <c r="D183" t="s">
        <v>187</v>
      </c>
      <c r="E183" s="74">
        <v>2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</row>
    <row r="184" spans="1:13" ht="15.5" x14ac:dyDescent="0.35">
      <c r="A184" t="s">
        <v>286</v>
      </c>
      <c r="B184" t="s">
        <v>287</v>
      </c>
      <c r="C184" t="s">
        <v>137</v>
      </c>
      <c r="D184" t="s">
        <v>161</v>
      </c>
      <c r="E184" s="74">
        <v>2</v>
      </c>
      <c r="F184" s="74">
        <v>24640</v>
      </c>
      <c r="G184" s="74">
        <v>49280</v>
      </c>
      <c r="H184" s="74">
        <v>0</v>
      </c>
      <c r="I184" s="74">
        <v>0</v>
      </c>
      <c r="J184" s="74">
        <v>49280</v>
      </c>
      <c r="K184" s="74">
        <v>0</v>
      </c>
      <c r="L184" s="74">
        <v>4928</v>
      </c>
      <c r="M184" s="74">
        <v>54208</v>
      </c>
    </row>
    <row r="185" spans="1:13" ht="15.5" x14ac:dyDescent="0.35">
      <c r="A185" t="s">
        <v>261</v>
      </c>
      <c r="B185" t="s">
        <v>262</v>
      </c>
      <c r="C185" t="s">
        <v>137</v>
      </c>
      <c r="D185" t="s">
        <v>161</v>
      </c>
      <c r="E185" s="74">
        <v>2</v>
      </c>
      <c r="F185" s="74">
        <v>30240</v>
      </c>
      <c r="G185" s="74">
        <v>60480</v>
      </c>
      <c r="H185" s="74">
        <v>0</v>
      </c>
      <c r="I185" s="74">
        <v>0</v>
      </c>
      <c r="J185" s="74">
        <v>60480</v>
      </c>
      <c r="K185" s="74">
        <v>0</v>
      </c>
      <c r="L185" s="74">
        <v>6048</v>
      </c>
      <c r="M185" s="74">
        <v>66528</v>
      </c>
    </row>
    <row r="186" spans="1:13" ht="15.5" x14ac:dyDescent="0.35">
      <c r="A186" t="s">
        <v>331</v>
      </c>
      <c r="B186" t="s">
        <v>332</v>
      </c>
      <c r="C186" t="s">
        <v>137</v>
      </c>
      <c r="D186" t="s">
        <v>296</v>
      </c>
      <c r="E186" s="74">
        <v>1</v>
      </c>
      <c r="F186" s="74">
        <v>125000</v>
      </c>
      <c r="G186" s="74">
        <v>125000</v>
      </c>
      <c r="H186" s="74">
        <v>0</v>
      </c>
      <c r="I186" s="74">
        <v>0</v>
      </c>
      <c r="J186" s="74">
        <v>125000</v>
      </c>
      <c r="K186" s="74">
        <v>8750</v>
      </c>
      <c r="L186" s="74">
        <v>13375</v>
      </c>
      <c r="M186" s="74">
        <v>147125</v>
      </c>
    </row>
    <row r="187" spans="1:13" ht="15.5" x14ac:dyDescent="0.35">
      <c r="A187" t="s">
        <v>324</v>
      </c>
      <c r="B187" t="s">
        <v>325</v>
      </c>
      <c r="C187" t="s">
        <v>137</v>
      </c>
      <c r="D187" t="s">
        <v>296</v>
      </c>
      <c r="E187" s="74">
        <v>1</v>
      </c>
      <c r="F187" s="74">
        <v>19000</v>
      </c>
      <c r="G187" s="74">
        <v>19000</v>
      </c>
      <c r="H187" s="74">
        <v>0</v>
      </c>
      <c r="I187" s="74">
        <v>0</v>
      </c>
      <c r="J187" s="74">
        <v>19000</v>
      </c>
      <c r="K187" s="74">
        <v>1330</v>
      </c>
      <c r="L187" s="74">
        <v>2033</v>
      </c>
      <c r="M187" s="74">
        <v>22363</v>
      </c>
    </row>
    <row r="188" spans="1:13" ht="15.5" x14ac:dyDescent="0.35">
      <c r="A188" t="s">
        <v>374</v>
      </c>
      <c r="B188" t="s">
        <v>375</v>
      </c>
      <c r="C188" t="s">
        <v>137</v>
      </c>
      <c r="D188" t="s">
        <v>296</v>
      </c>
      <c r="E188" s="74">
        <v>1</v>
      </c>
      <c r="F188" s="74">
        <v>22000</v>
      </c>
      <c r="G188" s="74">
        <v>22000</v>
      </c>
      <c r="H188" s="74">
        <v>0</v>
      </c>
      <c r="I188" s="74">
        <v>0</v>
      </c>
      <c r="J188" s="74">
        <v>22000</v>
      </c>
      <c r="K188" s="74">
        <v>1540</v>
      </c>
      <c r="L188" s="74">
        <v>2354</v>
      </c>
      <c r="M188" s="74">
        <v>25894</v>
      </c>
    </row>
    <row r="189" spans="1:13" ht="15.5" x14ac:dyDescent="0.35">
      <c r="A189" t="s">
        <v>357</v>
      </c>
      <c r="B189" t="s">
        <v>358</v>
      </c>
      <c r="C189" t="s">
        <v>137</v>
      </c>
      <c r="D189" t="s">
        <v>138</v>
      </c>
      <c r="E189" s="74">
        <v>1</v>
      </c>
      <c r="F189" s="74">
        <v>8000</v>
      </c>
      <c r="G189" s="74">
        <v>8000</v>
      </c>
      <c r="H189" s="74">
        <v>0</v>
      </c>
      <c r="I189" s="74">
        <v>0</v>
      </c>
      <c r="J189" s="74">
        <v>8000</v>
      </c>
      <c r="K189" s="74">
        <v>560</v>
      </c>
      <c r="L189" s="74">
        <v>856</v>
      </c>
      <c r="M189" s="74">
        <v>9416</v>
      </c>
    </row>
    <row r="190" spans="1:13" ht="15.5" x14ac:dyDescent="0.35">
      <c r="A190" t="s">
        <v>530</v>
      </c>
      <c r="B190" t="s">
        <v>531</v>
      </c>
      <c r="C190" t="s">
        <v>137</v>
      </c>
      <c r="D190" t="s">
        <v>138</v>
      </c>
      <c r="E190" s="74">
        <v>1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</row>
    <row r="191" spans="1:13" ht="15.5" x14ac:dyDescent="0.35">
      <c r="A191" t="s">
        <v>379</v>
      </c>
      <c r="B191" t="s">
        <v>380</v>
      </c>
      <c r="C191" t="s">
        <v>137</v>
      </c>
      <c r="D191" t="s">
        <v>138</v>
      </c>
      <c r="E191" s="74">
        <v>1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</row>
    <row r="192" spans="1:13" ht="15.5" x14ac:dyDescent="0.35">
      <c r="A192" t="s">
        <v>371</v>
      </c>
      <c r="B192" t="s">
        <v>80</v>
      </c>
      <c r="C192" t="s">
        <v>137</v>
      </c>
      <c r="D192" t="s">
        <v>138</v>
      </c>
      <c r="E192" s="74">
        <v>1</v>
      </c>
      <c r="F192" s="74">
        <v>48000</v>
      </c>
      <c r="G192" s="74">
        <v>48000</v>
      </c>
      <c r="H192" s="74">
        <v>0</v>
      </c>
      <c r="I192" s="74">
        <v>0</v>
      </c>
      <c r="J192" s="74">
        <v>48000</v>
      </c>
      <c r="K192" s="74">
        <v>3360</v>
      </c>
      <c r="L192" s="74">
        <v>5136</v>
      </c>
      <c r="M192" s="74">
        <v>56496</v>
      </c>
    </row>
    <row r="193" spans="1:13" ht="15.5" x14ac:dyDescent="0.35">
      <c r="A193" t="s">
        <v>372</v>
      </c>
      <c r="B193" t="s">
        <v>103</v>
      </c>
      <c r="C193" t="s">
        <v>137</v>
      </c>
      <c r="D193" t="s">
        <v>138</v>
      </c>
      <c r="E193" s="74">
        <v>1</v>
      </c>
      <c r="F193" s="74">
        <v>72000</v>
      </c>
      <c r="G193" s="74">
        <v>72000</v>
      </c>
      <c r="H193" s="74">
        <v>0</v>
      </c>
      <c r="I193" s="74">
        <v>0</v>
      </c>
      <c r="J193" s="74">
        <v>72000</v>
      </c>
      <c r="K193" s="74">
        <v>5040</v>
      </c>
      <c r="L193" s="74">
        <v>7704</v>
      </c>
      <c r="M193" s="74">
        <v>84744</v>
      </c>
    </row>
    <row r="194" spans="1:13" ht="15.5" x14ac:dyDescent="0.35">
      <c r="A194" t="s">
        <v>383</v>
      </c>
      <c r="B194" t="s">
        <v>384</v>
      </c>
      <c r="C194" t="s">
        <v>137</v>
      </c>
      <c r="D194" t="s">
        <v>158</v>
      </c>
      <c r="E194" s="74">
        <v>1</v>
      </c>
      <c r="F194" s="74">
        <v>167000</v>
      </c>
      <c r="G194" s="74">
        <v>167000</v>
      </c>
      <c r="H194" s="74">
        <v>0</v>
      </c>
      <c r="I194" s="74">
        <v>0</v>
      </c>
      <c r="J194" s="74">
        <v>167000</v>
      </c>
      <c r="K194" s="74">
        <v>11690</v>
      </c>
      <c r="L194" s="74">
        <v>17869</v>
      </c>
      <c r="M194" s="74">
        <v>196559</v>
      </c>
    </row>
    <row r="195" spans="1:13" ht="15.5" x14ac:dyDescent="0.35">
      <c r="A195" t="s">
        <v>182</v>
      </c>
      <c r="B195" t="s">
        <v>183</v>
      </c>
      <c r="C195" t="s">
        <v>130</v>
      </c>
      <c r="D195" t="s">
        <v>155</v>
      </c>
      <c r="E195" s="74">
        <v>1</v>
      </c>
      <c r="F195" s="74">
        <v>25536</v>
      </c>
      <c r="G195" s="74">
        <v>25536</v>
      </c>
      <c r="H195" s="74">
        <v>0</v>
      </c>
      <c r="I195" s="74">
        <v>0</v>
      </c>
      <c r="J195" s="74">
        <v>25536</v>
      </c>
      <c r="K195" s="74">
        <v>0</v>
      </c>
      <c r="L195" s="74">
        <v>2554</v>
      </c>
      <c r="M195" s="74">
        <v>28090</v>
      </c>
    </row>
    <row r="196" spans="1:13" ht="15.5" x14ac:dyDescent="0.35">
      <c r="A196" t="s">
        <v>223</v>
      </c>
      <c r="B196" t="s">
        <v>224</v>
      </c>
      <c r="C196" t="s">
        <v>130</v>
      </c>
      <c r="D196" t="s">
        <v>155</v>
      </c>
      <c r="E196" s="74">
        <v>1</v>
      </c>
      <c r="F196" s="74">
        <v>25536</v>
      </c>
      <c r="G196" s="74">
        <v>25536</v>
      </c>
      <c r="H196" s="74">
        <v>0</v>
      </c>
      <c r="I196" s="74">
        <v>0</v>
      </c>
      <c r="J196" s="74">
        <v>25536</v>
      </c>
      <c r="K196" s="74">
        <v>0</v>
      </c>
      <c r="L196" s="74">
        <v>2554</v>
      </c>
      <c r="M196" s="74">
        <v>28090</v>
      </c>
    </row>
    <row r="197" spans="1:13" ht="15.5" x14ac:dyDescent="0.35">
      <c r="A197" t="s">
        <v>179</v>
      </c>
      <c r="B197" t="s">
        <v>180</v>
      </c>
      <c r="C197" t="s">
        <v>137</v>
      </c>
      <c r="D197" t="s">
        <v>181</v>
      </c>
      <c r="E197" s="74">
        <v>1</v>
      </c>
      <c r="F197" s="74">
        <v>39200</v>
      </c>
      <c r="G197" s="74">
        <v>39200</v>
      </c>
      <c r="H197" s="74">
        <v>0</v>
      </c>
      <c r="I197" s="74">
        <v>0</v>
      </c>
      <c r="J197" s="74">
        <v>39200</v>
      </c>
      <c r="K197" s="74">
        <v>0</v>
      </c>
      <c r="L197" s="74">
        <v>3920</v>
      </c>
      <c r="M197" s="74">
        <v>43120</v>
      </c>
    </row>
    <row r="198" spans="1:13" ht="15.5" x14ac:dyDescent="0.35">
      <c r="A198" t="s">
        <v>206</v>
      </c>
      <c r="B198" t="s">
        <v>207</v>
      </c>
      <c r="C198" t="s">
        <v>134</v>
      </c>
      <c r="D198" t="s">
        <v>135</v>
      </c>
      <c r="E198" s="74">
        <v>1</v>
      </c>
      <c r="F198" s="74">
        <v>273</v>
      </c>
      <c r="G198" s="74">
        <v>273</v>
      </c>
      <c r="H198" s="74">
        <v>0</v>
      </c>
      <c r="I198" s="74">
        <v>0</v>
      </c>
      <c r="J198" s="74">
        <v>273</v>
      </c>
      <c r="K198" s="74">
        <v>0</v>
      </c>
      <c r="L198" s="74">
        <v>27</v>
      </c>
      <c r="M198" s="74">
        <v>300</v>
      </c>
    </row>
    <row r="199" spans="1:13" ht="15.5" x14ac:dyDescent="0.35">
      <c r="A199" t="s">
        <v>532</v>
      </c>
      <c r="B199" t="s">
        <v>533</v>
      </c>
      <c r="C199" t="s">
        <v>134</v>
      </c>
      <c r="D199" t="s">
        <v>135</v>
      </c>
      <c r="E199" s="74">
        <v>1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</row>
    <row r="200" spans="1:13" ht="15.5" x14ac:dyDescent="0.35">
      <c r="A200" t="s">
        <v>145</v>
      </c>
      <c r="B200" t="s">
        <v>146</v>
      </c>
      <c r="C200" t="s">
        <v>130</v>
      </c>
      <c r="D200" t="s">
        <v>131</v>
      </c>
      <c r="E200" s="74">
        <v>1</v>
      </c>
      <c r="F200" s="74">
        <v>12320</v>
      </c>
      <c r="G200" s="74">
        <v>12320</v>
      </c>
      <c r="H200" s="74">
        <v>0</v>
      </c>
      <c r="I200" s="74">
        <v>0</v>
      </c>
      <c r="J200" s="74">
        <v>12320</v>
      </c>
      <c r="K200" s="74">
        <v>0</v>
      </c>
      <c r="L200" s="74">
        <v>1232</v>
      </c>
      <c r="M200" s="74">
        <v>13552</v>
      </c>
    </row>
    <row r="201" spans="1:13" ht="15.5" x14ac:dyDescent="0.35">
      <c r="A201" t="s">
        <v>248</v>
      </c>
      <c r="B201" t="s">
        <v>249</v>
      </c>
      <c r="C201" t="s">
        <v>137</v>
      </c>
      <c r="D201" t="s">
        <v>169</v>
      </c>
      <c r="E201" s="74">
        <v>1</v>
      </c>
      <c r="F201" s="74">
        <v>63840</v>
      </c>
      <c r="G201" s="74">
        <v>63840</v>
      </c>
      <c r="H201" s="74">
        <v>0</v>
      </c>
      <c r="I201" s="74">
        <v>0</v>
      </c>
      <c r="J201" s="74">
        <v>63840</v>
      </c>
      <c r="K201" s="74">
        <v>0</v>
      </c>
      <c r="L201" s="74">
        <v>6384</v>
      </c>
      <c r="M201" s="74">
        <v>70224</v>
      </c>
    </row>
    <row r="202" spans="1:13" ht="15.5" x14ac:dyDescent="0.35">
      <c r="A202" t="s">
        <v>270</v>
      </c>
      <c r="B202" t="s">
        <v>271</v>
      </c>
      <c r="C202" t="s">
        <v>137</v>
      </c>
      <c r="D202" t="s">
        <v>161</v>
      </c>
      <c r="E202" s="74">
        <v>1</v>
      </c>
      <c r="F202" s="74">
        <v>31360</v>
      </c>
      <c r="G202" s="74">
        <v>31360</v>
      </c>
      <c r="H202" s="74">
        <v>0</v>
      </c>
      <c r="I202" s="74">
        <v>0</v>
      </c>
      <c r="J202" s="74">
        <v>31360</v>
      </c>
      <c r="K202" s="74">
        <v>0</v>
      </c>
      <c r="L202" s="74">
        <v>3136</v>
      </c>
      <c r="M202" s="74">
        <v>34496</v>
      </c>
    </row>
    <row r="203" spans="1:13" ht="15.5" x14ac:dyDescent="0.35">
      <c r="A203" t="s">
        <v>326</v>
      </c>
      <c r="B203" t="s">
        <v>327</v>
      </c>
      <c r="C203" t="s">
        <v>137</v>
      </c>
      <c r="D203" t="s">
        <v>161</v>
      </c>
      <c r="E203" s="74">
        <v>1</v>
      </c>
      <c r="F203" s="74">
        <v>33600</v>
      </c>
      <c r="G203" s="74">
        <v>33600</v>
      </c>
      <c r="H203" s="74">
        <v>0</v>
      </c>
      <c r="I203" s="74">
        <v>0</v>
      </c>
      <c r="J203" s="74">
        <v>33600</v>
      </c>
      <c r="K203" s="74">
        <v>0</v>
      </c>
      <c r="L203" s="74">
        <v>3360</v>
      </c>
      <c r="M203" s="74">
        <v>36960</v>
      </c>
    </row>
    <row r="204" spans="1:13" ht="15.5" x14ac:dyDescent="0.35">
      <c r="A204" t="s">
        <v>322</v>
      </c>
      <c r="B204" t="s">
        <v>323</v>
      </c>
      <c r="C204" t="s">
        <v>137</v>
      </c>
      <c r="D204" t="s">
        <v>161</v>
      </c>
      <c r="E204" s="74">
        <v>1</v>
      </c>
      <c r="F204" s="74">
        <v>33600</v>
      </c>
      <c r="G204" s="74">
        <v>33600</v>
      </c>
      <c r="H204" s="74">
        <v>0</v>
      </c>
      <c r="I204" s="74">
        <v>0</v>
      </c>
      <c r="J204" s="74">
        <v>33600</v>
      </c>
      <c r="K204" s="74">
        <v>0</v>
      </c>
      <c r="L204" s="74">
        <v>3360</v>
      </c>
      <c r="M204" s="74">
        <v>36960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C23E7-948A-41BF-BB65-FCF38A5DCB5F}">
  <sheetPr codeName="Sheet8"/>
  <dimension ref="A2:T16"/>
  <sheetViews>
    <sheetView zoomScale="70" zoomScaleNormal="70" workbookViewId="0">
      <selection activeCell="S14" sqref="S14"/>
    </sheetView>
  </sheetViews>
  <sheetFormatPr defaultRowHeight="14.5" x14ac:dyDescent="0.35"/>
  <cols>
    <col min="1" max="1" width="11.54296875" bestFit="1" customWidth="1"/>
    <col min="2" max="2" width="33.08984375" bestFit="1" customWidth="1"/>
    <col min="7" max="7" width="9.1796875" bestFit="1" customWidth="1"/>
    <col min="16" max="16" width="7.90625" bestFit="1" customWidth="1"/>
    <col min="17" max="17" width="32.81640625" bestFit="1" customWidth="1"/>
    <col min="18" max="18" width="12" bestFit="1" customWidth="1"/>
    <col min="20" max="20" width="16.81640625" customWidth="1"/>
  </cols>
  <sheetData>
    <row r="2" spans="1:20" ht="15" thickBot="1" x14ac:dyDescent="0.4">
      <c r="E2" s="5" t="s">
        <v>50</v>
      </c>
      <c r="F2" s="1"/>
      <c r="G2" s="5" t="s">
        <v>51</v>
      </c>
      <c r="H2" s="5" t="s">
        <v>52</v>
      </c>
      <c r="J2" s="7" t="s">
        <v>57</v>
      </c>
      <c r="K2" s="7" t="s">
        <v>58</v>
      </c>
      <c r="L2" s="7" t="s">
        <v>59</v>
      </c>
    </row>
    <row r="3" spans="1:20" ht="116.5" thickBot="1" x14ac:dyDescent="0.4">
      <c r="A3" s="15" t="s">
        <v>0</v>
      </c>
      <c r="B3" s="16" t="s">
        <v>1</v>
      </c>
      <c r="C3" s="17" t="s">
        <v>2</v>
      </c>
      <c r="D3" s="17" t="s">
        <v>54</v>
      </c>
      <c r="E3" s="10" t="s">
        <v>53</v>
      </c>
      <c r="F3" s="9" t="s">
        <v>3</v>
      </c>
      <c r="G3" s="9" t="s">
        <v>55</v>
      </c>
      <c r="H3" s="9" t="s">
        <v>69</v>
      </c>
      <c r="I3" s="11" t="s">
        <v>68</v>
      </c>
      <c r="J3" s="9" t="s">
        <v>61</v>
      </c>
      <c r="K3" s="9" t="s">
        <v>62</v>
      </c>
      <c r="L3" s="9" t="s">
        <v>63</v>
      </c>
      <c r="M3" s="9" t="s">
        <v>64</v>
      </c>
      <c r="N3" s="12" t="s">
        <v>60</v>
      </c>
      <c r="O3" s="13" t="s">
        <v>65</v>
      </c>
      <c r="P3" s="14" t="s">
        <v>66</v>
      </c>
      <c r="Q3" s="23" t="s">
        <v>104</v>
      </c>
    </row>
    <row r="4" spans="1:20" x14ac:dyDescent="0.35">
      <c r="A4" s="84" t="s">
        <v>400</v>
      </c>
      <c r="B4" s="85" t="s">
        <v>401</v>
      </c>
      <c r="C4" s="157">
        <v>100</v>
      </c>
      <c r="D4" s="159">
        <v>241</v>
      </c>
      <c r="E4" s="27">
        <f t="shared" ref="E4:E15" si="0">C4*D4</f>
        <v>24100</v>
      </c>
      <c r="F4" s="30">
        <v>0.97</v>
      </c>
      <c r="G4" s="65">
        <f>ROUND((E4/F4),2)</f>
        <v>24845.360000000001</v>
      </c>
      <c r="H4" s="133">
        <v>0</v>
      </c>
      <c r="I4" s="133">
        <f>G16+H4</f>
        <v>99.48</v>
      </c>
      <c r="J4" s="133">
        <v>61.5</v>
      </c>
      <c r="K4" s="133">
        <v>0</v>
      </c>
      <c r="L4" s="133">
        <v>90</v>
      </c>
      <c r="M4" s="133">
        <v>36</v>
      </c>
      <c r="N4" s="133">
        <f>J4+K4+L4</f>
        <v>151.5</v>
      </c>
      <c r="O4" s="133">
        <f>(N4-I4)</f>
        <v>52.019999999999996</v>
      </c>
      <c r="P4" s="133">
        <f>M4-O4</f>
        <v>-16.019999999999996</v>
      </c>
      <c r="Q4" s="145">
        <f>ROUND(((P4/O4))*100,2)</f>
        <v>-30.8</v>
      </c>
      <c r="R4" s="6" t="s">
        <v>86</v>
      </c>
    </row>
    <row r="5" spans="1:20" x14ac:dyDescent="0.35">
      <c r="A5" s="84" t="s">
        <v>404</v>
      </c>
      <c r="B5" s="85" t="s">
        <v>405</v>
      </c>
      <c r="C5" s="157">
        <v>100</v>
      </c>
      <c r="D5" s="160">
        <v>122</v>
      </c>
      <c r="E5" s="28">
        <f t="shared" si="0"/>
        <v>12200</v>
      </c>
      <c r="F5" s="31">
        <v>0.97</v>
      </c>
      <c r="G5" s="66">
        <f>ROUND((E5/F5),2)</f>
        <v>12577.32</v>
      </c>
      <c r="H5" s="134"/>
      <c r="I5" s="134"/>
      <c r="J5" s="134"/>
      <c r="K5" s="134"/>
      <c r="L5" s="134"/>
      <c r="M5" s="134"/>
      <c r="N5" s="134"/>
      <c r="O5" s="134"/>
      <c r="P5" s="134"/>
      <c r="Q5" s="146"/>
      <c r="S5">
        <v>36</v>
      </c>
    </row>
    <row r="6" spans="1:20" x14ac:dyDescent="0.35">
      <c r="A6" s="84" t="s">
        <v>409</v>
      </c>
      <c r="B6" s="85" t="s">
        <v>410</v>
      </c>
      <c r="C6" s="157">
        <v>100</v>
      </c>
      <c r="D6" s="160">
        <v>202</v>
      </c>
      <c r="E6" s="28">
        <f t="shared" si="0"/>
        <v>20200</v>
      </c>
      <c r="F6" s="31">
        <v>0.97</v>
      </c>
      <c r="G6" s="66">
        <f>ROUND((E6/F6),2)</f>
        <v>20824.740000000002</v>
      </c>
      <c r="H6" s="134"/>
      <c r="I6" s="134"/>
      <c r="J6" s="134"/>
      <c r="K6" s="134"/>
      <c r="L6" s="134"/>
      <c r="M6" s="134"/>
      <c r="N6" s="134"/>
      <c r="O6" s="134"/>
      <c r="P6" s="134"/>
      <c r="Q6" s="146"/>
    </row>
    <row r="7" spans="1:20" x14ac:dyDescent="0.35">
      <c r="A7" s="84" t="s">
        <v>430</v>
      </c>
      <c r="B7" s="85" t="s">
        <v>431</v>
      </c>
      <c r="C7" s="157">
        <v>100</v>
      </c>
      <c r="D7" s="160">
        <v>47</v>
      </c>
      <c r="E7" s="28">
        <f t="shared" si="0"/>
        <v>4700</v>
      </c>
      <c r="F7" s="31">
        <v>0.97</v>
      </c>
      <c r="G7" s="66">
        <f>ROUND((E7/F7),2)</f>
        <v>4845.3599999999997</v>
      </c>
      <c r="H7" s="134"/>
      <c r="I7" s="134"/>
      <c r="J7" s="134"/>
      <c r="K7" s="134"/>
      <c r="L7" s="134"/>
      <c r="M7" s="134"/>
      <c r="N7" s="134"/>
      <c r="O7" s="134"/>
      <c r="P7" s="134"/>
      <c r="Q7" s="146"/>
      <c r="R7" s="6" t="s">
        <v>82</v>
      </c>
      <c r="S7">
        <f>51.25*1.2</f>
        <v>61.5</v>
      </c>
    </row>
    <row r="8" spans="1:20" x14ac:dyDescent="0.35">
      <c r="A8" s="84" t="s">
        <v>471</v>
      </c>
      <c r="B8" s="85" t="s">
        <v>472</v>
      </c>
      <c r="C8" s="157">
        <v>100</v>
      </c>
      <c r="D8" s="160">
        <v>7</v>
      </c>
      <c r="E8" s="28">
        <f t="shared" si="0"/>
        <v>700</v>
      </c>
      <c r="F8" s="31">
        <v>0.97</v>
      </c>
      <c r="G8" s="66">
        <f>ROUND((E8/F8),2)</f>
        <v>721.65</v>
      </c>
      <c r="H8" s="134"/>
      <c r="I8" s="134"/>
      <c r="J8" s="134"/>
      <c r="K8" s="134"/>
      <c r="L8" s="134"/>
      <c r="M8" s="134"/>
      <c r="N8" s="134"/>
      <c r="O8" s="134"/>
      <c r="P8" s="134"/>
      <c r="Q8" s="146"/>
    </row>
    <row r="9" spans="1:20" x14ac:dyDescent="0.35">
      <c r="A9" s="84" t="s">
        <v>461</v>
      </c>
      <c r="B9" s="85" t="s">
        <v>462</v>
      </c>
      <c r="C9" s="157">
        <v>100</v>
      </c>
      <c r="D9" s="160">
        <v>17</v>
      </c>
      <c r="E9" s="28">
        <f t="shared" si="0"/>
        <v>1700</v>
      </c>
      <c r="F9" s="31">
        <v>0.97</v>
      </c>
      <c r="G9" s="66">
        <f t="shared" ref="G9:G15" si="1">E9/F9</f>
        <v>1752.5773195876288</v>
      </c>
      <c r="H9" s="134"/>
      <c r="I9" s="134"/>
      <c r="J9" s="134"/>
      <c r="K9" s="134"/>
      <c r="L9" s="134"/>
      <c r="M9" s="134"/>
      <c r="N9" s="134"/>
      <c r="O9" s="134"/>
      <c r="P9" s="134"/>
      <c r="Q9" s="146"/>
      <c r="R9" s="6" t="s">
        <v>543</v>
      </c>
    </row>
    <row r="10" spans="1:20" ht="14" customHeight="1" x14ac:dyDescent="0.35">
      <c r="A10" s="84" t="s">
        <v>436</v>
      </c>
      <c r="B10" s="85" t="s">
        <v>394</v>
      </c>
      <c r="C10" s="157">
        <v>100</v>
      </c>
      <c r="D10" s="161">
        <v>46</v>
      </c>
      <c r="E10" s="79">
        <f t="shared" si="0"/>
        <v>4600</v>
      </c>
      <c r="F10" s="31">
        <v>0.97</v>
      </c>
      <c r="G10" s="80">
        <f t="shared" si="1"/>
        <v>4742.2680412371137</v>
      </c>
      <c r="H10" s="134"/>
      <c r="I10" s="134"/>
      <c r="J10" s="134"/>
      <c r="K10" s="134"/>
      <c r="L10" s="134"/>
      <c r="M10" s="134"/>
      <c r="N10" s="134"/>
      <c r="O10" s="134"/>
      <c r="P10" s="134"/>
      <c r="Q10" s="146"/>
      <c r="R10" s="57">
        <v>45569</v>
      </c>
      <c r="S10">
        <f>20*1.2</f>
        <v>24</v>
      </c>
      <c r="T10" s="122" t="s">
        <v>572</v>
      </c>
    </row>
    <row r="11" spans="1:20" ht="15.5" customHeight="1" x14ac:dyDescent="0.35">
      <c r="A11" s="84" t="s">
        <v>427</v>
      </c>
      <c r="B11" s="85" t="s">
        <v>395</v>
      </c>
      <c r="C11" s="157">
        <v>100</v>
      </c>
      <c r="D11" s="161">
        <v>56</v>
      </c>
      <c r="E11" s="79">
        <f t="shared" si="0"/>
        <v>5600</v>
      </c>
      <c r="F11" s="31">
        <v>0.97</v>
      </c>
      <c r="G11" s="80">
        <f t="shared" si="1"/>
        <v>5773.1958762886597</v>
      </c>
      <c r="H11" s="134"/>
      <c r="I11" s="134"/>
      <c r="J11" s="134"/>
      <c r="K11" s="134"/>
      <c r="L11" s="134"/>
      <c r="M11" s="134"/>
      <c r="N11" s="134"/>
      <c r="O11" s="134"/>
      <c r="P11" s="134"/>
      <c r="Q11" s="146"/>
      <c r="R11" s="57">
        <v>45572</v>
      </c>
      <c r="S11">
        <f>20*1.2</f>
        <v>24</v>
      </c>
      <c r="T11" s="122" t="s">
        <v>573</v>
      </c>
    </row>
    <row r="12" spans="1:20" ht="16.5" customHeight="1" x14ac:dyDescent="0.35">
      <c r="A12" s="84" t="s">
        <v>415</v>
      </c>
      <c r="B12" s="85" t="s">
        <v>393</v>
      </c>
      <c r="C12" s="157">
        <v>100</v>
      </c>
      <c r="D12" s="161">
        <v>142</v>
      </c>
      <c r="E12" s="79">
        <f t="shared" si="0"/>
        <v>14200</v>
      </c>
      <c r="F12" s="31">
        <v>0.97</v>
      </c>
      <c r="G12" s="80">
        <f t="shared" si="1"/>
        <v>14639.175257731958</v>
      </c>
      <c r="H12" s="134"/>
      <c r="I12" s="134"/>
      <c r="J12" s="134"/>
      <c r="K12" s="134"/>
      <c r="L12" s="134"/>
      <c r="M12" s="134"/>
      <c r="N12" s="134"/>
      <c r="O12" s="134"/>
      <c r="P12" s="134"/>
      <c r="Q12" s="146"/>
      <c r="R12" s="57">
        <v>45575</v>
      </c>
      <c r="S12">
        <f>15*1.2</f>
        <v>18</v>
      </c>
      <c r="T12" s="122" t="s">
        <v>574</v>
      </c>
    </row>
    <row r="13" spans="1:20" ht="16" customHeight="1" x14ac:dyDescent="0.35">
      <c r="A13" s="84" t="s">
        <v>428</v>
      </c>
      <c r="B13" s="85" t="s">
        <v>429</v>
      </c>
      <c r="C13" s="157">
        <v>100</v>
      </c>
      <c r="D13" s="161">
        <v>56</v>
      </c>
      <c r="E13" s="79">
        <f t="shared" si="0"/>
        <v>5600</v>
      </c>
      <c r="F13" s="31">
        <v>0.97</v>
      </c>
      <c r="G13" s="80">
        <f t="shared" si="1"/>
        <v>5773.1958762886597</v>
      </c>
      <c r="H13" s="134"/>
      <c r="I13" s="134"/>
      <c r="J13" s="134"/>
      <c r="K13" s="134"/>
      <c r="L13" s="134"/>
      <c r="M13" s="134"/>
      <c r="N13" s="134"/>
      <c r="O13" s="134"/>
      <c r="P13" s="134"/>
      <c r="Q13" s="146"/>
      <c r="R13" s="57">
        <v>45579</v>
      </c>
      <c r="S13">
        <f>20*1.2</f>
        <v>24</v>
      </c>
      <c r="T13" s="122" t="s">
        <v>575</v>
      </c>
    </row>
    <row r="14" spans="1:20" x14ac:dyDescent="0.35">
      <c r="A14" s="84" t="s">
        <v>439</v>
      </c>
      <c r="B14" s="85" t="s">
        <v>440</v>
      </c>
      <c r="C14" s="157">
        <v>100</v>
      </c>
      <c r="D14" s="161">
        <v>21</v>
      </c>
      <c r="E14" s="79">
        <f t="shared" si="0"/>
        <v>2100</v>
      </c>
      <c r="F14" s="31">
        <v>0.97</v>
      </c>
      <c r="G14" s="80">
        <f t="shared" si="1"/>
        <v>2164.9484536082473</v>
      </c>
      <c r="H14" s="134"/>
      <c r="I14" s="134"/>
      <c r="J14" s="134"/>
      <c r="K14" s="134"/>
      <c r="L14" s="134"/>
      <c r="M14" s="134"/>
      <c r="N14" s="134"/>
      <c r="O14" s="134"/>
      <c r="P14" s="134"/>
      <c r="Q14" s="146"/>
      <c r="S14">
        <f>SUM(S10:S13)</f>
        <v>90</v>
      </c>
    </row>
    <row r="15" spans="1:20" ht="15" thickBot="1" x14ac:dyDescent="0.4">
      <c r="A15" s="86" t="s">
        <v>488</v>
      </c>
      <c r="B15" s="77" t="s">
        <v>489</v>
      </c>
      <c r="C15" s="158">
        <v>100</v>
      </c>
      <c r="D15" s="162">
        <v>8</v>
      </c>
      <c r="E15" s="87">
        <f t="shared" si="0"/>
        <v>800</v>
      </c>
      <c r="F15" s="32">
        <v>0.97</v>
      </c>
      <c r="G15" s="88">
        <f t="shared" si="1"/>
        <v>824.74226804123714</v>
      </c>
      <c r="H15" s="135"/>
      <c r="I15" s="135"/>
      <c r="J15" s="135"/>
      <c r="K15" s="135"/>
      <c r="L15" s="135"/>
      <c r="M15" s="135"/>
      <c r="N15" s="135"/>
      <c r="O15" s="135"/>
      <c r="P15" s="135"/>
      <c r="Q15" s="147"/>
    </row>
    <row r="16" spans="1:20" x14ac:dyDescent="0.35">
      <c r="G16" s="119">
        <f>ROUND(SUM(G4:G15)/1000,2)</f>
        <v>99.48</v>
      </c>
    </row>
  </sheetData>
  <mergeCells count="10">
    <mergeCell ref="N4:N15"/>
    <mergeCell ref="O4:O15"/>
    <mergeCell ref="P4:P15"/>
    <mergeCell ref="Q4:Q15"/>
    <mergeCell ref="H4:H15"/>
    <mergeCell ref="I4:I15"/>
    <mergeCell ref="J4:J15"/>
    <mergeCell ref="K4:K15"/>
    <mergeCell ref="L4:L15"/>
    <mergeCell ref="M4:M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KKoreanNoodle_Button1_Click">
                <anchor moveWithCells="1" sizeWithCells="1">
                  <from>
                    <xdr:col>0</xdr:col>
                    <xdr:colOff>260350</xdr:colOff>
                    <xdr:row>15</xdr:row>
                    <xdr:rowOff>158750</xdr:rowOff>
                  </from>
                  <to>
                    <xdr:col>1</xdr:col>
                    <xdr:colOff>317500</xdr:colOff>
                    <xdr:row>17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CKKoreanNoodle_Button2_Click">
                <anchor moveWithCells="1" sizeWithCells="1">
                  <from>
                    <xdr:col>1</xdr:col>
                    <xdr:colOff>730250</xdr:colOff>
                    <xdr:row>16</xdr:row>
                    <xdr:rowOff>0</xdr:rowOff>
                  </from>
                  <to>
                    <xdr:col>1</xdr:col>
                    <xdr:colOff>1606550</xdr:colOff>
                    <xdr:row>18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3EA84-CFFD-4291-AA7B-FB4659BA92C1}">
  <sheetPr codeName="Sheet9"/>
  <dimension ref="A2:T15"/>
  <sheetViews>
    <sheetView topLeftCell="E2" zoomScale="80" zoomScaleNormal="80" workbookViewId="0">
      <selection activeCell="T2" sqref="T2"/>
    </sheetView>
  </sheetViews>
  <sheetFormatPr defaultRowHeight="14.5" x14ac:dyDescent="0.35"/>
  <cols>
    <col min="1" max="1" width="11.54296875" bestFit="1" customWidth="1"/>
    <col min="2" max="2" width="33.08984375" bestFit="1" customWidth="1"/>
    <col min="7" max="7" width="9.1796875" bestFit="1" customWidth="1"/>
    <col min="17" max="17" width="32.81640625" bestFit="1" customWidth="1"/>
    <col min="18" max="18" width="19.90625" bestFit="1" customWidth="1"/>
    <col min="19" max="19" width="6.90625" customWidth="1"/>
    <col min="20" max="20" width="18.81640625" customWidth="1"/>
  </cols>
  <sheetData>
    <row r="2" spans="1:20" ht="15" thickBot="1" x14ac:dyDescent="0.4">
      <c r="E2" s="5" t="s">
        <v>50</v>
      </c>
      <c r="F2" s="1"/>
      <c r="G2" s="5" t="s">
        <v>51</v>
      </c>
      <c r="H2" s="5" t="s">
        <v>52</v>
      </c>
      <c r="J2" s="7" t="s">
        <v>57</v>
      </c>
      <c r="K2" s="7" t="s">
        <v>58</v>
      </c>
      <c r="L2" s="7" t="s">
        <v>59</v>
      </c>
    </row>
    <row r="3" spans="1:20" ht="116.5" thickBot="1" x14ac:dyDescent="0.4">
      <c r="A3" s="21" t="s">
        <v>0</v>
      </c>
      <c r="B3" s="22" t="s">
        <v>1</v>
      </c>
      <c r="C3" s="24" t="s">
        <v>2</v>
      </c>
      <c r="D3" s="9" t="s">
        <v>54</v>
      </c>
      <c r="E3" s="10" t="s">
        <v>53</v>
      </c>
      <c r="F3" s="9" t="s">
        <v>3</v>
      </c>
      <c r="G3" s="9" t="s">
        <v>55</v>
      </c>
      <c r="H3" s="9" t="s">
        <v>69</v>
      </c>
      <c r="I3" s="11" t="s">
        <v>68</v>
      </c>
      <c r="J3" s="9" t="s">
        <v>61</v>
      </c>
      <c r="K3" s="9" t="s">
        <v>62</v>
      </c>
      <c r="L3" s="9" t="s">
        <v>63</v>
      </c>
      <c r="M3" s="9" t="s">
        <v>64</v>
      </c>
      <c r="N3" s="12" t="s">
        <v>60</v>
      </c>
      <c r="O3" s="13" t="s">
        <v>65</v>
      </c>
      <c r="P3" s="14" t="s">
        <v>66</v>
      </c>
      <c r="Q3" s="23" t="s">
        <v>104</v>
      </c>
    </row>
    <row r="4" spans="1:20" x14ac:dyDescent="0.35">
      <c r="A4" s="84" t="s">
        <v>402</v>
      </c>
      <c r="B4" s="85" t="s">
        <v>403</v>
      </c>
      <c r="C4" s="25">
        <v>100</v>
      </c>
      <c r="D4" s="68">
        <v>274</v>
      </c>
      <c r="E4" s="27">
        <f>C4*D4</f>
        <v>27400</v>
      </c>
      <c r="F4" s="30">
        <v>0.97</v>
      </c>
      <c r="G4" s="65">
        <f>ROUND((E4/F4),2)</f>
        <v>28247.42</v>
      </c>
      <c r="H4" s="133">
        <v>4</v>
      </c>
      <c r="I4" s="133">
        <f>G8+H4</f>
        <v>44</v>
      </c>
      <c r="J4" s="133">
        <v>40.700000000000003</v>
      </c>
      <c r="K4" s="133">
        <v>30</v>
      </c>
      <c r="L4" s="133">
        <v>0</v>
      </c>
      <c r="M4" s="133">
        <v>16</v>
      </c>
      <c r="N4" s="133">
        <f>J4+K4+L4</f>
        <v>70.7</v>
      </c>
      <c r="O4" s="133">
        <f>(N4-I4)</f>
        <v>26.700000000000003</v>
      </c>
      <c r="P4" s="133">
        <f>M4-O4</f>
        <v>-10.700000000000003</v>
      </c>
      <c r="Q4" s="145">
        <f>ROUND(((P4/O4))*100,2)</f>
        <v>-40.07</v>
      </c>
      <c r="R4" s="6" t="s">
        <v>86</v>
      </c>
    </row>
    <row r="5" spans="1:20" x14ac:dyDescent="0.35">
      <c r="A5" s="84" t="s">
        <v>411</v>
      </c>
      <c r="B5" s="85" t="s">
        <v>412</v>
      </c>
      <c r="C5" s="25">
        <v>100</v>
      </c>
      <c r="D5" s="69">
        <v>76</v>
      </c>
      <c r="E5" s="28">
        <f>C5*D5</f>
        <v>7600</v>
      </c>
      <c r="F5" s="31">
        <v>0.97</v>
      </c>
      <c r="G5" s="66">
        <f>ROUND((E5/F5),2)</f>
        <v>7835.05</v>
      </c>
      <c r="H5" s="134"/>
      <c r="I5" s="134"/>
      <c r="J5" s="134"/>
      <c r="K5" s="134"/>
      <c r="L5" s="134"/>
      <c r="M5" s="134"/>
      <c r="N5" s="134"/>
      <c r="O5" s="134"/>
      <c r="P5" s="134"/>
      <c r="Q5" s="146"/>
      <c r="S5">
        <v>16</v>
      </c>
    </row>
    <row r="6" spans="1:20" x14ac:dyDescent="0.35">
      <c r="A6" s="84" t="s">
        <v>442</v>
      </c>
      <c r="B6" s="85" t="s">
        <v>396</v>
      </c>
      <c r="C6" s="25">
        <v>100</v>
      </c>
      <c r="D6" s="69">
        <v>30</v>
      </c>
      <c r="E6" s="28">
        <f>C6*D6</f>
        <v>3000</v>
      </c>
      <c r="F6" s="31">
        <v>0.97</v>
      </c>
      <c r="G6" s="66">
        <f>ROUND((E6/F6),2)</f>
        <v>3092.78</v>
      </c>
      <c r="H6" s="134"/>
      <c r="I6" s="134"/>
      <c r="J6" s="134"/>
      <c r="K6" s="134"/>
      <c r="L6" s="134"/>
      <c r="M6" s="134"/>
      <c r="N6" s="134"/>
      <c r="O6" s="134"/>
      <c r="P6" s="134"/>
      <c r="Q6" s="146"/>
    </row>
    <row r="7" spans="1:20" ht="15" thickBot="1" x14ac:dyDescent="0.4">
      <c r="A7" s="86" t="s">
        <v>486</v>
      </c>
      <c r="B7" s="77" t="s">
        <v>397</v>
      </c>
      <c r="C7" s="26">
        <v>100</v>
      </c>
      <c r="D7" s="70">
        <v>8</v>
      </c>
      <c r="E7" s="29">
        <f>C7*D7</f>
        <v>800</v>
      </c>
      <c r="F7" s="32">
        <v>0.97</v>
      </c>
      <c r="G7" s="67">
        <f>ROUND((E7/F7),2)</f>
        <v>824.74</v>
      </c>
      <c r="H7" s="135"/>
      <c r="I7" s="135"/>
      <c r="J7" s="135"/>
      <c r="K7" s="135"/>
      <c r="L7" s="135"/>
      <c r="M7" s="135"/>
      <c r="N7" s="135"/>
      <c r="O7" s="135"/>
      <c r="P7" s="135"/>
      <c r="Q7" s="147"/>
      <c r="R7" s="6" t="s">
        <v>82</v>
      </c>
    </row>
    <row r="8" spans="1:20" x14ac:dyDescent="0.35">
      <c r="A8" s="81"/>
      <c r="B8" s="81"/>
      <c r="C8" s="82"/>
      <c r="D8" s="28"/>
      <c r="E8" s="28"/>
      <c r="F8" s="31"/>
      <c r="G8" s="119">
        <f>ROUND(SUM(G4:G7)/1000,2)</f>
        <v>40</v>
      </c>
      <c r="H8" s="64"/>
      <c r="I8" s="64"/>
      <c r="J8" s="64"/>
      <c r="K8" s="64"/>
      <c r="L8" s="64"/>
      <c r="M8" s="64"/>
      <c r="N8" s="64"/>
      <c r="O8" s="64"/>
      <c r="P8" s="64"/>
      <c r="Q8" s="83"/>
      <c r="S8">
        <v>40.700000000000003</v>
      </c>
    </row>
    <row r="9" spans="1:20" x14ac:dyDescent="0.35">
      <c r="A9" s="81"/>
      <c r="B9" s="81"/>
      <c r="C9" s="82"/>
      <c r="D9" s="28"/>
      <c r="E9" s="28"/>
      <c r="F9" s="31"/>
      <c r="G9" s="66"/>
      <c r="H9" s="64"/>
      <c r="I9" s="64"/>
      <c r="J9" s="64"/>
      <c r="K9" s="64"/>
      <c r="L9" s="64"/>
      <c r="M9" s="64"/>
      <c r="N9" s="64"/>
      <c r="O9" s="64"/>
      <c r="P9" s="64"/>
      <c r="Q9" s="83"/>
    </row>
    <row r="10" spans="1:20" x14ac:dyDescent="0.35">
      <c r="A10" s="81"/>
      <c r="B10" s="81"/>
      <c r="C10" s="82"/>
      <c r="D10" s="79"/>
      <c r="E10" s="79"/>
      <c r="F10" s="31"/>
      <c r="G10" s="80"/>
      <c r="R10" s="6" t="s">
        <v>579</v>
      </c>
      <c r="S10" s="6"/>
    </row>
    <row r="11" spans="1:20" ht="18.5" customHeight="1" x14ac:dyDescent="0.35">
      <c r="A11" s="81"/>
      <c r="B11" s="81"/>
      <c r="C11" s="82"/>
      <c r="D11" s="79"/>
      <c r="E11" s="79"/>
      <c r="F11" s="31"/>
      <c r="G11" s="80"/>
      <c r="R11" s="57">
        <v>45574</v>
      </c>
      <c r="S11">
        <v>20</v>
      </c>
      <c r="T11" s="122" t="s">
        <v>576</v>
      </c>
    </row>
    <row r="12" spans="1:20" ht="16.5" customHeight="1" x14ac:dyDescent="0.35">
      <c r="A12" s="81"/>
      <c r="B12" s="81"/>
      <c r="C12" s="82"/>
      <c r="D12" s="79"/>
      <c r="E12" s="79"/>
      <c r="F12" s="31"/>
      <c r="G12" s="80"/>
      <c r="Q12" s="154" t="s">
        <v>582</v>
      </c>
      <c r="R12" s="57">
        <v>45580</v>
      </c>
      <c r="S12">
        <v>10</v>
      </c>
      <c r="T12" s="122" t="s">
        <v>577</v>
      </c>
    </row>
    <row r="13" spans="1:20" x14ac:dyDescent="0.35">
      <c r="A13" s="81"/>
      <c r="B13" s="81"/>
      <c r="C13" s="82"/>
      <c r="D13" s="79"/>
      <c r="E13" s="79"/>
      <c r="F13" s="31"/>
      <c r="G13" s="80"/>
    </row>
    <row r="14" spans="1:20" x14ac:dyDescent="0.35">
      <c r="A14" s="81"/>
      <c r="B14" s="81"/>
      <c r="C14" s="82"/>
      <c r="D14" s="79"/>
      <c r="E14" s="79"/>
      <c r="F14" s="31"/>
      <c r="G14" s="80"/>
      <c r="R14" s="6" t="s">
        <v>540</v>
      </c>
    </row>
    <row r="15" spans="1:20" ht="16" customHeight="1" x14ac:dyDescent="0.35">
      <c r="A15" s="81"/>
      <c r="B15" s="81"/>
      <c r="C15" s="82"/>
      <c r="D15" s="79"/>
      <c r="E15" s="79"/>
      <c r="F15" s="31"/>
      <c r="G15" s="80"/>
      <c r="R15" s="57">
        <v>45575</v>
      </c>
      <c r="S15">
        <v>4</v>
      </c>
      <c r="T15" s="122" t="s">
        <v>578</v>
      </c>
    </row>
  </sheetData>
  <mergeCells count="10">
    <mergeCell ref="N4:N7"/>
    <mergeCell ref="O4:O7"/>
    <mergeCell ref="P4:P7"/>
    <mergeCell ref="Q4:Q7"/>
    <mergeCell ref="H4:H7"/>
    <mergeCell ref="I4:I7"/>
    <mergeCell ref="J4:J7"/>
    <mergeCell ref="K4:K7"/>
    <mergeCell ref="L4:L7"/>
    <mergeCell ref="M4:M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MieKalguksu_Button1_Click">
                <anchor moveWithCells="1" sizeWithCells="1">
                  <from>
                    <xdr:col>1</xdr:col>
                    <xdr:colOff>0</xdr:colOff>
                    <xdr:row>8</xdr:row>
                    <xdr:rowOff>19050</xdr:rowOff>
                  </from>
                  <to>
                    <xdr:col>1</xdr:col>
                    <xdr:colOff>971550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Button3_Click">
                <anchor moveWithCells="1" sizeWithCells="1">
                  <from>
                    <xdr:col>1</xdr:col>
                    <xdr:colOff>1206500</xdr:colOff>
                    <xdr:row>8</xdr:row>
                    <xdr:rowOff>25400</xdr:rowOff>
                  </from>
                  <to>
                    <xdr:col>1</xdr:col>
                    <xdr:colOff>2114550</xdr:colOff>
                    <xdr:row>9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34376-125F-4AE6-A4DD-83E187B32708}">
  <sheetPr codeName="Sheet10"/>
  <dimension ref="A2:U19"/>
  <sheetViews>
    <sheetView topLeftCell="A7" zoomScale="80" zoomScaleNormal="80" workbookViewId="0">
      <selection activeCell="O4" sqref="O4:O17"/>
    </sheetView>
  </sheetViews>
  <sheetFormatPr defaultRowHeight="14.5" x14ac:dyDescent="0.35"/>
  <cols>
    <col min="1" max="1" width="11.54296875" bestFit="1" customWidth="1"/>
    <col min="2" max="2" width="35.81640625" bestFit="1" customWidth="1"/>
    <col min="5" max="5" width="11.08984375" customWidth="1"/>
    <col min="7" max="7" width="9.1796875" bestFit="1" customWidth="1"/>
    <col min="15" max="15" width="14.1796875" bestFit="1" customWidth="1"/>
    <col min="17" max="17" width="32.81640625" bestFit="1" customWidth="1"/>
    <col min="18" max="19" width="10.81640625" bestFit="1" customWidth="1"/>
  </cols>
  <sheetData>
    <row r="2" spans="1:21" ht="15" thickBot="1" x14ac:dyDescent="0.4">
      <c r="E2" s="5" t="s">
        <v>50</v>
      </c>
      <c r="F2" s="1"/>
      <c r="G2" s="5" t="s">
        <v>51</v>
      </c>
      <c r="H2" s="5" t="s">
        <v>52</v>
      </c>
      <c r="J2" s="7" t="s">
        <v>57</v>
      </c>
      <c r="K2" s="7" t="s">
        <v>58</v>
      </c>
      <c r="L2" s="7" t="s">
        <v>59</v>
      </c>
    </row>
    <row r="3" spans="1:21" ht="117" thickTop="1" thickBot="1" x14ac:dyDescent="0.4">
      <c r="A3" s="105" t="s">
        <v>0</v>
      </c>
      <c r="B3" s="106" t="s">
        <v>1</v>
      </c>
      <c r="C3" s="107" t="s">
        <v>2</v>
      </c>
      <c r="D3" s="108" t="s">
        <v>54</v>
      </c>
      <c r="E3" s="109" t="s">
        <v>53</v>
      </c>
      <c r="F3" s="108" t="s">
        <v>3</v>
      </c>
      <c r="G3" s="108" t="s">
        <v>55</v>
      </c>
      <c r="H3" s="108" t="s">
        <v>69</v>
      </c>
      <c r="I3" s="110" t="s">
        <v>68</v>
      </c>
      <c r="J3" s="108" t="s">
        <v>61</v>
      </c>
      <c r="K3" s="108" t="s">
        <v>62</v>
      </c>
      <c r="L3" s="108" t="s">
        <v>63</v>
      </c>
      <c r="M3" s="108" t="s">
        <v>64</v>
      </c>
      <c r="N3" s="111" t="s">
        <v>60</v>
      </c>
      <c r="O3" s="112" t="s">
        <v>65</v>
      </c>
      <c r="P3" s="113" t="s">
        <v>66</v>
      </c>
      <c r="Q3" s="114" t="s">
        <v>104</v>
      </c>
    </row>
    <row r="4" spans="1:21" x14ac:dyDescent="0.35">
      <c r="A4" t="s">
        <v>487</v>
      </c>
      <c r="B4" s="85" t="s">
        <v>269</v>
      </c>
      <c r="C4" s="25">
        <v>200</v>
      </c>
      <c r="D4" s="68">
        <v>14</v>
      </c>
      <c r="E4" s="27">
        <f t="shared" ref="E4:E17" si="0">C4*D4</f>
        <v>2800</v>
      </c>
      <c r="F4" s="30">
        <v>0.97</v>
      </c>
      <c r="G4" s="65">
        <f>ROUND((E4/F4),2)</f>
        <v>2886.6</v>
      </c>
      <c r="H4" s="133">
        <v>0</v>
      </c>
      <c r="I4" s="133">
        <f>D19+H4</f>
        <v>32.456400000000002</v>
      </c>
      <c r="J4" s="133">
        <v>55</v>
      </c>
      <c r="K4" s="133">
        <v>40</v>
      </c>
      <c r="L4" s="133">
        <v>0</v>
      </c>
      <c r="M4" s="133">
        <v>50</v>
      </c>
      <c r="N4" s="133">
        <f>J4+K4+L4</f>
        <v>95</v>
      </c>
      <c r="O4" s="133">
        <f>(N4-I4)</f>
        <v>62.543599999999998</v>
      </c>
      <c r="P4" s="133">
        <f>M4-O4</f>
        <v>-12.543599999999998</v>
      </c>
      <c r="Q4" s="149">
        <f>ROUND(((P4/O4))*100,2)</f>
        <v>-20.059999999999999</v>
      </c>
      <c r="R4" t="s">
        <v>86</v>
      </c>
    </row>
    <row r="5" spans="1:21" x14ac:dyDescent="0.35">
      <c r="A5" s="98" t="s">
        <v>447</v>
      </c>
      <c r="B5" s="85" t="s">
        <v>448</v>
      </c>
      <c r="C5" s="25">
        <v>200</v>
      </c>
      <c r="D5" s="69">
        <v>30</v>
      </c>
      <c r="E5" s="28">
        <f t="shared" si="0"/>
        <v>6000</v>
      </c>
      <c r="F5" s="31">
        <v>0.97</v>
      </c>
      <c r="G5" s="66">
        <f>ROUND((E5/F5),2)</f>
        <v>6185.57</v>
      </c>
      <c r="H5" s="134"/>
      <c r="I5" s="134"/>
      <c r="J5" s="134"/>
      <c r="K5" s="134"/>
      <c r="L5" s="134"/>
      <c r="M5" s="134"/>
      <c r="N5" s="134"/>
      <c r="O5" s="134"/>
      <c r="P5" s="134"/>
      <c r="Q5" s="150"/>
      <c r="S5">
        <v>50</v>
      </c>
    </row>
    <row r="6" spans="1:21" x14ac:dyDescent="0.35">
      <c r="A6" s="98" t="s">
        <v>485</v>
      </c>
      <c r="B6" s="85" t="s">
        <v>26</v>
      </c>
      <c r="C6" s="25">
        <v>200</v>
      </c>
      <c r="D6" s="69">
        <v>18</v>
      </c>
      <c r="E6" s="28">
        <f t="shared" si="0"/>
        <v>3600</v>
      </c>
      <c r="F6" s="31">
        <v>0.97</v>
      </c>
      <c r="G6" s="66">
        <f>ROUND((E6/F6),2)</f>
        <v>3711.34</v>
      </c>
      <c r="H6" s="134"/>
      <c r="I6" s="134"/>
      <c r="J6" s="134"/>
      <c r="K6" s="134"/>
      <c r="L6" s="134"/>
      <c r="M6" s="134"/>
      <c r="N6" s="134"/>
      <c r="O6" s="134"/>
      <c r="P6" s="134"/>
      <c r="Q6" s="150"/>
    </row>
    <row r="7" spans="1:21" x14ac:dyDescent="0.35">
      <c r="A7" s="98" t="s">
        <v>497</v>
      </c>
      <c r="B7" s="85" t="s">
        <v>498</v>
      </c>
      <c r="C7" s="25">
        <v>200</v>
      </c>
      <c r="D7" s="69">
        <v>10</v>
      </c>
      <c r="E7" s="28">
        <f t="shared" si="0"/>
        <v>2000</v>
      </c>
      <c r="F7" s="31">
        <v>0.97</v>
      </c>
      <c r="G7" s="66">
        <f>ROUND((E7/F7),2)</f>
        <v>2061.86</v>
      </c>
      <c r="H7" s="134"/>
      <c r="I7" s="134"/>
      <c r="J7" s="134"/>
      <c r="K7" s="134"/>
      <c r="L7" s="134"/>
      <c r="M7" s="134"/>
      <c r="N7" s="134"/>
      <c r="O7" s="134"/>
      <c r="P7" s="134"/>
      <c r="Q7" s="150"/>
      <c r="R7" t="s">
        <v>580</v>
      </c>
    </row>
    <row r="8" spans="1:21" x14ac:dyDescent="0.35">
      <c r="A8" s="98" t="s">
        <v>456</v>
      </c>
      <c r="B8" s="85" t="s">
        <v>457</v>
      </c>
      <c r="C8" s="25">
        <v>200</v>
      </c>
      <c r="D8" s="69">
        <v>14</v>
      </c>
      <c r="E8" s="28">
        <f t="shared" si="0"/>
        <v>2800</v>
      </c>
      <c r="F8" s="31">
        <v>0.97</v>
      </c>
      <c r="G8" s="66">
        <f>ROUND((E8/F8),2)</f>
        <v>2886.6</v>
      </c>
      <c r="H8" s="134"/>
      <c r="I8" s="134"/>
      <c r="J8" s="134"/>
      <c r="K8" s="134"/>
      <c r="L8" s="134"/>
      <c r="M8" s="134"/>
      <c r="N8" s="134"/>
      <c r="O8" s="134"/>
      <c r="P8" s="134"/>
      <c r="Q8" s="150"/>
      <c r="S8">
        <v>55</v>
      </c>
    </row>
    <row r="9" spans="1:21" x14ac:dyDescent="0.35">
      <c r="A9" s="98" t="s">
        <v>483</v>
      </c>
      <c r="B9" s="85" t="s">
        <v>484</v>
      </c>
      <c r="C9" s="25">
        <v>180</v>
      </c>
      <c r="D9" s="69">
        <v>27</v>
      </c>
      <c r="E9" s="28">
        <f t="shared" si="0"/>
        <v>4860</v>
      </c>
      <c r="F9" s="31">
        <v>0.97</v>
      </c>
      <c r="G9" s="66">
        <f t="shared" ref="G9:G17" si="1">E9/F9</f>
        <v>5010.3092783505153</v>
      </c>
      <c r="H9" s="134"/>
      <c r="I9" s="134"/>
      <c r="J9" s="134"/>
      <c r="K9" s="134"/>
      <c r="L9" s="134"/>
      <c r="M9" s="134"/>
      <c r="N9" s="134"/>
      <c r="O9" s="134"/>
      <c r="P9" s="134"/>
      <c r="Q9" s="150"/>
    </row>
    <row r="10" spans="1:21" x14ac:dyDescent="0.35">
      <c r="A10" s="98" t="s">
        <v>506</v>
      </c>
      <c r="B10" s="85" t="s">
        <v>507</v>
      </c>
      <c r="C10" s="25">
        <v>180</v>
      </c>
      <c r="D10" s="78">
        <v>21</v>
      </c>
      <c r="E10" s="79">
        <f t="shared" si="0"/>
        <v>3780</v>
      </c>
      <c r="F10" s="31">
        <v>0.97</v>
      </c>
      <c r="G10" s="80">
        <f t="shared" si="1"/>
        <v>3896.9072164948457</v>
      </c>
      <c r="H10" s="134"/>
      <c r="I10" s="134"/>
      <c r="J10" s="134"/>
      <c r="K10" s="134"/>
      <c r="L10" s="134"/>
      <c r="M10" s="134"/>
      <c r="N10" s="134"/>
      <c r="O10" s="134"/>
      <c r="P10" s="134"/>
      <c r="Q10" s="150"/>
      <c r="R10" t="s">
        <v>579</v>
      </c>
    </row>
    <row r="11" spans="1:21" x14ac:dyDescent="0.35">
      <c r="A11" s="98" t="s">
        <v>508</v>
      </c>
      <c r="B11" s="85" t="s">
        <v>509</v>
      </c>
      <c r="C11" s="25">
        <v>180</v>
      </c>
      <c r="D11" s="78">
        <v>29</v>
      </c>
      <c r="E11" s="79">
        <f t="shared" si="0"/>
        <v>5220</v>
      </c>
      <c r="F11" s="31">
        <v>0.97</v>
      </c>
      <c r="G11" s="80">
        <f t="shared" si="1"/>
        <v>5381.4432989690722</v>
      </c>
      <c r="H11" s="134"/>
      <c r="I11" s="134"/>
      <c r="J11" s="134"/>
      <c r="K11" s="134"/>
      <c r="L11" s="134"/>
      <c r="M11" s="134"/>
      <c r="N11" s="134"/>
      <c r="O11" s="134"/>
      <c r="P11" s="134"/>
      <c r="Q11" s="150"/>
      <c r="S11" s="57">
        <v>45579</v>
      </c>
      <c r="T11">
        <v>40</v>
      </c>
      <c r="U11" t="s">
        <v>581</v>
      </c>
    </row>
    <row r="12" spans="1:21" x14ac:dyDescent="0.35">
      <c r="A12" s="98" t="s">
        <v>510</v>
      </c>
      <c r="B12" s="85" t="s">
        <v>511</v>
      </c>
      <c r="C12" s="25">
        <v>180</v>
      </c>
      <c r="D12" s="78">
        <v>44</v>
      </c>
      <c r="E12" s="79">
        <f t="shared" si="0"/>
        <v>7920</v>
      </c>
      <c r="F12" s="31">
        <v>0.97</v>
      </c>
      <c r="G12" s="80">
        <f t="shared" si="1"/>
        <v>8164.9484536082473</v>
      </c>
      <c r="H12" s="134"/>
      <c r="I12" s="134"/>
      <c r="J12" s="134"/>
      <c r="K12" s="134"/>
      <c r="L12" s="134"/>
      <c r="M12" s="134"/>
      <c r="N12" s="134"/>
      <c r="O12" s="134"/>
      <c r="P12" s="134"/>
      <c r="Q12" s="150"/>
    </row>
    <row r="13" spans="1:21" x14ac:dyDescent="0.35">
      <c r="A13" s="98" t="s">
        <v>512</v>
      </c>
      <c r="B13" s="85" t="s">
        <v>513</v>
      </c>
      <c r="C13" s="25">
        <v>180</v>
      </c>
      <c r="D13" s="78">
        <v>33</v>
      </c>
      <c r="E13" s="79">
        <f t="shared" si="0"/>
        <v>5940</v>
      </c>
      <c r="F13" s="31">
        <v>0.97</v>
      </c>
      <c r="G13" s="80">
        <f t="shared" si="1"/>
        <v>6123.7113402061859</v>
      </c>
      <c r="H13" s="134"/>
      <c r="I13" s="134"/>
      <c r="J13" s="134"/>
      <c r="K13" s="134"/>
      <c r="L13" s="134"/>
      <c r="M13" s="134"/>
      <c r="N13" s="134"/>
      <c r="O13" s="134"/>
      <c r="P13" s="134"/>
      <c r="Q13" s="150"/>
    </row>
    <row r="14" spans="1:21" x14ac:dyDescent="0.35">
      <c r="A14" s="98" t="s">
        <v>514</v>
      </c>
      <c r="B14" s="85" t="s">
        <v>515</v>
      </c>
      <c r="C14" s="25">
        <v>180</v>
      </c>
      <c r="D14" s="78">
        <v>45</v>
      </c>
      <c r="E14" s="79">
        <f t="shared" si="0"/>
        <v>8100</v>
      </c>
      <c r="F14" s="31">
        <v>0.97</v>
      </c>
      <c r="G14" s="80">
        <f t="shared" si="1"/>
        <v>8350.5154639175253</v>
      </c>
      <c r="H14" s="134"/>
      <c r="I14" s="134"/>
      <c r="J14" s="134"/>
      <c r="K14" s="134"/>
      <c r="L14" s="134"/>
      <c r="M14" s="134"/>
      <c r="N14" s="134"/>
      <c r="O14" s="134"/>
      <c r="P14" s="134"/>
      <c r="Q14" s="150"/>
    </row>
    <row r="15" spans="1:21" x14ac:dyDescent="0.35">
      <c r="A15" s="98" t="s">
        <v>516</v>
      </c>
      <c r="B15" s="85" t="s">
        <v>517</v>
      </c>
      <c r="C15" s="115">
        <v>180</v>
      </c>
      <c r="D15" s="79">
        <v>8</v>
      </c>
      <c r="E15" s="79">
        <f t="shared" si="0"/>
        <v>1440</v>
      </c>
      <c r="F15" s="31">
        <v>0.97</v>
      </c>
      <c r="G15" s="80">
        <f t="shared" si="1"/>
        <v>1484.5360824742268</v>
      </c>
      <c r="H15" s="134"/>
      <c r="I15" s="134"/>
      <c r="J15" s="134"/>
      <c r="K15" s="134"/>
      <c r="L15" s="134"/>
      <c r="M15" s="134"/>
      <c r="N15" s="134"/>
      <c r="O15" s="134"/>
      <c r="P15" s="134"/>
      <c r="Q15" s="150"/>
    </row>
    <row r="16" spans="1:21" x14ac:dyDescent="0.35">
      <c r="A16" s="98" t="s">
        <v>407</v>
      </c>
      <c r="B16" s="85" t="s">
        <v>408</v>
      </c>
      <c r="C16" s="115">
        <v>100</v>
      </c>
      <c r="D16" s="79">
        <v>112</v>
      </c>
      <c r="E16" s="79">
        <f t="shared" si="0"/>
        <v>11200</v>
      </c>
      <c r="F16" s="31">
        <v>0.97</v>
      </c>
      <c r="G16" s="80">
        <f t="shared" si="1"/>
        <v>11546.391752577319</v>
      </c>
      <c r="H16" s="134"/>
      <c r="I16" s="134"/>
      <c r="J16" s="134"/>
      <c r="K16" s="134"/>
      <c r="L16" s="134"/>
      <c r="M16" s="134"/>
      <c r="N16" s="134"/>
      <c r="O16" s="134"/>
      <c r="P16" s="134"/>
      <c r="Q16" s="150"/>
    </row>
    <row r="17" spans="1:17" ht="15" thickBot="1" x14ac:dyDescent="0.4">
      <c r="A17" s="99" t="s">
        <v>413</v>
      </c>
      <c r="B17" s="76" t="s">
        <v>27</v>
      </c>
      <c r="C17" s="116">
        <v>180</v>
      </c>
      <c r="D17" s="117">
        <v>42</v>
      </c>
      <c r="E17" s="102">
        <f t="shared" si="0"/>
        <v>7560</v>
      </c>
      <c r="F17" s="103">
        <v>0.97</v>
      </c>
      <c r="G17" s="104">
        <f t="shared" si="1"/>
        <v>7793.8144329896913</v>
      </c>
      <c r="H17" s="148"/>
      <c r="I17" s="148"/>
      <c r="J17" s="148"/>
      <c r="K17" s="148"/>
      <c r="L17" s="148"/>
      <c r="M17" s="148"/>
      <c r="N17" s="148"/>
      <c r="O17" s="148"/>
      <c r="P17" s="148"/>
      <c r="Q17" s="151"/>
    </row>
    <row r="18" spans="1:17" ht="15" thickTop="1" x14ac:dyDescent="0.35">
      <c r="G18" s="119">
        <f>ROUND(SUM(G4:G17)/1000,2)</f>
        <v>75.48</v>
      </c>
    </row>
    <row r="19" spans="1:17" x14ac:dyDescent="0.35">
      <c r="C19" s="44">
        <v>0.43</v>
      </c>
      <c r="D19">
        <f>G18*C19</f>
        <v>32.456400000000002</v>
      </c>
    </row>
  </sheetData>
  <mergeCells count="10">
    <mergeCell ref="N4:N17"/>
    <mergeCell ref="O4:O17"/>
    <mergeCell ref="P4:P17"/>
    <mergeCell ref="Q4:Q17"/>
    <mergeCell ref="H4:H17"/>
    <mergeCell ref="I4:I17"/>
    <mergeCell ref="J4:J17"/>
    <mergeCell ref="K4:K17"/>
    <mergeCell ref="L4:L17"/>
    <mergeCell ref="M4:M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BerasHG_Button1_Click">
                <anchor moveWithCells="1" sizeWithCells="1">
                  <from>
                    <xdr:col>0</xdr:col>
                    <xdr:colOff>495300</xdr:colOff>
                    <xdr:row>17</xdr:row>
                    <xdr:rowOff>184150</xdr:rowOff>
                  </from>
                  <to>
                    <xdr:col>1</xdr:col>
                    <xdr:colOff>546100</xdr:colOff>
                    <xdr:row>19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BerasHG_Button2_Click">
                <anchor moveWithCells="1" sizeWithCells="1">
                  <from>
                    <xdr:col>1</xdr:col>
                    <xdr:colOff>787400</xdr:colOff>
                    <xdr:row>18</xdr:row>
                    <xdr:rowOff>0</xdr:rowOff>
                  </from>
                  <to>
                    <xdr:col>1</xdr:col>
                    <xdr:colOff>1606550</xdr:colOff>
                    <xdr:row>19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B702E-D0EB-43BE-A938-63869EAA54B0}">
  <sheetPr codeName="Sheet11"/>
  <dimension ref="A2:Q15"/>
  <sheetViews>
    <sheetView topLeftCell="B1" zoomScale="80" zoomScaleNormal="80" workbookViewId="0">
      <selection activeCell="C12" sqref="C12"/>
    </sheetView>
  </sheetViews>
  <sheetFormatPr defaultRowHeight="14.5" x14ac:dyDescent="0.35"/>
  <cols>
    <col min="1" max="1" width="11.54296875" bestFit="1" customWidth="1"/>
    <col min="2" max="2" width="35.81640625" bestFit="1" customWidth="1"/>
    <col min="17" max="17" width="32.81640625" bestFit="1" customWidth="1"/>
  </cols>
  <sheetData>
    <row r="2" spans="1:17" ht="15" thickBot="1" x14ac:dyDescent="0.4">
      <c r="E2" s="5" t="s">
        <v>50</v>
      </c>
      <c r="F2" s="1"/>
      <c r="G2" s="5" t="s">
        <v>51</v>
      </c>
      <c r="H2" s="5" t="s">
        <v>52</v>
      </c>
      <c r="J2" s="7" t="s">
        <v>57</v>
      </c>
      <c r="K2" s="7" t="s">
        <v>58</v>
      </c>
      <c r="L2" s="7" t="s">
        <v>59</v>
      </c>
    </row>
    <row r="3" spans="1:17" ht="116.5" thickBot="1" x14ac:dyDescent="0.4">
      <c r="A3" s="89" t="s">
        <v>0</v>
      </c>
      <c r="B3" s="90" t="s">
        <v>1</v>
      </c>
      <c r="C3" s="61" t="s">
        <v>2</v>
      </c>
      <c r="D3" s="38" t="s">
        <v>54</v>
      </c>
      <c r="E3" s="39" t="s">
        <v>53</v>
      </c>
      <c r="F3" s="38" t="s">
        <v>3</v>
      </c>
      <c r="G3" s="38" t="s">
        <v>55</v>
      </c>
      <c r="H3" s="38" t="s">
        <v>69</v>
      </c>
      <c r="I3" s="40" t="s">
        <v>68</v>
      </c>
      <c r="J3" s="38" t="s">
        <v>61</v>
      </c>
      <c r="K3" s="38" t="s">
        <v>62</v>
      </c>
      <c r="L3" s="38" t="s">
        <v>63</v>
      </c>
      <c r="M3" s="38" t="s">
        <v>64</v>
      </c>
      <c r="N3" s="41" t="s">
        <v>60</v>
      </c>
      <c r="O3" s="42" t="s">
        <v>65</v>
      </c>
      <c r="P3" s="43" t="s">
        <v>66</v>
      </c>
      <c r="Q3" s="62" t="s">
        <v>104</v>
      </c>
    </row>
    <row r="4" spans="1:17" ht="15" thickTop="1" x14ac:dyDescent="0.35">
      <c r="A4" s="91" t="s">
        <v>400</v>
      </c>
      <c r="B4" s="92" t="s">
        <v>401</v>
      </c>
      <c r="C4" s="93">
        <v>1</v>
      </c>
      <c r="D4" s="94">
        <v>734</v>
      </c>
      <c r="E4" s="95">
        <f t="shared" ref="E4:E11" si="0">C4*D4</f>
        <v>734</v>
      </c>
      <c r="F4" s="96">
        <v>0.97</v>
      </c>
      <c r="G4" s="97">
        <f>ROUND((E4/F4),2)</f>
        <v>756.7</v>
      </c>
      <c r="H4" s="152">
        <v>0</v>
      </c>
      <c r="I4" s="152">
        <f>G10+H4</f>
        <v>304.12371134020617</v>
      </c>
      <c r="J4" s="152">
        <v>1.84</v>
      </c>
      <c r="K4" s="152">
        <v>72.94</v>
      </c>
      <c r="L4" s="152">
        <v>0</v>
      </c>
      <c r="M4" s="152">
        <v>65.34</v>
      </c>
      <c r="N4" s="152">
        <f>J4+K4+L4</f>
        <v>74.78</v>
      </c>
      <c r="O4" s="152">
        <f>(N4-I4)</f>
        <v>-229.34371134020617</v>
      </c>
      <c r="P4" s="152">
        <f>M4-O4</f>
        <v>294.68371134020617</v>
      </c>
      <c r="Q4" s="153">
        <f>ROUND(((P4/O4))*100,2)</f>
        <v>-128.49</v>
      </c>
    </row>
    <row r="5" spans="1:17" x14ac:dyDescent="0.35">
      <c r="A5" s="98" t="s">
        <v>430</v>
      </c>
      <c r="B5" s="85" t="s">
        <v>431</v>
      </c>
      <c r="C5" s="25">
        <v>1</v>
      </c>
      <c r="D5" s="69">
        <v>84</v>
      </c>
      <c r="E5" s="28">
        <f t="shared" si="0"/>
        <v>84</v>
      </c>
      <c r="F5" s="31">
        <v>0.97</v>
      </c>
      <c r="G5" s="66">
        <f>ROUND((E5/F5),2)</f>
        <v>86.6</v>
      </c>
      <c r="H5" s="134"/>
      <c r="I5" s="134"/>
      <c r="J5" s="134"/>
      <c r="K5" s="134"/>
      <c r="L5" s="134"/>
      <c r="M5" s="134"/>
      <c r="N5" s="134"/>
      <c r="O5" s="134"/>
      <c r="P5" s="134"/>
      <c r="Q5" s="150"/>
    </row>
    <row r="6" spans="1:17" x14ac:dyDescent="0.35">
      <c r="A6" s="98" t="s">
        <v>439</v>
      </c>
      <c r="B6" s="85" t="s">
        <v>440</v>
      </c>
      <c r="C6" s="25">
        <v>1</v>
      </c>
      <c r="D6" s="69">
        <v>59</v>
      </c>
      <c r="E6" s="28">
        <f t="shared" si="0"/>
        <v>59</v>
      </c>
      <c r="F6" s="31">
        <v>0.97</v>
      </c>
      <c r="G6" s="66">
        <f>ROUND((E6/F6),2)</f>
        <v>60.82</v>
      </c>
      <c r="H6" s="134"/>
      <c r="I6" s="134"/>
      <c r="J6" s="134"/>
      <c r="K6" s="134"/>
      <c r="L6" s="134"/>
      <c r="M6" s="134"/>
      <c r="N6" s="134"/>
      <c r="O6" s="134"/>
      <c r="P6" s="134"/>
      <c r="Q6" s="150"/>
    </row>
    <row r="7" spans="1:17" x14ac:dyDescent="0.35">
      <c r="A7" s="98" t="s">
        <v>503</v>
      </c>
      <c r="B7" s="85" t="s">
        <v>504</v>
      </c>
      <c r="C7" s="25">
        <v>1</v>
      </c>
      <c r="D7" s="69">
        <v>29</v>
      </c>
      <c r="E7" s="28">
        <f t="shared" si="0"/>
        <v>29</v>
      </c>
      <c r="F7" s="31">
        <v>0.97</v>
      </c>
      <c r="G7" s="66">
        <f>ROUND((E7/F7),2)</f>
        <v>29.9</v>
      </c>
      <c r="H7" s="134"/>
      <c r="I7" s="134"/>
      <c r="J7" s="134"/>
      <c r="K7" s="134"/>
      <c r="L7" s="134"/>
      <c r="M7" s="134"/>
      <c r="N7" s="134"/>
      <c r="O7" s="134"/>
      <c r="P7" s="134"/>
      <c r="Q7" s="150"/>
    </row>
    <row r="8" spans="1:17" x14ac:dyDescent="0.35">
      <c r="A8" s="98" t="s">
        <v>508</v>
      </c>
      <c r="B8" s="85" t="s">
        <v>509</v>
      </c>
      <c r="C8" s="25">
        <v>2</v>
      </c>
      <c r="D8" s="69">
        <v>169</v>
      </c>
      <c r="E8" s="28">
        <f t="shared" si="0"/>
        <v>338</v>
      </c>
      <c r="F8" s="31">
        <v>0.97</v>
      </c>
      <c r="G8" s="66">
        <f>ROUND((E8/F8),2)</f>
        <v>348.45</v>
      </c>
      <c r="H8" s="134"/>
      <c r="I8" s="134"/>
      <c r="J8" s="134"/>
      <c r="K8" s="134"/>
      <c r="L8" s="134"/>
      <c r="M8" s="134"/>
      <c r="N8" s="134"/>
      <c r="O8" s="134"/>
      <c r="P8" s="134"/>
      <c r="Q8" s="150"/>
    </row>
    <row r="9" spans="1:17" x14ac:dyDescent="0.35">
      <c r="A9" s="98" t="s">
        <v>477</v>
      </c>
      <c r="B9" s="85" t="s">
        <v>478</v>
      </c>
      <c r="C9" s="25">
        <v>5</v>
      </c>
      <c r="D9" s="69">
        <v>30</v>
      </c>
      <c r="E9" s="28">
        <f t="shared" si="0"/>
        <v>150</v>
      </c>
      <c r="F9" s="31">
        <v>0.97</v>
      </c>
      <c r="G9" s="66">
        <f t="shared" ref="G9:G11" si="1">E9/F9</f>
        <v>154.63917525773195</v>
      </c>
      <c r="H9" s="134"/>
      <c r="I9" s="134"/>
      <c r="J9" s="134"/>
      <c r="K9" s="134"/>
      <c r="L9" s="134"/>
      <c r="M9" s="134"/>
      <c r="N9" s="134"/>
      <c r="O9" s="134"/>
      <c r="P9" s="134"/>
      <c r="Q9" s="150"/>
    </row>
    <row r="10" spans="1:17" x14ac:dyDescent="0.35">
      <c r="A10" s="98" t="s">
        <v>479</v>
      </c>
      <c r="B10" s="85" t="s">
        <v>480</v>
      </c>
      <c r="C10" s="25">
        <v>5</v>
      </c>
      <c r="D10" s="78">
        <v>59</v>
      </c>
      <c r="E10" s="79">
        <f t="shared" si="0"/>
        <v>295</v>
      </c>
      <c r="F10" s="31">
        <v>0.97</v>
      </c>
      <c r="G10" s="80">
        <f t="shared" si="1"/>
        <v>304.12371134020617</v>
      </c>
      <c r="H10" s="134"/>
      <c r="I10" s="134"/>
      <c r="J10" s="134"/>
      <c r="K10" s="134"/>
      <c r="L10" s="134"/>
      <c r="M10" s="134"/>
      <c r="N10" s="134"/>
      <c r="O10" s="134"/>
      <c r="P10" s="134"/>
      <c r="Q10" s="150"/>
    </row>
    <row r="11" spans="1:17" ht="15" thickBot="1" x14ac:dyDescent="0.4">
      <c r="A11" s="99" t="s">
        <v>481</v>
      </c>
      <c r="B11" s="76" t="s">
        <v>482</v>
      </c>
      <c r="C11" s="100">
        <v>5</v>
      </c>
      <c r="D11" s="101">
        <v>52</v>
      </c>
      <c r="E11" s="102">
        <f t="shared" si="0"/>
        <v>260</v>
      </c>
      <c r="F11" s="103">
        <v>0.97</v>
      </c>
      <c r="G11" s="104">
        <f t="shared" si="1"/>
        <v>268.04123711340208</v>
      </c>
      <c r="H11" s="148"/>
      <c r="I11" s="148"/>
      <c r="J11" s="148"/>
      <c r="K11" s="148"/>
      <c r="L11" s="148"/>
      <c r="M11" s="148"/>
      <c r="N11" s="148"/>
      <c r="O11" s="148"/>
      <c r="P11" s="148"/>
      <c r="Q11" s="151"/>
    </row>
    <row r="12" spans="1:17" ht="15" thickTop="1" x14ac:dyDescent="0.35">
      <c r="C12" s="118"/>
      <c r="D12" s="79"/>
      <c r="E12" s="79"/>
      <c r="F12" s="31"/>
      <c r="G12" s="119">
        <f>ROUND(SUM(G4:G11)/1000,2)</f>
        <v>2.0099999999999998</v>
      </c>
    </row>
    <row r="13" spans="1:17" x14ac:dyDescent="0.35">
      <c r="C13" s="82"/>
      <c r="D13" s="79"/>
      <c r="E13" s="79"/>
      <c r="F13" s="31"/>
      <c r="G13" s="80"/>
    </row>
    <row r="14" spans="1:17" x14ac:dyDescent="0.35">
      <c r="C14" s="82"/>
      <c r="D14" s="79"/>
      <c r="E14" s="79"/>
      <c r="F14" s="31"/>
      <c r="G14" s="80"/>
    </row>
    <row r="15" spans="1:17" x14ac:dyDescent="0.35">
      <c r="C15" s="82"/>
      <c r="D15" s="79"/>
      <c r="E15" s="79"/>
      <c r="F15" s="31"/>
      <c r="G15" s="80"/>
    </row>
  </sheetData>
  <mergeCells count="10">
    <mergeCell ref="N4:N11"/>
    <mergeCell ref="O4:O11"/>
    <mergeCell ref="P4:P11"/>
    <mergeCell ref="Q4:Q11"/>
    <mergeCell ref="H4:H11"/>
    <mergeCell ref="I4:I11"/>
    <mergeCell ref="J4:J11"/>
    <mergeCell ref="K4:K11"/>
    <mergeCell ref="L4:L11"/>
    <mergeCell ref="M4:M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UdangHG_Button1_Click">
                <anchor moveWithCells="1">
                  <from>
                    <xdr:col>1</xdr:col>
                    <xdr:colOff>120650</xdr:colOff>
                    <xdr:row>11</xdr:row>
                    <xdr:rowOff>165100</xdr:rowOff>
                  </from>
                  <to>
                    <xdr:col>1</xdr:col>
                    <xdr:colOff>1016000</xdr:colOff>
                    <xdr:row>13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UdangHG_Button2_Click">
                <anchor moveWithCells="1" sizeWithCells="1">
                  <from>
                    <xdr:col>1</xdr:col>
                    <xdr:colOff>1238250</xdr:colOff>
                    <xdr:row>11</xdr:row>
                    <xdr:rowOff>171450</xdr:rowOff>
                  </from>
                  <to>
                    <xdr:col>1</xdr:col>
                    <xdr:colOff>2063750</xdr:colOff>
                    <xdr:row>13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768B4-85C2-43E3-9B03-9EA7F9F18C02}">
  <sheetPr codeName="Sheet12"/>
  <dimension ref="A2:Q33"/>
  <sheetViews>
    <sheetView topLeftCell="A10" zoomScale="70" zoomScaleNormal="70" workbookViewId="0">
      <selection activeCell="C10" sqref="C10"/>
    </sheetView>
  </sheetViews>
  <sheetFormatPr defaultRowHeight="14.5" x14ac:dyDescent="0.35"/>
  <cols>
    <col min="1" max="1" width="11.54296875" bestFit="1" customWidth="1"/>
    <col min="2" max="2" width="35.81640625" bestFit="1" customWidth="1"/>
    <col min="17" max="17" width="33.1796875" bestFit="1" customWidth="1"/>
  </cols>
  <sheetData>
    <row r="2" spans="1:17" ht="15" thickBot="1" x14ac:dyDescent="0.4">
      <c r="E2" s="5" t="s">
        <v>50</v>
      </c>
      <c r="F2" s="1"/>
      <c r="G2" s="5" t="s">
        <v>51</v>
      </c>
      <c r="H2" s="5" t="s">
        <v>52</v>
      </c>
      <c r="J2" s="7" t="s">
        <v>57</v>
      </c>
      <c r="K2" s="7" t="s">
        <v>58</v>
      </c>
      <c r="L2" s="7" t="s">
        <v>59</v>
      </c>
    </row>
    <row r="3" spans="1:17" ht="116.5" thickBot="1" x14ac:dyDescent="0.4">
      <c r="A3" s="21" t="s">
        <v>0</v>
      </c>
      <c r="B3" s="22" t="s">
        <v>1</v>
      </c>
      <c r="C3" s="24" t="s">
        <v>2</v>
      </c>
      <c r="D3" s="9" t="s">
        <v>54</v>
      </c>
      <c r="E3" s="10" t="s">
        <v>53</v>
      </c>
      <c r="F3" s="9" t="s">
        <v>3</v>
      </c>
      <c r="G3" s="9" t="s">
        <v>55</v>
      </c>
      <c r="H3" s="9" t="s">
        <v>69</v>
      </c>
      <c r="I3" s="11" t="s">
        <v>68</v>
      </c>
      <c r="J3" s="9" t="s">
        <v>61</v>
      </c>
      <c r="K3" s="9" t="s">
        <v>62</v>
      </c>
      <c r="L3" s="9" t="s">
        <v>63</v>
      </c>
      <c r="M3" s="9" t="s">
        <v>64</v>
      </c>
      <c r="N3" s="12" t="s">
        <v>60</v>
      </c>
      <c r="O3" s="13" t="s">
        <v>65</v>
      </c>
      <c r="P3" s="14" t="s">
        <v>66</v>
      </c>
      <c r="Q3" s="23" t="s">
        <v>104</v>
      </c>
    </row>
    <row r="4" spans="1:17" x14ac:dyDescent="0.35">
      <c r="A4" s="84" t="s">
        <v>490</v>
      </c>
      <c r="B4" s="85" t="s">
        <v>239</v>
      </c>
      <c r="C4" s="25">
        <v>12.45</v>
      </c>
      <c r="D4" s="68">
        <v>106</v>
      </c>
      <c r="E4" s="27">
        <f t="shared" ref="E4:E11" si="0">C4*D4</f>
        <v>1319.6999999999998</v>
      </c>
      <c r="F4" s="30">
        <v>0.97</v>
      </c>
      <c r="G4" s="65">
        <f>ROUND((E4/F4),2)</f>
        <v>1360.52</v>
      </c>
      <c r="H4" s="133">
        <v>0</v>
      </c>
      <c r="I4" s="133" t="e">
        <f>G10+H4</f>
        <v>#VALUE!</v>
      </c>
      <c r="J4" s="133">
        <v>1.84</v>
      </c>
      <c r="K4" s="133">
        <v>72.94</v>
      </c>
      <c r="L4" s="133">
        <v>0</v>
      </c>
      <c r="M4" s="133">
        <v>65.34</v>
      </c>
      <c r="N4" s="133">
        <f>J4+K4+L4</f>
        <v>74.78</v>
      </c>
      <c r="O4" s="133" t="e">
        <f>(N4-I4)</f>
        <v>#VALUE!</v>
      </c>
      <c r="P4" s="133" t="e">
        <f>M4-O4</f>
        <v>#VALUE!</v>
      </c>
      <c r="Q4" s="145" t="e">
        <f>ROUND(((P4/O4))*100,2)</f>
        <v>#VALUE!</v>
      </c>
    </row>
    <row r="5" spans="1:17" x14ac:dyDescent="0.35">
      <c r="A5" s="84" t="s">
        <v>496</v>
      </c>
      <c r="B5" s="85" t="s">
        <v>13</v>
      </c>
      <c r="C5" s="25">
        <v>12.45</v>
      </c>
      <c r="D5" s="69">
        <v>122</v>
      </c>
      <c r="E5" s="28">
        <f t="shared" si="0"/>
        <v>1518.8999999999999</v>
      </c>
      <c r="F5" s="31">
        <v>0.97</v>
      </c>
      <c r="G5" s="66">
        <f>ROUND((E5/F5),2)</f>
        <v>1565.88</v>
      </c>
      <c r="H5" s="134"/>
      <c r="I5" s="134"/>
      <c r="J5" s="134"/>
      <c r="K5" s="134"/>
      <c r="L5" s="134"/>
      <c r="M5" s="134"/>
      <c r="N5" s="134"/>
      <c r="O5" s="134"/>
      <c r="P5" s="134"/>
      <c r="Q5" s="146"/>
    </row>
    <row r="6" spans="1:17" x14ac:dyDescent="0.35">
      <c r="A6" s="84" t="s">
        <v>503</v>
      </c>
      <c r="B6" s="85" t="s">
        <v>504</v>
      </c>
      <c r="C6" s="25" t="s">
        <v>528</v>
      </c>
      <c r="D6" s="69">
        <v>29</v>
      </c>
      <c r="E6" s="28" t="e">
        <f t="shared" si="0"/>
        <v>#VALUE!</v>
      </c>
      <c r="F6" s="31">
        <v>0.97</v>
      </c>
      <c r="G6" s="66" t="e">
        <f>ROUND((E6/F6),2)</f>
        <v>#VALUE!</v>
      </c>
      <c r="H6" s="134"/>
      <c r="I6" s="134"/>
      <c r="J6" s="134"/>
      <c r="K6" s="134"/>
      <c r="L6" s="134"/>
      <c r="M6" s="134"/>
      <c r="N6" s="134"/>
      <c r="O6" s="134"/>
      <c r="P6" s="134"/>
      <c r="Q6" s="146"/>
    </row>
    <row r="7" spans="1:17" x14ac:dyDescent="0.35">
      <c r="A7" s="84" t="s">
        <v>493</v>
      </c>
      <c r="B7" s="85" t="s">
        <v>494</v>
      </c>
      <c r="C7" s="25" t="s">
        <v>528</v>
      </c>
      <c r="D7" s="69">
        <v>59</v>
      </c>
      <c r="E7" s="28" t="e">
        <f t="shared" si="0"/>
        <v>#VALUE!</v>
      </c>
      <c r="F7" s="31">
        <v>0.97</v>
      </c>
      <c r="G7" s="66" t="e">
        <f>ROUND((E7/F7),2)</f>
        <v>#VALUE!</v>
      </c>
      <c r="H7" s="134"/>
      <c r="I7" s="134"/>
      <c r="J7" s="134"/>
      <c r="K7" s="134"/>
      <c r="L7" s="134"/>
      <c r="M7" s="134"/>
      <c r="N7" s="134"/>
      <c r="O7" s="134"/>
      <c r="P7" s="134"/>
      <c r="Q7" s="146"/>
    </row>
    <row r="8" spans="1:17" x14ac:dyDescent="0.35">
      <c r="A8" s="84" t="s">
        <v>439</v>
      </c>
      <c r="B8" s="85" t="s">
        <v>440</v>
      </c>
      <c r="C8" s="25" t="s">
        <v>528</v>
      </c>
      <c r="D8" s="69">
        <v>59</v>
      </c>
      <c r="E8" s="28" t="e">
        <f t="shared" si="0"/>
        <v>#VALUE!</v>
      </c>
      <c r="F8" s="31">
        <v>0.97</v>
      </c>
      <c r="G8" s="66" t="e">
        <f>ROUND((E8/F8),2)</f>
        <v>#VALUE!</v>
      </c>
      <c r="H8" s="134"/>
      <c r="I8" s="134"/>
      <c r="J8" s="134"/>
      <c r="K8" s="134"/>
      <c r="L8" s="134"/>
      <c r="M8" s="134"/>
      <c r="N8" s="134"/>
      <c r="O8" s="134"/>
      <c r="P8" s="134"/>
      <c r="Q8" s="146"/>
    </row>
    <row r="9" spans="1:17" x14ac:dyDescent="0.35">
      <c r="A9" s="84" t="s">
        <v>488</v>
      </c>
      <c r="B9" s="85" t="s">
        <v>489</v>
      </c>
      <c r="C9" s="25" t="s">
        <v>528</v>
      </c>
      <c r="D9" s="69">
        <v>24</v>
      </c>
      <c r="E9" s="28" t="e">
        <f t="shared" si="0"/>
        <v>#VALUE!</v>
      </c>
      <c r="F9" s="31">
        <v>0.97</v>
      </c>
      <c r="G9" s="66" t="e">
        <f t="shared" ref="G9:G33" si="1">E9/F9</f>
        <v>#VALUE!</v>
      </c>
      <c r="H9" s="134"/>
      <c r="I9" s="134"/>
      <c r="J9" s="134"/>
      <c r="K9" s="134"/>
      <c r="L9" s="134"/>
      <c r="M9" s="134"/>
      <c r="N9" s="134"/>
      <c r="O9" s="134"/>
      <c r="P9" s="134"/>
      <c r="Q9" s="146"/>
    </row>
    <row r="10" spans="1:17" x14ac:dyDescent="0.35">
      <c r="A10" s="84" t="s">
        <v>487</v>
      </c>
      <c r="B10" s="85" t="s">
        <v>269</v>
      </c>
      <c r="C10" s="25" t="s">
        <v>528</v>
      </c>
      <c r="D10" s="78">
        <v>0</v>
      </c>
      <c r="E10" s="79" t="e">
        <f t="shared" si="0"/>
        <v>#VALUE!</v>
      </c>
      <c r="F10" s="31">
        <v>0.97</v>
      </c>
      <c r="G10" s="80" t="e">
        <f t="shared" si="1"/>
        <v>#VALUE!</v>
      </c>
      <c r="H10" s="134"/>
      <c r="I10" s="134"/>
      <c r="J10" s="134"/>
      <c r="K10" s="134"/>
      <c r="L10" s="134"/>
      <c r="M10" s="134"/>
      <c r="N10" s="134"/>
      <c r="O10" s="134"/>
      <c r="P10" s="134"/>
      <c r="Q10" s="146"/>
    </row>
    <row r="11" spans="1:17" x14ac:dyDescent="0.35">
      <c r="A11" s="84" t="s">
        <v>447</v>
      </c>
      <c r="B11" s="85" t="s">
        <v>448</v>
      </c>
      <c r="C11" s="25" t="s">
        <v>528</v>
      </c>
      <c r="D11" s="78">
        <v>75</v>
      </c>
      <c r="E11" s="79" t="e">
        <f t="shared" si="0"/>
        <v>#VALUE!</v>
      </c>
      <c r="F11" s="31">
        <v>0.97</v>
      </c>
      <c r="G11" s="80" t="e">
        <f t="shared" si="1"/>
        <v>#VALUE!</v>
      </c>
      <c r="H11" s="134"/>
      <c r="I11" s="134"/>
      <c r="J11" s="134"/>
      <c r="K11" s="134"/>
      <c r="L11" s="134"/>
      <c r="M11" s="134"/>
      <c r="N11" s="134"/>
      <c r="O11" s="134"/>
      <c r="P11" s="134"/>
      <c r="Q11" s="146"/>
    </row>
    <row r="12" spans="1:17" x14ac:dyDescent="0.35">
      <c r="A12" s="84" t="s">
        <v>485</v>
      </c>
      <c r="B12" s="85" t="s">
        <v>26</v>
      </c>
      <c r="C12" s="25" t="s">
        <v>528</v>
      </c>
      <c r="D12" s="78">
        <v>121</v>
      </c>
      <c r="E12" s="79" t="e">
        <f t="shared" ref="E12:E33" si="2">C12*D12</f>
        <v>#VALUE!</v>
      </c>
      <c r="F12" s="31">
        <v>0.97</v>
      </c>
      <c r="G12" s="80" t="e">
        <f t="shared" si="1"/>
        <v>#VALUE!</v>
      </c>
      <c r="H12" s="134"/>
      <c r="I12" s="134"/>
      <c r="J12" s="134"/>
      <c r="K12" s="134"/>
      <c r="L12" s="134"/>
      <c r="M12" s="134"/>
      <c r="N12" s="134"/>
      <c r="O12" s="134"/>
      <c r="P12" s="134"/>
      <c r="Q12" s="146"/>
    </row>
    <row r="13" spans="1:17" x14ac:dyDescent="0.35">
      <c r="A13" s="84" t="s">
        <v>497</v>
      </c>
      <c r="B13" s="85" t="s">
        <v>498</v>
      </c>
      <c r="C13" s="25" t="s">
        <v>529</v>
      </c>
      <c r="D13" s="78">
        <v>50</v>
      </c>
      <c r="E13" s="79" t="e">
        <f t="shared" si="2"/>
        <v>#VALUE!</v>
      </c>
      <c r="F13" s="31">
        <v>0.97</v>
      </c>
      <c r="G13" s="80" t="e">
        <f t="shared" si="1"/>
        <v>#VALUE!</v>
      </c>
      <c r="H13" s="134"/>
      <c r="I13" s="134"/>
      <c r="J13" s="134"/>
      <c r="K13" s="134"/>
      <c r="L13" s="134"/>
      <c r="M13" s="134"/>
      <c r="N13" s="134"/>
      <c r="O13" s="134"/>
      <c r="P13" s="134"/>
      <c r="Q13" s="146"/>
    </row>
    <row r="14" spans="1:17" x14ac:dyDescent="0.35">
      <c r="A14" s="84" t="s">
        <v>456</v>
      </c>
      <c r="B14" s="85" t="s">
        <v>457</v>
      </c>
      <c r="C14" s="25" t="s">
        <v>528</v>
      </c>
      <c r="D14" s="78">
        <v>55</v>
      </c>
      <c r="E14" s="79" t="e">
        <f t="shared" si="2"/>
        <v>#VALUE!</v>
      </c>
      <c r="F14" s="31">
        <v>0.97</v>
      </c>
      <c r="G14" s="80" t="e">
        <f t="shared" si="1"/>
        <v>#VALUE!</v>
      </c>
      <c r="H14" s="134"/>
      <c r="I14" s="134"/>
      <c r="J14" s="134"/>
      <c r="K14" s="134"/>
      <c r="L14" s="134"/>
      <c r="M14" s="134"/>
      <c r="N14" s="134"/>
      <c r="O14" s="134"/>
      <c r="P14" s="134"/>
      <c r="Q14" s="146"/>
    </row>
    <row r="15" spans="1:17" x14ac:dyDescent="0.35">
      <c r="A15" s="84" t="s">
        <v>436</v>
      </c>
      <c r="B15" s="85" t="s">
        <v>394</v>
      </c>
      <c r="C15" s="25">
        <v>17</v>
      </c>
      <c r="D15" s="78">
        <v>143</v>
      </c>
      <c r="E15" s="79">
        <f t="shared" si="2"/>
        <v>2431</v>
      </c>
      <c r="F15" s="31">
        <v>0.97</v>
      </c>
      <c r="G15" s="80">
        <f t="shared" si="1"/>
        <v>2506.1855670103096</v>
      </c>
      <c r="H15" s="134"/>
      <c r="I15" s="134"/>
      <c r="J15" s="134"/>
      <c r="K15" s="134"/>
      <c r="L15" s="134"/>
      <c r="M15" s="134"/>
      <c r="N15" s="134"/>
      <c r="O15" s="134"/>
      <c r="P15" s="134"/>
      <c r="Q15" s="146"/>
    </row>
    <row r="16" spans="1:17" x14ac:dyDescent="0.35">
      <c r="A16" s="84" t="s">
        <v>427</v>
      </c>
      <c r="B16" s="85" t="s">
        <v>395</v>
      </c>
      <c r="C16" s="25">
        <v>17</v>
      </c>
      <c r="D16" s="78">
        <v>187</v>
      </c>
      <c r="E16" s="79">
        <f t="shared" si="2"/>
        <v>3179</v>
      </c>
      <c r="F16" s="31">
        <v>0.97</v>
      </c>
      <c r="G16" s="80">
        <f t="shared" si="1"/>
        <v>3277.319587628866</v>
      </c>
      <c r="H16" s="134"/>
      <c r="I16" s="134"/>
      <c r="J16" s="134"/>
      <c r="K16" s="134"/>
      <c r="L16" s="134"/>
      <c r="M16" s="134"/>
      <c r="N16" s="134"/>
      <c r="O16" s="134"/>
      <c r="P16" s="134"/>
      <c r="Q16" s="146"/>
    </row>
    <row r="17" spans="1:17" x14ac:dyDescent="0.35">
      <c r="A17" s="84" t="s">
        <v>508</v>
      </c>
      <c r="B17" s="85" t="s">
        <v>509</v>
      </c>
      <c r="C17" s="25">
        <v>17</v>
      </c>
      <c r="D17" s="78">
        <v>169</v>
      </c>
      <c r="E17" s="79">
        <f t="shared" si="2"/>
        <v>2873</v>
      </c>
      <c r="F17" s="31">
        <v>0.97</v>
      </c>
      <c r="G17" s="80">
        <f t="shared" si="1"/>
        <v>2961.855670103093</v>
      </c>
      <c r="H17" s="134"/>
      <c r="I17" s="134"/>
      <c r="J17" s="134"/>
      <c r="K17" s="134"/>
      <c r="L17" s="134"/>
      <c r="M17" s="134"/>
      <c r="N17" s="134"/>
      <c r="O17" s="134"/>
      <c r="P17" s="134"/>
      <c r="Q17" s="146"/>
    </row>
    <row r="18" spans="1:17" x14ac:dyDescent="0.35">
      <c r="A18" s="84" t="s">
        <v>510</v>
      </c>
      <c r="B18" s="85" t="s">
        <v>511</v>
      </c>
      <c r="C18" s="25">
        <v>17</v>
      </c>
      <c r="D18" s="78">
        <v>121</v>
      </c>
      <c r="E18" s="79">
        <f t="shared" si="2"/>
        <v>2057</v>
      </c>
      <c r="F18" s="31">
        <v>0.97</v>
      </c>
      <c r="G18" s="80">
        <f t="shared" si="1"/>
        <v>2120.6185567010311</v>
      </c>
      <c r="H18" s="134"/>
      <c r="I18" s="134"/>
      <c r="J18" s="134"/>
      <c r="K18" s="134"/>
      <c r="L18" s="134"/>
      <c r="M18" s="134"/>
      <c r="N18" s="134"/>
      <c r="O18" s="134"/>
      <c r="P18" s="134"/>
      <c r="Q18" s="146"/>
    </row>
    <row r="19" spans="1:17" x14ac:dyDescent="0.35">
      <c r="A19" s="84" t="s">
        <v>512</v>
      </c>
      <c r="B19" s="85" t="s">
        <v>513</v>
      </c>
      <c r="C19" s="25">
        <v>17</v>
      </c>
      <c r="D19" s="78">
        <v>145</v>
      </c>
      <c r="E19" s="79">
        <f t="shared" si="2"/>
        <v>2465</v>
      </c>
      <c r="F19" s="31">
        <v>0.97</v>
      </c>
      <c r="G19" s="80">
        <f t="shared" si="1"/>
        <v>2541.2371134020618</v>
      </c>
      <c r="H19" s="134"/>
      <c r="I19" s="134"/>
      <c r="J19" s="134"/>
      <c r="K19" s="134"/>
      <c r="L19" s="134"/>
      <c r="M19" s="134"/>
      <c r="N19" s="134"/>
      <c r="O19" s="134"/>
      <c r="P19" s="134"/>
      <c r="Q19" s="146"/>
    </row>
    <row r="20" spans="1:17" x14ac:dyDescent="0.35">
      <c r="A20" s="84" t="s">
        <v>516</v>
      </c>
      <c r="B20" s="85" t="s">
        <v>517</v>
      </c>
      <c r="C20" s="25">
        <v>17</v>
      </c>
      <c r="D20" s="78">
        <v>36</v>
      </c>
      <c r="E20" s="79">
        <f t="shared" si="2"/>
        <v>612</v>
      </c>
      <c r="F20" s="31">
        <v>0.97</v>
      </c>
      <c r="G20" s="80">
        <f t="shared" si="1"/>
        <v>630.92783505154637</v>
      </c>
      <c r="H20" s="134"/>
      <c r="I20" s="134"/>
      <c r="J20" s="134"/>
      <c r="K20" s="134"/>
      <c r="L20" s="134"/>
      <c r="M20" s="134"/>
      <c r="N20" s="134"/>
      <c r="O20" s="134"/>
      <c r="P20" s="134"/>
      <c r="Q20" s="146"/>
    </row>
    <row r="21" spans="1:17" x14ac:dyDescent="0.35">
      <c r="A21" s="84" t="s">
        <v>514</v>
      </c>
      <c r="B21" s="85" t="s">
        <v>515</v>
      </c>
      <c r="C21" s="25">
        <v>17</v>
      </c>
      <c r="D21" s="78">
        <v>211</v>
      </c>
      <c r="E21" s="79">
        <f t="shared" si="2"/>
        <v>3587</v>
      </c>
      <c r="F21" s="31">
        <v>0.97</v>
      </c>
      <c r="G21" s="80">
        <f t="shared" si="1"/>
        <v>3697.9381443298971</v>
      </c>
      <c r="H21" s="134"/>
      <c r="I21" s="134"/>
      <c r="J21" s="134"/>
      <c r="K21" s="134"/>
      <c r="L21" s="134"/>
      <c r="M21" s="134"/>
      <c r="N21" s="134"/>
      <c r="O21" s="134"/>
      <c r="P21" s="134"/>
      <c r="Q21" s="146"/>
    </row>
    <row r="22" spans="1:17" x14ac:dyDescent="0.35">
      <c r="A22" s="84" t="s">
        <v>407</v>
      </c>
      <c r="B22" s="85" t="s">
        <v>408</v>
      </c>
      <c r="C22" s="25">
        <v>8.5</v>
      </c>
      <c r="D22" s="78">
        <v>212</v>
      </c>
      <c r="E22" s="79">
        <f t="shared" si="2"/>
        <v>1802</v>
      </c>
      <c r="F22" s="31">
        <v>0.97</v>
      </c>
      <c r="G22" s="80">
        <f t="shared" si="1"/>
        <v>1857.7319587628867</v>
      </c>
      <c r="H22" s="134"/>
      <c r="I22" s="134"/>
      <c r="J22" s="134"/>
      <c r="K22" s="134"/>
      <c r="L22" s="134"/>
      <c r="M22" s="134"/>
      <c r="N22" s="134"/>
      <c r="O22" s="134"/>
      <c r="P22" s="134"/>
      <c r="Q22" s="146"/>
    </row>
    <row r="23" spans="1:17" x14ac:dyDescent="0.35">
      <c r="A23" s="84" t="s">
        <v>483</v>
      </c>
      <c r="B23" s="85" t="s">
        <v>484</v>
      </c>
      <c r="C23" s="25" t="s">
        <v>528</v>
      </c>
      <c r="D23" s="78">
        <v>103</v>
      </c>
      <c r="E23" s="79" t="e">
        <f t="shared" si="2"/>
        <v>#VALUE!</v>
      </c>
      <c r="F23" s="31">
        <v>0.97</v>
      </c>
      <c r="G23" s="80" t="e">
        <f t="shared" si="1"/>
        <v>#VALUE!</v>
      </c>
      <c r="H23" s="134"/>
      <c r="I23" s="134"/>
      <c r="J23" s="134"/>
      <c r="K23" s="134"/>
      <c r="L23" s="134"/>
      <c r="M23" s="134"/>
      <c r="N23" s="134"/>
      <c r="O23" s="134"/>
      <c r="P23" s="134"/>
      <c r="Q23" s="146"/>
    </row>
    <row r="24" spans="1:17" x14ac:dyDescent="0.35">
      <c r="A24" s="84" t="s">
        <v>479</v>
      </c>
      <c r="B24" s="85" t="s">
        <v>480</v>
      </c>
      <c r="C24" s="25">
        <v>100</v>
      </c>
      <c r="D24" s="78">
        <v>59</v>
      </c>
      <c r="E24" s="79">
        <f t="shared" si="2"/>
        <v>5900</v>
      </c>
      <c r="F24" s="31">
        <v>0.97</v>
      </c>
      <c r="G24" s="80">
        <f t="shared" si="1"/>
        <v>6082.4742268041236</v>
      </c>
      <c r="H24" s="134"/>
      <c r="I24" s="134"/>
      <c r="J24" s="134"/>
      <c r="K24" s="134"/>
      <c r="L24" s="134"/>
      <c r="M24" s="134"/>
      <c r="N24" s="134"/>
      <c r="O24" s="134"/>
      <c r="P24" s="134"/>
      <c r="Q24" s="146"/>
    </row>
    <row r="25" spans="1:17" x14ac:dyDescent="0.35">
      <c r="A25" s="84" t="s">
        <v>477</v>
      </c>
      <c r="B25" s="85" t="s">
        <v>478</v>
      </c>
      <c r="C25" s="25">
        <v>100</v>
      </c>
      <c r="D25" s="78">
        <v>30</v>
      </c>
      <c r="E25" s="79">
        <f t="shared" si="2"/>
        <v>3000</v>
      </c>
      <c r="F25" s="31">
        <v>0.97</v>
      </c>
      <c r="G25" s="80">
        <f t="shared" si="1"/>
        <v>3092.7835051546394</v>
      </c>
      <c r="H25" s="134"/>
      <c r="I25" s="134"/>
      <c r="J25" s="134"/>
      <c r="K25" s="134"/>
      <c r="L25" s="134"/>
      <c r="M25" s="134"/>
      <c r="N25" s="134"/>
      <c r="O25" s="134"/>
      <c r="P25" s="134"/>
      <c r="Q25" s="146"/>
    </row>
    <row r="26" spans="1:17" x14ac:dyDescent="0.35">
      <c r="A26" s="84" t="s">
        <v>481</v>
      </c>
      <c r="B26" s="85" t="s">
        <v>482</v>
      </c>
      <c r="C26" s="25">
        <v>100</v>
      </c>
      <c r="D26" s="78">
        <v>52</v>
      </c>
      <c r="E26" s="79">
        <f t="shared" si="2"/>
        <v>5200</v>
      </c>
      <c r="F26" s="31">
        <v>0.97</v>
      </c>
      <c r="G26" s="80">
        <f t="shared" si="1"/>
        <v>5360.8247422680415</v>
      </c>
      <c r="H26" s="134"/>
      <c r="I26" s="134"/>
      <c r="J26" s="134"/>
      <c r="K26" s="134"/>
      <c r="L26" s="134"/>
      <c r="M26" s="134"/>
      <c r="N26" s="134"/>
      <c r="O26" s="134"/>
      <c r="P26" s="134"/>
      <c r="Q26" s="146"/>
    </row>
    <row r="27" spans="1:17" x14ac:dyDescent="0.35">
      <c r="A27" s="84" t="s">
        <v>475</v>
      </c>
      <c r="B27" s="85" t="s">
        <v>323</v>
      </c>
      <c r="C27" s="25">
        <v>100</v>
      </c>
      <c r="D27" s="78">
        <v>51</v>
      </c>
      <c r="E27" s="79">
        <f t="shared" si="2"/>
        <v>5100</v>
      </c>
      <c r="F27" s="31">
        <v>0.97</v>
      </c>
      <c r="G27" s="80">
        <f t="shared" si="1"/>
        <v>5257.7319587628872</v>
      </c>
      <c r="H27" s="134"/>
      <c r="I27" s="134"/>
      <c r="J27" s="134"/>
      <c r="K27" s="134"/>
      <c r="L27" s="134"/>
      <c r="M27" s="134"/>
      <c r="N27" s="134"/>
      <c r="O27" s="134"/>
      <c r="P27" s="134"/>
      <c r="Q27" s="146"/>
    </row>
    <row r="28" spans="1:17" x14ac:dyDescent="0.35">
      <c r="A28" s="84" t="s">
        <v>505</v>
      </c>
      <c r="B28" s="85" t="s">
        <v>260</v>
      </c>
      <c r="C28" s="25">
        <v>100</v>
      </c>
      <c r="D28" s="78">
        <v>67</v>
      </c>
      <c r="E28" s="79">
        <f t="shared" si="2"/>
        <v>6700</v>
      </c>
      <c r="F28" s="31">
        <v>0.97</v>
      </c>
      <c r="G28" s="80">
        <f t="shared" si="1"/>
        <v>6907.216494845361</v>
      </c>
      <c r="H28" s="134"/>
      <c r="I28" s="134"/>
      <c r="J28" s="134"/>
      <c r="K28" s="134"/>
      <c r="L28" s="134"/>
      <c r="M28" s="134"/>
      <c r="N28" s="134"/>
      <c r="O28" s="134"/>
      <c r="P28" s="134"/>
      <c r="Q28" s="146"/>
    </row>
    <row r="29" spans="1:17" x14ac:dyDescent="0.35">
      <c r="A29" s="84" t="s">
        <v>501</v>
      </c>
      <c r="B29" s="85" t="s">
        <v>330</v>
      </c>
      <c r="C29" s="25">
        <v>100</v>
      </c>
      <c r="D29" s="78">
        <v>20</v>
      </c>
      <c r="E29" s="79">
        <f t="shared" si="2"/>
        <v>2000</v>
      </c>
      <c r="F29" s="31">
        <v>0.97</v>
      </c>
      <c r="G29" s="80">
        <f t="shared" si="1"/>
        <v>2061.855670103093</v>
      </c>
      <c r="H29" s="134"/>
      <c r="I29" s="134"/>
      <c r="J29" s="134"/>
      <c r="K29" s="134"/>
      <c r="L29" s="134"/>
      <c r="M29" s="134"/>
      <c r="N29" s="134"/>
      <c r="O29" s="134"/>
      <c r="P29" s="134"/>
      <c r="Q29" s="146"/>
    </row>
    <row r="30" spans="1:17" x14ac:dyDescent="0.35">
      <c r="A30" s="84" t="s">
        <v>452</v>
      </c>
      <c r="B30" s="85" t="s">
        <v>453</v>
      </c>
      <c r="C30" s="25">
        <v>100</v>
      </c>
      <c r="D30" s="78">
        <v>225</v>
      </c>
      <c r="E30" s="79">
        <f t="shared" si="2"/>
        <v>22500</v>
      </c>
      <c r="F30" s="31">
        <v>0.97</v>
      </c>
      <c r="G30" s="80">
        <f t="shared" si="1"/>
        <v>23195.876288659794</v>
      </c>
      <c r="H30" s="134"/>
      <c r="I30" s="134"/>
      <c r="J30" s="134"/>
      <c r="K30" s="134"/>
      <c r="L30" s="134"/>
      <c r="M30" s="134"/>
      <c r="N30" s="134"/>
      <c r="O30" s="134"/>
      <c r="P30" s="134"/>
      <c r="Q30" s="146"/>
    </row>
    <row r="31" spans="1:17" x14ac:dyDescent="0.35">
      <c r="A31" s="84" t="s">
        <v>470</v>
      </c>
      <c r="B31" s="85" t="s">
        <v>518</v>
      </c>
      <c r="C31" s="25">
        <v>100</v>
      </c>
      <c r="D31" s="78">
        <v>235</v>
      </c>
      <c r="E31" s="79">
        <f t="shared" si="2"/>
        <v>23500</v>
      </c>
      <c r="F31" s="31">
        <v>0.97</v>
      </c>
      <c r="G31" s="80">
        <f t="shared" si="1"/>
        <v>24226.804123711339</v>
      </c>
      <c r="H31" s="134"/>
      <c r="I31" s="134"/>
      <c r="J31" s="134"/>
      <c r="K31" s="134"/>
      <c r="L31" s="134"/>
      <c r="M31" s="134"/>
      <c r="N31" s="134"/>
      <c r="O31" s="134"/>
      <c r="P31" s="134"/>
      <c r="Q31" s="146"/>
    </row>
    <row r="32" spans="1:17" x14ac:dyDescent="0.35">
      <c r="A32" s="84" t="s">
        <v>445</v>
      </c>
      <c r="B32" s="85" t="s">
        <v>446</v>
      </c>
      <c r="C32" s="25">
        <v>8.3000000000000007</v>
      </c>
      <c r="D32" s="78">
        <v>86</v>
      </c>
      <c r="E32" s="79">
        <f t="shared" si="2"/>
        <v>713.80000000000007</v>
      </c>
      <c r="F32" s="31">
        <v>0.97</v>
      </c>
      <c r="G32" s="80">
        <f t="shared" si="1"/>
        <v>735.87628865979389</v>
      </c>
      <c r="H32" s="134"/>
      <c r="I32" s="134"/>
      <c r="J32" s="134"/>
      <c r="K32" s="134"/>
      <c r="L32" s="134"/>
      <c r="M32" s="134"/>
      <c r="N32" s="134"/>
      <c r="O32" s="134"/>
      <c r="P32" s="134"/>
      <c r="Q32" s="146"/>
    </row>
    <row r="33" spans="1:17" ht="15" thickBot="1" x14ac:dyDescent="0.4">
      <c r="A33" s="86" t="s">
        <v>443</v>
      </c>
      <c r="B33" s="77" t="s">
        <v>444</v>
      </c>
      <c r="C33" s="100" t="s">
        <v>528</v>
      </c>
      <c r="D33" s="101">
        <v>169</v>
      </c>
      <c r="E33" s="102" t="e">
        <f t="shared" si="2"/>
        <v>#VALUE!</v>
      </c>
      <c r="F33" s="103">
        <v>0.97</v>
      </c>
      <c r="G33" s="104" t="e">
        <f t="shared" si="1"/>
        <v>#VALUE!</v>
      </c>
      <c r="H33" s="135"/>
      <c r="I33" s="135"/>
      <c r="J33" s="135"/>
      <c r="K33" s="135"/>
      <c r="L33" s="135"/>
      <c r="M33" s="135"/>
      <c r="N33" s="135"/>
      <c r="O33" s="135"/>
      <c r="P33" s="135"/>
      <c r="Q33" s="147"/>
    </row>
  </sheetData>
  <mergeCells count="10">
    <mergeCell ref="N4:N33"/>
    <mergeCell ref="O4:O33"/>
    <mergeCell ref="P4:P33"/>
    <mergeCell ref="Q4:Q33"/>
    <mergeCell ref="H4:H33"/>
    <mergeCell ref="I4:I33"/>
    <mergeCell ref="J4:J33"/>
    <mergeCell ref="K4:K33"/>
    <mergeCell ref="L4:L33"/>
    <mergeCell ref="M4:M33"/>
  </mergeCells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elurutuhHG_Button1_Click">
                <anchor moveWithCells="1" sizeWithCells="1">
                  <from>
                    <xdr:col>0</xdr:col>
                    <xdr:colOff>546100</xdr:colOff>
                    <xdr:row>34</xdr:row>
                    <xdr:rowOff>0</xdr:rowOff>
                  </from>
                  <to>
                    <xdr:col>1</xdr:col>
                    <xdr:colOff>596900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elurutuhHG_Button2_Click">
                <anchor moveWithCells="1" sizeWithCells="1">
                  <from>
                    <xdr:col>1</xdr:col>
                    <xdr:colOff>927100</xdr:colOff>
                    <xdr:row>33</xdr:row>
                    <xdr:rowOff>171450</xdr:rowOff>
                  </from>
                  <to>
                    <xdr:col>1</xdr:col>
                    <xdr:colOff>1898650</xdr:colOff>
                    <xdr:row>36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E2F59-5951-4100-B2D2-1CF12CE0E495}">
  <sheetPr codeName="Sheet13"/>
  <dimension ref="A1:M127"/>
  <sheetViews>
    <sheetView workbookViewId="0">
      <selection sqref="A1:XFD1048576"/>
    </sheetView>
  </sheetViews>
  <sheetFormatPr defaultRowHeight="14.5" x14ac:dyDescent="0.35"/>
  <cols>
    <col min="1" max="1" width="11.7265625" customWidth="1"/>
    <col min="2" max="2" width="22.6328125" customWidth="1"/>
    <col min="3" max="4" width="17.1796875" customWidth="1"/>
    <col min="5" max="6" width="11.7265625" customWidth="1"/>
    <col min="7" max="13" width="22.6328125" customWidth="1"/>
  </cols>
  <sheetData>
    <row r="1" spans="1:13" ht="15.5" x14ac:dyDescent="0.35">
      <c r="A1" s="72" t="s">
        <v>111</v>
      </c>
    </row>
    <row r="2" spans="1:13" ht="15.5" x14ac:dyDescent="0.35">
      <c r="A2" s="72" t="s">
        <v>112</v>
      </c>
    </row>
    <row r="3" spans="1:13" ht="15.5" x14ac:dyDescent="0.35">
      <c r="A3" s="72" t="s">
        <v>113</v>
      </c>
    </row>
    <row r="4" spans="1:13" ht="15.5" x14ac:dyDescent="0.35">
      <c r="A4" s="72" t="s">
        <v>519</v>
      </c>
    </row>
    <row r="5" spans="1:13" ht="15.5" x14ac:dyDescent="0.35">
      <c r="A5" s="72" t="s">
        <v>565</v>
      </c>
    </row>
    <row r="6" spans="1:13" ht="15.5" x14ac:dyDescent="0.35">
      <c r="A6" s="72" t="s">
        <v>549</v>
      </c>
    </row>
    <row r="7" spans="1:13" ht="15.5" x14ac:dyDescent="0.35">
      <c r="A7" s="72" t="s">
        <v>566</v>
      </c>
    </row>
    <row r="9" spans="1:13" ht="15.5" x14ac:dyDescent="0.35">
      <c r="A9" s="72" t="s">
        <v>115</v>
      </c>
      <c r="B9" s="72" t="s">
        <v>116</v>
      </c>
      <c r="C9" s="72" t="s">
        <v>117</v>
      </c>
      <c r="D9" s="72" t="s">
        <v>118</v>
      </c>
      <c r="E9" s="73" t="s">
        <v>119</v>
      </c>
      <c r="F9" s="73" t="s">
        <v>120</v>
      </c>
      <c r="G9" s="73" t="s">
        <v>121</v>
      </c>
      <c r="H9" s="73" t="s">
        <v>122</v>
      </c>
      <c r="I9" s="73" t="s">
        <v>123</v>
      </c>
      <c r="J9" s="73" t="s">
        <v>124</v>
      </c>
      <c r="K9" s="73" t="s">
        <v>125</v>
      </c>
      <c r="L9" s="73" t="s">
        <v>126</v>
      </c>
      <c r="M9" s="73" t="s">
        <v>127</v>
      </c>
    </row>
    <row r="10" spans="1:13" ht="15.5" x14ac:dyDescent="0.35">
      <c r="A10" t="s">
        <v>398</v>
      </c>
      <c r="B10" t="s">
        <v>129</v>
      </c>
      <c r="C10" t="s">
        <v>130</v>
      </c>
      <c r="D10" t="s">
        <v>131</v>
      </c>
      <c r="E10" s="74">
        <v>377</v>
      </c>
      <c r="F10" s="74">
        <v>13000</v>
      </c>
      <c r="G10" s="74">
        <v>4901000</v>
      </c>
      <c r="H10" s="74">
        <v>7800</v>
      </c>
      <c r="I10" s="74">
        <v>0</v>
      </c>
      <c r="J10" s="74">
        <v>4893200</v>
      </c>
      <c r="K10" s="74">
        <v>342525</v>
      </c>
      <c r="L10" s="74">
        <v>523572</v>
      </c>
      <c r="M10" s="74">
        <v>5759297</v>
      </c>
    </row>
    <row r="11" spans="1:13" ht="15.5" x14ac:dyDescent="0.35">
      <c r="A11" t="s">
        <v>402</v>
      </c>
      <c r="B11" t="s">
        <v>403</v>
      </c>
      <c r="C11" t="s">
        <v>137</v>
      </c>
      <c r="D11" t="s">
        <v>391</v>
      </c>
      <c r="E11" s="74">
        <v>254</v>
      </c>
      <c r="F11" s="74">
        <v>45000</v>
      </c>
      <c r="G11" s="74">
        <v>11430000</v>
      </c>
      <c r="H11" s="74">
        <v>517500</v>
      </c>
      <c r="I11" s="74">
        <v>0</v>
      </c>
      <c r="J11" s="74">
        <v>10912500</v>
      </c>
      <c r="K11" s="74">
        <v>741826</v>
      </c>
      <c r="L11" s="74">
        <v>1165433</v>
      </c>
      <c r="M11" s="74">
        <v>12819759</v>
      </c>
    </row>
    <row r="12" spans="1:13" ht="15.5" x14ac:dyDescent="0.35">
      <c r="A12" t="s">
        <v>399</v>
      </c>
      <c r="B12" t="s">
        <v>524</v>
      </c>
      <c r="C12" t="s">
        <v>130</v>
      </c>
      <c r="D12" t="s">
        <v>131</v>
      </c>
      <c r="E12" s="74">
        <v>243</v>
      </c>
      <c r="F12" s="74">
        <v>11000</v>
      </c>
      <c r="G12" s="74">
        <v>2673000</v>
      </c>
      <c r="H12" s="74">
        <v>8800</v>
      </c>
      <c r="I12" s="74">
        <v>0</v>
      </c>
      <c r="J12" s="74">
        <v>2664200</v>
      </c>
      <c r="K12" s="74">
        <v>186494</v>
      </c>
      <c r="L12" s="74">
        <v>285070</v>
      </c>
      <c r="M12" s="74">
        <v>3135764</v>
      </c>
    </row>
    <row r="13" spans="1:13" ht="15.5" x14ac:dyDescent="0.35">
      <c r="A13" t="s">
        <v>400</v>
      </c>
      <c r="B13" t="s">
        <v>401</v>
      </c>
      <c r="C13" t="s">
        <v>137</v>
      </c>
      <c r="D13" t="s">
        <v>392</v>
      </c>
      <c r="E13" s="74">
        <v>235</v>
      </c>
      <c r="F13" s="74">
        <v>48000</v>
      </c>
      <c r="G13" s="74">
        <v>11280000</v>
      </c>
      <c r="H13" s="74">
        <v>523200</v>
      </c>
      <c r="I13" s="74">
        <v>0</v>
      </c>
      <c r="J13" s="74">
        <v>10756800</v>
      </c>
      <c r="K13" s="74">
        <v>740880</v>
      </c>
      <c r="L13" s="74">
        <v>1149769</v>
      </c>
      <c r="M13" s="74">
        <v>12647449</v>
      </c>
    </row>
    <row r="14" spans="1:13" ht="15.5" x14ac:dyDescent="0.35">
      <c r="A14" t="s">
        <v>463</v>
      </c>
      <c r="B14" t="s">
        <v>364</v>
      </c>
      <c r="C14" t="s">
        <v>520</v>
      </c>
      <c r="D14" t="s">
        <v>135</v>
      </c>
      <c r="E14" s="74">
        <v>178</v>
      </c>
      <c r="F14" s="74">
        <v>0</v>
      </c>
      <c r="G14" s="74">
        <v>0</v>
      </c>
      <c r="H14" s="74">
        <v>0</v>
      </c>
      <c r="I14" s="74">
        <v>0</v>
      </c>
      <c r="J14" s="74">
        <v>0</v>
      </c>
      <c r="K14" s="74">
        <v>0</v>
      </c>
      <c r="L14" s="74">
        <v>0</v>
      </c>
      <c r="M14" s="74">
        <v>0</v>
      </c>
    </row>
    <row r="15" spans="1:13" ht="15.5" x14ac:dyDescent="0.35">
      <c r="A15" t="s">
        <v>406</v>
      </c>
      <c r="B15" t="s">
        <v>523</v>
      </c>
      <c r="C15" t="s">
        <v>130</v>
      </c>
      <c r="D15" t="s">
        <v>131</v>
      </c>
      <c r="E15" s="74">
        <v>149</v>
      </c>
      <c r="F15" s="74">
        <v>16000</v>
      </c>
      <c r="G15" s="74">
        <v>2384000</v>
      </c>
      <c r="H15" s="74">
        <v>8800</v>
      </c>
      <c r="I15" s="74">
        <v>0</v>
      </c>
      <c r="J15" s="74">
        <v>2375200</v>
      </c>
      <c r="K15" s="74">
        <v>166264</v>
      </c>
      <c r="L15" s="74">
        <v>254147</v>
      </c>
      <c r="M15" s="74">
        <v>2795611</v>
      </c>
    </row>
    <row r="16" spans="1:13" ht="15.5" x14ac:dyDescent="0.35">
      <c r="A16" t="s">
        <v>525</v>
      </c>
      <c r="B16" t="s">
        <v>526</v>
      </c>
      <c r="C16" t="s">
        <v>520</v>
      </c>
      <c r="D16" t="s">
        <v>527</v>
      </c>
      <c r="E16" s="74">
        <v>139</v>
      </c>
      <c r="F16" s="74">
        <v>0</v>
      </c>
      <c r="G16" s="74">
        <v>0</v>
      </c>
      <c r="H16" s="74">
        <v>0</v>
      </c>
      <c r="I16" s="74">
        <v>0</v>
      </c>
      <c r="J16" s="74">
        <v>0</v>
      </c>
      <c r="K16" s="74">
        <v>0</v>
      </c>
      <c r="L16" s="74">
        <v>0</v>
      </c>
      <c r="M16" s="74">
        <v>0</v>
      </c>
    </row>
    <row r="17" spans="1:13" ht="15.5" x14ac:dyDescent="0.35">
      <c r="A17" t="s">
        <v>415</v>
      </c>
      <c r="B17" t="s">
        <v>393</v>
      </c>
      <c r="C17" t="s">
        <v>137</v>
      </c>
      <c r="D17" t="s">
        <v>393</v>
      </c>
      <c r="E17" s="74">
        <v>123</v>
      </c>
      <c r="F17" s="74">
        <v>35000</v>
      </c>
      <c r="G17" s="74">
        <v>4305000</v>
      </c>
      <c r="H17" s="74">
        <v>210000</v>
      </c>
      <c r="I17" s="74">
        <v>0</v>
      </c>
      <c r="J17" s="74">
        <v>4095000</v>
      </c>
      <c r="K17" s="74">
        <v>270480</v>
      </c>
      <c r="L17" s="74">
        <v>436548</v>
      </c>
      <c r="M17" s="74">
        <v>4802028</v>
      </c>
    </row>
    <row r="18" spans="1:13" ht="15.5" x14ac:dyDescent="0.35">
      <c r="A18" t="s">
        <v>455</v>
      </c>
      <c r="B18" t="s">
        <v>207</v>
      </c>
      <c r="C18" t="s">
        <v>520</v>
      </c>
      <c r="D18" t="s">
        <v>135</v>
      </c>
      <c r="E18" s="74">
        <v>119</v>
      </c>
      <c r="F18" s="74">
        <v>0</v>
      </c>
      <c r="G18" s="74">
        <v>0</v>
      </c>
      <c r="H18" s="74">
        <v>0</v>
      </c>
      <c r="I18" s="74">
        <v>0</v>
      </c>
      <c r="J18" s="74">
        <v>0</v>
      </c>
      <c r="K18" s="74">
        <v>0</v>
      </c>
      <c r="L18" s="74">
        <v>0</v>
      </c>
      <c r="M18" s="74">
        <v>0</v>
      </c>
    </row>
    <row r="19" spans="1:13" ht="15.5" x14ac:dyDescent="0.35">
      <c r="A19" t="s">
        <v>404</v>
      </c>
      <c r="B19" t="s">
        <v>405</v>
      </c>
      <c r="C19" t="s">
        <v>137</v>
      </c>
      <c r="D19" t="s">
        <v>392</v>
      </c>
      <c r="E19" s="74">
        <v>118</v>
      </c>
      <c r="F19" s="74">
        <v>48000</v>
      </c>
      <c r="G19" s="74">
        <v>5664000</v>
      </c>
      <c r="H19" s="74">
        <v>57600</v>
      </c>
      <c r="I19" s="74">
        <v>0</v>
      </c>
      <c r="J19" s="74">
        <v>5606400</v>
      </c>
      <c r="K19" s="74">
        <v>389088</v>
      </c>
      <c r="L19" s="74">
        <v>599549</v>
      </c>
      <c r="M19" s="74">
        <v>6595037</v>
      </c>
    </row>
    <row r="20" spans="1:13" ht="15.5" x14ac:dyDescent="0.35">
      <c r="A20" t="s">
        <v>409</v>
      </c>
      <c r="B20" t="s">
        <v>410</v>
      </c>
      <c r="C20" t="s">
        <v>137</v>
      </c>
      <c r="D20" t="s">
        <v>392</v>
      </c>
      <c r="E20" s="74">
        <v>117</v>
      </c>
      <c r="F20" s="74">
        <v>38000</v>
      </c>
      <c r="G20" s="74">
        <v>4446000</v>
      </c>
      <c r="H20" s="74">
        <v>193800</v>
      </c>
      <c r="I20" s="74">
        <v>0</v>
      </c>
      <c r="J20" s="74">
        <v>4252200</v>
      </c>
      <c r="K20" s="74">
        <v>284354</v>
      </c>
      <c r="L20" s="74">
        <v>453656</v>
      </c>
      <c r="M20" s="74">
        <v>4990210</v>
      </c>
    </row>
    <row r="21" spans="1:13" ht="15.5" x14ac:dyDescent="0.35">
      <c r="A21" t="s">
        <v>407</v>
      </c>
      <c r="B21" t="s">
        <v>408</v>
      </c>
      <c r="C21" t="s">
        <v>137</v>
      </c>
      <c r="D21" t="s">
        <v>181</v>
      </c>
      <c r="E21" s="74">
        <v>108</v>
      </c>
      <c r="F21" s="74">
        <v>35000</v>
      </c>
      <c r="G21" s="74">
        <v>3780000</v>
      </c>
      <c r="H21" s="74">
        <v>0</v>
      </c>
      <c r="I21" s="74">
        <v>0</v>
      </c>
      <c r="J21" s="74">
        <v>3780000</v>
      </c>
      <c r="K21" s="74">
        <v>264600</v>
      </c>
      <c r="L21" s="74">
        <v>404460</v>
      </c>
      <c r="M21" s="74">
        <v>4449060</v>
      </c>
    </row>
    <row r="22" spans="1:13" ht="15.5" x14ac:dyDescent="0.35">
      <c r="A22" t="s">
        <v>414</v>
      </c>
      <c r="B22" t="s">
        <v>154</v>
      </c>
      <c r="C22" t="s">
        <v>130</v>
      </c>
      <c r="D22" t="s">
        <v>155</v>
      </c>
      <c r="E22" s="74">
        <v>98</v>
      </c>
      <c r="F22" s="74">
        <v>22800</v>
      </c>
      <c r="G22" s="74">
        <v>2234400</v>
      </c>
      <c r="H22" s="74">
        <v>0</v>
      </c>
      <c r="I22" s="74">
        <v>0</v>
      </c>
      <c r="J22" s="74">
        <v>2234400</v>
      </c>
      <c r="K22" s="74">
        <v>156408</v>
      </c>
      <c r="L22" s="74">
        <v>239116</v>
      </c>
      <c r="M22" s="74">
        <v>2629924</v>
      </c>
    </row>
    <row r="23" spans="1:13" ht="15.5" x14ac:dyDescent="0.35">
      <c r="A23" t="s">
        <v>421</v>
      </c>
      <c r="B23" t="s">
        <v>422</v>
      </c>
      <c r="C23" t="s">
        <v>520</v>
      </c>
      <c r="D23" t="s">
        <v>135</v>
      </c>
      <c r="E23" s="74">
        <v>95</v>
      </c>
      <c r="F23" s="74">
        <v>0</v>
      </c>
      <c r="G23" s="74">
        <v>0</v>
      </c>
      <c r="H23" s="74">
        <v>0</v>
      </c>
      <c r="I23" s="74">
        <v>0</v>
      </c>
      <c r="J23" s="74">
        <v>0</v>
      </c>
      <c r="K23" s="74">
        <v>0</v>
      </c>
      <c r="L23" s="74">
        <v>0</v>
      </c>
      <c r="M23" s="74">
        <v>0</v>
      </c>
    </row>
    <row r="24" spans="1:13" ht="15.5" x14ac:dyDescent="0.35">
      <c r="A24" t="s">
        <v>458</v>
      </c>
      <c r="B24" t="s">
        <v>258</v>
      </c>
      <c r="C24" t="s">
        <v>520</v>
      </c>
      <c r="D24" t="s">
        <v>135</v>
      </c>
      <c r="E24" s="74">
        <v>94</v>
      </c>
      <c r="F24" s="74">
        <v>0</v>
      </c>
      <c r="G24" s="74">
        <v>0</v>
      </c>
      <c r="H24" s="74">
        <v>0</v>
      </c>
      <c r="I24" s="74">
        <v>0</v>
      </c>
      <c r="J24" s="74">
        <v>0</v>
      </c>
      <c r="K24" s="74">
        <v>0</v>
      </c>
      <c r="L24" s="74">
        <v>0</v>
      </c>
      <c r="M24" s="74">
        <v>0</v>
      </c>
    </row>
    <row r="25" spans="1:13" ht="15.5" x14ac:dyDescent="0.35">
      <c r="A25" t="s">
        <v>426</v>
      </c>
      <c r="B25" t="s">
        <v>160</v>
      </c>
      <c r="C25" t="s">
        <v>137</v>
      </c>
      <c r="D25" t="s">
        <v>161</v>
      </c>
      <c r="E25" s="74">
        <v>93</v>
      </c>
      <c r="F25" s="74">
        <v>36000</v>
      </c>
      <c r="G25" s="74">
        <v>3348000</v>
      </c>
      <c r="H25" s="74">
        <v>19800</v>
      </c>
      <c r="I25" s="74">
        <v>0</v>
      </c>
      <c r="J25" s="74">
        <v>3328200</v>
      </c>
      <c r="K25" s="74">
        <v>225918</v>
      </c>
      <c r="L25" s="74">
        <v>355412</v>
      </c>
      <c r="M25" s="74">
        <v>3909530</v>
      </c>
    </row>
    <row r="26" spans="1:13" ht="15.5" x14ac:dyDescent="0.35">
      <c r="A26" t="s">
        <v>419</v>
      </c>
      <c r="B26" t="s">
        <v>152</v>
      </c>
      <c r="C26" t="s">
        <v>130</v>
      </c>
      <c r="D26" t="s">
        <v>131</v>
      </c>
      <c r="E26" s="74">
        <v>81</v>
      </c>
      <c r="F26" s="74">
        <v>13000</v>
      </c>
      <c r="G26" s="74">
        <v>1053000</v>
      </c>
      <c r="H26" s="74">
        <v>1950</v>
      </c>
      <c r="I26" s="74">
        <v>0</v>
      </c>
      <c r="J26" s="74">
        <v>1051050</v>
      </c>
      <c r="K26" s="74">
        <v>73574</v>
      </c>
      <c r="L26" s="74">
        <v>112462</v>
      </c>
      <c r="M26" s="74">
        <v>1237086</v>
      </c>
    </row>
    <row r="27" spans="1:13" ht="15.5" x14ac:dyDescent="0.35">
      <c r="A27" t="s">
        <v>567</v>
      </c>
      <c r="B27" t="s">
        <v>568</v>
      </c>
      <c r="C27" t="s">
        <v>187</v>
      </c>
      <c r="D27" t="s">
        <v>188</v>
      </c>
      <c r="E27" s="74">
        <v>78</v>
      </c>
      <c r="F27" s="74">
        <v>42481</v>
      </c>
      <c r="G27" s="74">
        <v>3313518</v>
      </c>
      <c r="H27" s="74">
        <v>0</v>
      </c>
      <c r="I27" s="74">
        <v>0</v>
      </c>
      <c r="J27" s="74">
        <v>3313518</v>
      </c>
      <c r="K27" s="74">
        <v>231965</v>
      </c>
      <c r="L27" s="74">
        <v>354580</v>
      </c>
      <c r="M27" s="74">
        <v>3900063</v>
      </c>
    </row>
    <row r="28" spans="1:13" ht="15.5" x14ac:dyDescent="0.35">
      <c r="A28" t="s">
        <v>409</v>
      </c>
      <c r="B28" t="s">
        <v>416</v>
      </c>
      <c r="C28" t="s">
        <v>137</v>
      </c>
      <c r="D28" t="s">
        <v>392</v>
      </c>
      <c r="E28" s="74">
        <v>77</v>
      </c>
      <c r="F28" s="74">
        <v>0</v>
      </c>
      <c r="G28" s="74">
        <v>0</v>
      </c>
      <c r="H28" s="74">
        <v>0</v>
      </c>
      <c r="I28" s="74">
        <v>0</v>
      </c>
      <c r="J28" s="74">
        <v>0</v>
      </c>
      <c r="K28" s="74">
        <v>0</v>
      </c>
      <c r="L28" s="74">
        <v>0</v>
      </c>
      <c r="M28" s="74">
        <v>0</v>
      </c>
    </row>
    <row r="29" spans="1:13" ht="15.5" x14ac:dyDescent="0.35">
      <c r="A29" t="s">
        <v>411</v>
      </c>
      <c r="B29" t="s">
        <v>412</v>
      </c>
      <c r="C29" t="s">
        <v>137</v>
      </c>
      <c r="D29" t="s">
        <v>391</v>
      </c>
      <c r="E29" s="74">
        <v>76</v>
      </c>
      <c r="F29" s="74">
        <v>49000</v>
      </c>
      <c r="G29" s="74">
        <v>3724000</v>
      </c>
      <c r="H29" s="74">
        <v>7350</v>
      </c>
      <c r="I29" s="74">
        <v>0</v>
      </c>
      <c r="J29" s="74">
        <v>3716650</v>
      </c>
      <c r="K29" s="74">
        <v>260166</v>
      </c>
      <c r="L29" s="74">
        <v>397682</v>
      </c>
      <c r="M29" s="74">
        <v>4374498</v>
      </c>
    </row>
    <row r="30" spans="1:13" ht="15.5" x14ac:dyDescent="0.35">
      <c r="A30" t="s">
        <v>398</v>
      </c>
      <c r="B30" t="s">
        <v>521</v>
      </c>
      <c r="C30" t="s">
        <v>130</v>
      </c>
      <c r="D30" t="s">
        <v>131</v>
      </c>
      <c r="E30" s="74">
        <v>73</v>
      </c>
      <c r="F30" s="74">
        <v>0</v>
      </c>
      <c r="G30" s="74">
        <v>0</v>
      </c>
      <c r="H30" s="74">
        <v>0</v>
      </c>
      <c r="I30" s="74">
        <v>0</v>
      </c>
      <c r="J30" s="74">
        <v>0</v>
      </c>
      <c r="K30" s="74">
        <v>0</v>
      </c>
      <c r="L30" s="74">
        <v>0</v>
      </c>
      <c r="M30" s="74">
        <v>0</v>
      </c>
    </row>
    <row r="31" spans="1:13" ht="15.5" x14ac:dyDescent="0.35">
      <c r="A31" t="s">
        <v>466</v>
      </c>
      <c r="B31" t="s">
        <v>467</v>
      </c>
      <c r="C31" t="s">
        <v>137</v>
      </c>
      <c r="D31" t="s">
        <v>161</v>
      </c>
      <c r="E31" s="74">
        <v>70</v>
      </c>
      <c r="F31" s="74">
        <v>10000</v>
      </c>
      <c r="G31" s="74">
        <v>700000</v>
      </c>
      <c r="H31" s="74">
        <v>0</v>
      </c>
      <c r="I31" s="74">
        <v>0</v>
      </c>
      <c r="J31" s="74">
        <v>700000</v>
      </c>
      <c r="K31" s="74">
        <v>49000</v>
      </c>
      <c r="L31" s="74">
        <v>74900</v>
      </c>
      <c r="M31" s="74">
        <v>823900</v>
      </c>
    </row>
    <row r="32" spans="1:13" ht="15.5" x14ac:dyDescent="0.35">
      <c r="A32" t="s">
        <v>470</v>
      </c>
      <c r="B32" t="s">
        <v>518</v>
      </c>
      <c r="C32" t="s">
        <v>137</v>
      </c>
      <c r="D32" t="s">
        <v>161</v>
      </c>
      <c r="E32" s="74">
        <v>64</v>
      </c>
      <c r="F32" s="74">
        <v>10000</v>
      </c>
      <c r="G32" s="74">
        <v>640000</v>
      </c>
      <c r="H32" s="74">
        <v>0</v>
      </c>
      <c r="I32" s="74">
        <v>0</v>
      </c>
      <c r="J32" s="74">
        <v>640000</v>
      </c>
      <c r="K32" s="74">
        <v>43400</v>
      </c>
      <c r="L32" s="74">
        <v>68340</v>
      </c>
      <c r="M32" s="74">
        <v>751740</v>
      </c>
    </row>
    <row r="33" spans="1:13" ht="15.5" x14ac:dyDescent="0.35">
      <c r="A33" t="s">
        <v>417</v>
      </c>
      <c r="B33" t="s">
        <v>183</v>
      </c>
      <c r="C33" t="s">
        <v>130</v>
      </c>
      <c r="D33" t="s">
        <v>155</v>
      </c>
      <c r="E33" s="74">
        <v>63</v>
      </c>
      <c r="F33" s="74">
        <v>22800</v>
      </c>
      <c r="G33" s="74">
        <v>1436400</v>
      </c>
      <c r="H33" s="74">
        <v>0</v>
      </c>
      <c r="I33" s="74">
        <v>0</v>
      </c>
      <c r="J33" s="74">
        <v>1436400</v>
      </c>
      <c r="K33" s="74">
        <v>100548</v>
      </c>
      <c r="L33" s="74">
        <v>153717</v>
      </c>
      <c r="M33" s="74">
        <v>1690665</v>
      </c>
    </row>
    <row r="34" spans="1:13" ht="15.5" x14ac:dyDescent="0.35">
      <c r="A34" t="s">
        <v>469</v>
      </c>
      <c r="B34" t="s">
        <v>140</v>
      </c>
      <c r="C34" t="s">
        <v>520</v>
      </c>
      <c r="D34" t="s">
        <v>135</v>
      </c>
      <c r="E34" s="74">
        <v>62</v>
      </c>
      <c r="F34" s="74">
        <v>2728</v>
      </c>
      <c r="G34" s="74">
        <v>169136</v>
      </c>
      <c r="H34" s="74">
        <v>0</v>
      </c>
      <c r="I34" s="74">
        <v>0</v>
      </c>
      <c r="J34" s="74">
        <v>169136</v>
      </c>
      <c r="K34" s="74">
        <v>0</v>
      </c>
      <c r="L34" s="74">
        <v>16926</v>
      </c>
      <c r="M34" s="74">
        <v>186062</v>
      </c>
    </row>
    <row r="35" spans="1:13" ht="15.5" x14ac:dyDescent="0.35">
      <c r="A35" t="s">
        <v>420</v>
      </c>
      <c r="B35" t="s">
        <v>368</v>
      </c>
      <c r="C35" t="s">
        <v>137</v>
      </c>
      <c r="D35" t="s">
        <v>161</v>
      </c>
      <c r="E35" s="74">
        <v>61</v>
      </c>
      <c r="F35" s="74">
        <v>38000</v>
      </c>
      <c r="G35" s="74">
        <v>2318000</v>
      </c>
      <c r="H35" s="74">
        <v>0</v>
      </c>
      <c r="I35" s="74">
        <v>0</v>
      </c>
      <c r="J35" s="74">
        <v>2318000</v>
      </c>
      <c r="K35" s="74">
        <v>154280</v>
      </c>
      <c r="L35" s="74">
        <v>247228</v>
      </c>
      <c r="M35" s="74">
        <v>2719508</v>
      </c>
    </row>
    <row r="36" spans="1:13" ht="15.5" x14ac:dyDescent="0.35">
      <c r="A36" t="s">
        <v>437</v>
      </c>
      <c r="B36" t="s">
        <v>224</v>
      </c>
      <c r="C36" t="s">
        <v>130</v>
      </c>
      <c r="D36" t="s">
        <v>155</v>
      </c>
      <c r="E36" s="74">
        <v>59</v>
      </c>
      <c r="F36" s="74">
        <v>22800</v>
      </c>
      <c r="G36" s="74">
        <v>1345200</v>
      </c>
      <c r="H36" s="74">
        <v>0</v>
      </c>
      <c r="I36" s="74">
        <v>0</v>
      </c>
      <c r="J36" s="74">
        <v>1345200</v>
      </c>
      <c r="K36" s="74">
        <v>94164</v>
      </c>
      <c r="L36" s="74">
        <v>143957</v>
      </c>
      <c r="M36" s="74">
        <v>1583321</v>
      </c>
    </row>
    <row r="37" spans="1:13" ht="15.5" x14ac:dyDescent="0.35">
      <c r="A37" t="s">
        <v>424</v>
      </c>
      <c r="B37" t="s">
        <v>425</v>
      </c>
      <c r="C37" t="s">
        <v>187</v>
      </c>
      <c r="D37" t="s">
        <v>188</v>
      </c>
      <c r="E37" s="74">
        <v>59</v>
      </c>
      <c r="F37" s="74">
        <v>35000</v>
      </c>
      <c r="G37" s="74">
        <v>2065000</v>
      </c>
      <c r="H37" s="74">
        <v>0</v>
      </c>
      <c r="I37" s="74">
        <v>0</v>
      </c>
      <c r="J37" s="74">
        <v>2065000</v>
      </c>
      <c r="K37" s="74">
        <v>144550</v>
      </c>
      <c r="L37" s="74">
        <v>220955</v>
      </c>
      <c r="M37" s="74">
        <v>2430505</v>
      </c>
    </row>
    <row r="38" spans="1:13" ht="15.5" x14ac:dyDescent="0.35">
      <c r="A38" t="s">
        <v>427</v>
      </c>
      <c r="B38" t="s">
        <v>395</v>
      </c>
      <c r="C38" t="s">
        <v>137</v>
      </c>
      <c r="D38" t="s">
        <v>392</v>
      </c>
      <c r="E38" s="74">
        <v>55</v>
      </c>
      <c r="F38" s="74">
        <v>65000</v>
      </c>
      <c r="G38" s="74">
        <v>3575000</v>
      </c>
      <c r="H38" s="74">
        <v>143000</v>
      </c>
      <c r="I38" s="74">
        <v>0</v>
      </c>
      <c r="J38" s="74">
        <v>3432000</v>
      </c>
      <c r="K38" s="74">
        <v>240240</v>
      </c>
      <c r="L38" s="74">
        <v>367224</v>
      </c>
      <c r="M38" s="74">
        <v>4039464</v>
      </c>
    </row>
    <row r="39" spans="1:13" ht="15.5" x14ac:dyDescent="0.35">
      <c r="A39" t="s">
        <v>428</v>
      </c>
      <c r="B39" t="s">
        <v>429</v>
      </c>
      <c r="C39" t="s">
        <v>137</v>
      </c>
      <c r="D39" t="s">
        <v>393</v>
      </c>
      <c r="E39" s="74">
        <v>52</v>
      </c>
      <c r="F39" s="74">
        <v>38000</v>
      </c>
      <c r="G39" s="74">
        <v>1976000</v>
      </c>
      <c r="H39" s="74">
        <v>7600</v>
      </c>
      <c r="I39" s="74">
        <v>0</v>
      </c>
      <c r="J39" s="74">
        <v>1968400</v>
      </c>
      <c r="K39" s="74">
        <v>130340</v>
      </c>
      <c r="L39" s="74">
        <v>209874</v>
      </c>
      <c r="M39" s="74">
        <v>2308614</v>
      </c>
    </row>
    <row r="40" spans="1:13" ht="15.5" x14ac:dyDescent="0.35">
      <c r="A40" t="s">
        <v>476</v>
      </c>
      <c r="B40" t="s">
        <v>142</v>
      </c>
      <c r="C40" t="s">
        <v>520</v>
      </c>
      <c r="D40" t="s">
        <v>135</v>
      </c>
      <c r="E40" s="74">
        <v>52</v>
      </c>
      <c r="F40" s="74">
        <v>0</v>
      </c>
      <c r="G40" s="74">
        <v>0</v>
      </c>
      <c r="H40" s="74">
        <v>0</v>
      </c>
      <c r="I40" s="74">
        <v>0</v>
      </c>
      <c r="J40" s="74">
        <v>0</v>
      </c>
      <c r="K40" s="74">
        <v>0</v>
      </c>
      <c r="L40" s="74">
        <v>0</v>
      </c>
      <c r="M40" s="74">
        <v>0</v>
      </c>
    </row>
    <row r="41" spans="1:13" ht="15.5" x14ac:dyDescent="0.35">
      <c r="A41" t="s">
        <v>464</v>
      </c>
      <c r="B41" t="s">
        <v>465</v>
      </c>
      <c r="C41" t="s">
        <v>187</v>
      </c>
      <c r="D41" t="s">
        <v>188</v>
      </c>
      <c r="E41" s="74">
        <v>50</v>
      </c>
      <c r="F41" s="74">
        <v>35000</v>
      </c>
      <c r="G41" s="74">
        <v>1750000</v>
      </c>
      <c r="H41" s="74">
        <v>0</v>
      </c>
      <c r="I41" s="74">
        <v>0</v>
      </c>
      <c r="J41" s="74">
        <v>1750000</v>
      </c>
      <c r="K41" s="74">
        <v>122500</v>
      </c>
      <c r="L41" s="74">
        <v>187250</v>
      </c>
      <c r="M41" s="74">
        <v>2059750</v>
      </c>
    </row>
    <row r="42" spans="1:13" ht="15.5" x14ac:dyDescent="0.35">
      <c r="A42" t="s">
        <v>430</v>
      </c>
      <c r="B42" t="s">
        <v>431</v>
      </c>
      <c r="C42" t="s">
        <v>137</v>
      </c>
      <c r="D42" t="s">
        <v>392</v>
      </c>
      <c r="E42" s="74">
        <v>47</v>
      </c>
      <c r="F42" s="74">
        <v>48000</v>
      </c>
      <c r="G42" s="74">
        <v>2256000</v>
      </c>
      <c r="H42" s="74">
        <v>48000</v>
      </c>
      <c r="I42" s="74">
        <v>0</v>
      </c>
      <c r="J42" s="74">
        <v>2208000</v>
      </c>
      <c r="K42" s="74">
        <v>154560</v>
      </c>
      <c r="L42" s="74">
        <v>236256</v>
      </c>
      <c r="M42" s="74">
        <v>2598816</v>
      </c>
    </row>
    <row r="43" spans="1:13" ht="15.5" x14ac:dyDescent="0.35">
      <c r="A43" t="s">
        <v>514</v>
      </c>
      <c r="B43" t="s">
        <v>515</v>
      </c>
      <c r="C43" t="s">
        <v>137</v>
      </c>
      <c r="D43" t="s">
        <v>27</v>
      </c>
      <c r="E43" s="74">
        <v>45</v>
      </c>
      <c r="F43" s="74">
        <v>42000</v>
      </c>
      <c r="G43" s="74">
        <v>1890000</v>
      </c>
      <c r="H43" s="74">
        <v>0</v>
      </c>
      <c r="I43" s="74">
        <v>0</v>
      </c>
      <c r="J43" s="74">
        <v>1890000</v>
      </c>
      <c r="K43" s="74">
        <v>132300</v>
      </c>
      <c r="L43" s="74">
        <v>202230</v>
      </c>
      <c r="M43" s="74">
        <v>2224530</v>
      </c>
    </row>
    <row r="44" spans="1:13" ht="15.5" x14ac:dyDescent="0.35">
      <c r="A44" t="s">
        <v>452</v>
      </c>
      <c r="B44" t="s">
        <v>453</v>
      </c>
      <c r="C44" t="s">
        <v>137</v>
      </c>
      <c r="D44" t="s">
        <v>161</v>
      </c>
      <c r="E44" s="74">
        <v>45</v>
      </c>
      <c r="F44" s="74">
        <v>38000</v>
      </c>
      <c r="G44" s="74">
        <v>1710000</v>
      </c>
      <c r="H44" s="74">
        <v>11400</v>
      </c>
      <c r="I44" s="74">
        <v>0</v>
      </c>
      <c r="J44" s="74">
        <v>1698600</v>
      </c>
      <c r="K44" s="74">
        <v>118902</v>
      </c>
      <c r="L44" s="74">
        <v>181750</v>
      </c>
      <c r="M44" s="74">
        <v>1999252</v>
      </c>
    </row>
    <row r="45" spans="1:13" ht="15.5" x14ac:dyDescent="0.35">
      <c r="A45" t="s">
        <v>436</v>
      </c>
      <c r="B45" t="s">
        <v>394</v>
      </c>
      <c r="C45" t="s">
        <v>137</v>
      </c>
      <c r="D45" t="s">
        <v>392</v>
      </c>
      <c r="E45" s="74">
        <v>44</v>
      </c>
      <c r="F45" s="74">
        <v>55000</v>
      </c>
      <c r="G45" s="74">
        <v>2420000</v>
      </c>
      <c r="H45" s="74">
        <v>0</v>
      </c>
      <c r="I45" s="74">
        <v>0</v>
      </c>
      <c r="J45" s="74">
        <v>2420000</v>
      </c>
      <c r="K45" s="74">
        <v>169400</v>
      </c>
      <c r="L45" s="74">
        <v>258940</v>
      </c>
      <c r="M45" s="74">
        <v>2848340</v>
      </c>
    </row>
    <row r="46" spans="1:13" ht="15.5" x14ac:dyDescent="0.35">
      <c r="A46" t="s">
        <v>510</v>
      </c>
      <c r="B46" t="s">
        <v>511</v>
      </c>
      <c r="C46" t="s">
        <v>137</v>
      </c>
      <c r="D46" t="s">
        <v>27</v>
      </c>
      <c r="E46" s="74">
        <v>44</v>
      </c>
      <c r="F46" s="74">
        <v>35000</v>
      </c>
      <c r="G46" s="74">
        <v>1540000</v>
      </c>
      <c r="H46" s="74">
        <v>0</v>
      </c>
      <c r="I46" s="74">
        <v>0</v>
      </c>
      <c r="J46" s="74">
        <v>1540000</v>
      </c>
      <c r="K46" s="74">
        <v>102900</v>
      </c>
      <c r="L46" s="74">
        <v>164290</v>
      </c>
      <c r="M46" s="74">
        <v>1807190</v>
      </c>
    </row>
    <row r="47" spans="1:13" ht="15.5" x14ac:dyDescent="0.35">
      <c r="A47" t="s">
        <v>418</v>
      </c>
      <c r="B47" t="s">
        <v>216</v>
      </c>
      <c r="C47" t="s">
        <v>130</v>
      </c>
      <c r="D47" t="s">
        <v>155</v>
      </c>
      <c r="E47" s="74">
        <v>43</v>
      </c>
      <c r="F47" s="74">
        <v>22800</v>
      </c>
      <c r="G47" s="74">
        <v>980400</v>
      </c>
      <c r="H47" s="74">
        <v>0</v>
      </c>
      <c r="I47" s="74">
        <v>0</v>
      </c>
      <c r="J47" s="74">
        <v>980400</v>
      </c>
      <c r="K47" s="74">
        <v>68628</v>
      </c>
      <c r="L47" s="74">
        <v>104920</v>
      </c>
      <c r="M47" s="74">
        <v>1153948</v>
      </c>
    </row>
    <row r="48" spans="1:13" ht="15.5" x14ac:dyDescent="0.35">
      <c r="A48" t="s">
        <v>499</v>
      </c>
      <c r="B48" t="s">
        <v>500</v>
      </c>
      <c r="C48" t="s">
        <v>520</v>
      </c>
      <c r="D48" t="s">
        <v>135</v>
      </c>
      <c r="E48" s="74">
        <v>41</v>
      </c>
      <c r="F48" s="74">
        <v>0</v>
      </c>
      <c r="G48" s="74">
        <v>0</v>
      </c>
      <c r="H48" s="74">
        <v>0</v>
      </c>
      <c r="I48" s="74">
        <v>0</v>
      </c>
      <c r="J48" s="74">
        <v>0</v>
      </c>
      <c r="K48" s="74">
        <v>0</v>
      </c>
      <c r="L48" s="74">
        <v>0</v>
      </c>
      <c r="M48" s="74">
        <v>0</v>
      </c>
    </row>
    <row r="49" spans="1:13" ht="15.5" x14ac:dyDescent="0.35">
      <c r="A49" t="s">
        <v>459</v>
      </c>
      <c r="B49" t="s">
        <v>460</v>
      </c>
      <c r="C49" t="s">
        <v>137</v>
      </c>
      <c r="D49" t="s">
        <v>161</v>
      </c>
      <c r="E49" s="74">
        <v>40</v>
      </c>
      <c r="F49" s="74">
        <v>38000</v>
      </c>
      <c r="G49" s="74">
        <v>1520000</v>
      </c>
      <c r="H49" s="74">
        <v>20900</v>
      </c>
      <c r="I49" s="74">
        <v>0</v>
      </c>
      <c r="J49" s="74">
        <v>1499100</v>
      </c>
      <c r="K49" s="74">
        <v>100681</v>
      </c>
      <c r="L49" s="74">
        <v>159978</v>
      </c>
      <c r="M49" s="74">
        <v>1759759</v>
      </c>
    </row>
    <row r="50" spans="1:13" ht="15.5" x14ac:dyDescent="0.35">
      <c r="A50" t="s">
        <v>413</v>
      </c>
      <c r="B50" t="s">
        <v>27</v>
      </c>
      <c r="C50" t="s">
        <v>137</v>
      </c>
      <c r="D50" t="s">
        <v>161</v>
      </c>
      <c r="E50" s="74">
        <v>40</v>
      </c>
      <c r="F50" s="74">
        <v>10000</v>
      </c>
      <c r="G50" s="74">
        <v>400000</v>
      </c>
      <c r="H50" s="74">
        <v>0</v>
      </c>
      <c r="I50" s="74">
        <v>0</v>
      </c>
      <c r="J50" s="74">
        <v>400000</v>
      </c>
      <c r="K50" s="74">
        <v>28000</v>
      </c>
      <c r="L50" s="74">
        <v>42800</v>
      </c>
      <c r="M50" s="74">
        <v>470800</v>
      </c>
    </row>
    <row r="51" spans="1:13" ht="15.5" x14ac:dyDescent="0.35">
      <c r="A51" t="s">
        <v>443</v>
      </c>
      <c r="B51" t="s">
        <v>444</v>
      </c>
      <c r="C51" t="s">
        <v>137</v>
      </c>
      <c r="D51" t="s">
        <v>161</v>
      </c>
      <c r="E51" s="74">
        <v>37</v>
      </c>
      <c r="F51" s="74">
        <v>9000</v>
      </c>
      <c r="G51" s="74">
        <v>333000</v>
      </c>
      <c r="H51" s="74">
        <v>0</v>
      </c>
      <c r="I51" s="74">
        <v>0</v>
      </c>
      <c r="J51" s="74">
        <v>333000</v>
      </c>
      <c r="K51" s="74">
        <v>23310</v>
      </c>
      <c r="L51" s="74">
        <v>35631</v>
      </c>
      <c r="M51" s="74">
        <v>391941</v>
      </c>
    </row>
    <row r="52" spans="1:13" ht="15.5" x14ac:dyDescent="0.35">
      <c r="A52" t="s">
        <v>473</v>
      </c>
      <c r="B52" t="s">
        <v>474</v>
      </c>
      <c r="C52" t="s">
        <v>137</v>
      </c>
      <c r="D52" t="s">
        <v>161</v>
      </c>
      <c r="E52" s="74">
        <v>36</v>
      </c>
      <c r="F52" s="74">
        <v>13000</v>
      </c>
      <c r="G52" s="74">
        <v>468000</v>
      </c>
      <c r="H52" s="74">
        <v>1950</v>
      </c>
      <c r="I52" s="74">
        <v>0</v>
      </c>
      <c r="J52" s="74">
        <v>466050</v>
      </c>
      <c r="K52" s="74">
        <v>32624</v>
      </c>
      <c r="L52" s="74">
        <v>49867</v>
      </c>
      <c r="M52" s="74">
        <v>548541</v>
      </c>
    </row>
    <row r="53" spans="1:13" ht="15.5" x14ac:dyDescent="0.35">
      <c r="A53" t="s">
        <v>434</v>
      </c>
      <c r="B53" t="s">
        <v>435</v>
      </c>
      <c r="C53" t="s">
        <v>137</v>
      </c>
      <c r="D53" t="s">
        <v>161</v>
      </c>
      <c r="E53" s="74">
        <v>34</v>
      </c>
      <c r="F53" s="74">
        <v>15000</v>
      </c>
      <c r="G53" s="74">
        <v>510000</v>
      </c>
      <c r="H53" s="74">
        <v>0</v>
      </c>
      <c r="I53" s="74">
        <v>0</v>
      </c>
      <c r="J53" s="74">
        <v>510000</v>
      </c>
      <c r="K53" s="74">
        <v>35700</v>
      </c>
      <c r="L53" s="74">
        <v>54570</v>
      </c>
      <c r="M53" s="74">
        <v>600270</v>
      </c>
    </row>
    <row r="54" spans="1:13" ht="15.5" x14ac:dyDescent="0.35">
      <c r="A54" t="s">
        <v>423</v>
      </c>
      <c r="B54" t="s">
        <v>252</v>
      </c>
      <c r="C54" t="s">
        <v>130</v>
      </c>
      <c r="D54" t="s">
        <v>155</v>
      </c>
      <c r="E54" s="74">
        <v>33</v>
      </c>
      <c r="F54" s="74">
        <v>22800</v>
      </c>
      <c r="G54" s="74">
        <v>752400</v>
      </c>
      <c r="H54" s="74">
        <v>3420</v>
      </c>
      <c r="I54" s="74">
        <v>0</v>
      </c>
      <c r="J54" s="74">
        <v>748980</v>
      </c>
      <c r="K54" s="74">
        <v>52429</v>
      </c>
      <c r="L54" s="74">
        <v>80153</v>
      </c>
      <c r="M54" s="74">
        <v>881562</v>
      </c>
    </row>
    <row r="55" spans="1:13" ht="15.5" x14ac:dyDescent="0.35">
      <c r="A55" t="s">
        <v>432</v>
      </c>
      <c r="B55" t="s">
        <v>247</v>
      </c>
      <c r="C55" t="s">
        <v>130</v>
      </c>
      <c r="D55" t="s">
        <v>155</v>
      </c>
      <c r="E55" s="74">
        <v>32</v>
      </c>
      <c r="F55" s="74">
        <v>22800</v>
      </c>
      <c r="G55" s="74">
        <v>729600</v>
      </c>
      <c r="H55" s="74">
        <v>0</v>
      </c>
      <c r="I55" s="74">
        <v>0</v>
      </c>
      <c r="J55" s="74">
        <v>729600</v>
      </c>
      <c r="K55" s="74">
        <v>51072</v>
      </c>
      <c r="L55" s="74">
        <v>78079</v>
      </c>
      <c r="M55" s="74">
        <v>858751</v>
      </c>
    </row>
    <row r="56" spans="1:13" ht="15.5" x14ac:dyDescent="0.35">
      <c r="A56" t="s">
        <v>447</v>
      </c>
      <c r="B56" t="s">
        <v>448</v>
      </c>
      <c r="C56" t="s">
        <v>137</v>
      </c>
      <c r="D56" t="s">
        <v>449</v>
      </c>
      <c r="E56" s="74">
        <v>30</v>
      </c>
      <c r="F56" s="74">
        <v>53000</v>
      </c>
      <c r="G56" s="74">
        <v>1590000</v>
      </c>
      <c r="H56" s="74">
        <v>15900</v>
      </c>
      <c r="I56" s="74">
        <v>0</v>
      </c>
      <c r="J56" s="74">
        <v>1574100</v>
      </c>
      <c r="K56" s="74">
        <v>106478</v>
      </c>
      <c r="L56" s="74">
        <v>168057</v>
      </c>
      <c r="M56" s="74">
        <v>1848635</v>
      </c>
    </row>
    <row r="57" spans="1:13" ht="15.5" x14ac:dyDescent="0.35">
      <c r="A57" t="s">
        <v>442</v>
      </c>
      <c r="B57" t="s">
        <v>396</v>
      </c>
      <c r="C57" t="s">
        <v>137</v>
      </c>
      <c r="D57" t="s">
        <v>391</v>
      </c>
      <c r="E57" s="74">
        <v>30</v>
      </c>
      <c r="F57" s="74">
        <v>40000</v>
      </c>
      <c r="G57" s="74">
        <v>1200000</v>
      </c>
      <c r="H57" s="74">
        <v>96000</v>
      </c>
      <c r="I57" s="74">
        <v>0</v>
      </c>
      <c r="J57" s="74">
        <v>1104000</v>
      </c>
      <c r="K57" s="74">
        <v>77280</v>
      </c>
      <c r="L57" s="74">
        <v>118128</v>
      </c>
      <c r="M57" s="74">
        <v>1299408</v>
      </c>
    </row>
    <row r="58" spans="1:13" ht="15.5" x14ac:dyDescent="0.35">
      <c r="A58" t="s">
        <v>512</v>
      </c>
      <c r="B58" t="s">
        <v>513</v>
      </c>
      <c r="C58" t="s">
        <v>137</v>
      </c>
      <c r="D58" t="s">
        <v>27</v>
      </c>
      <c r="E58" s="74">
        <v>30</v>
      </c>
      <c r="F58" s="74">
        <v>41000</v>
      </c>
      <c r="G58" s="74">
        <v>1230000</v>
      </c>
      <c r="H58" s="74">
        <v>0</v>
      </c>
      <c r="I58" s="74">
        <v>0</v>
      </c>
      <c r="J58" s="74">
        <v>1230000</v>
      </c>
      <c r="K58" s="74">
        <v>86100</v>
      </c>
      <c r="L58" s="74">
        <v>131610</v>
      </c>
      <c r="M58" s="74">
        <v>1447710</v>
      </c>
    </row>
    <row r="59" spans="1:13" ht="15.5" x14ac:dyDescent="0.35">
      <c r="A59" t="s">
        <v>454</v>
      </c>
      <c r="B59" t="s">
        <v>197</v>
      </c>
      <c r="C59" t="s">
        <v>520</v>
      </c>
      <c r="D59" t="s">
        <v>135</v>
      </c>
      <c r="E59" s="74">
        <v>29</v>
      </c>
      <c r="F59" s="74">
        <v>0</v>
      </c>
      <c r="G59" s="74">
        <v>0</v>
      </c>
      <c r="H59" s="74">
        <v>0</v>
      </c>
      <c r="I59" s="74">
        <v>0</v>
      </c>
      <c r="J59" s="74">
        <v>0</v>
      </c>
      <c r="K59" s="74">
        <v>0</v>
      </c>
      <c r="L59" s="74">
        <v>0</v>
      </c>
      <c r="M59" s="74">
        <v>0</v>
      </c>
    </row>
    <row r="60" spans="1:13" ht="15.5" x14ac:dyDescent="0.35">
      <c r="A60" t="s">
        <v>508</v>
      </c>
      <c r="B60" t="s">
        <v>509</v>
      </c>
      <c r="C60" t="s">
        <v>137</v>
      </c>
      <c r="D60" t="s">
        <v>27</v>
      </c>
      <c r="E60" s="74">
        <v>28</v>
      </c>
      <c r="F60" s="74">
        <v>52000</v>
      </c>
      <c r="G60" s="74">
        <v>1456000</v>
      </c>
      <c r="H60" s="74">
        <v>31200</v>
      </c>
      <c r="I60" s="74">
        <v>0</v>
      </c>
      <c r="J60" s="74">
        <v>1424800</v>
      </c>
      <c r="K60" s="74">
        <v>93184</v>
      </c>
      <c r="L60" s="74">
        <v>151798</v>
      </c>
      <c r="M60" s="74">
        <v>1669782</v>
      </c>
    </row>
    <row r="61" spans="1:13" ht="15.5" x14ac:dyDescent="0.35">
      <c r="A61" t="s">
        <v>433</v>
      </c>
      <c r="B61" t="s">
        <v>273</v>
      </c>
      <c r="C61" t="s">
        <v>130</v>
      </c>
      <c r="D61" t="s">
        <v>155</v>
      </c>
      <c r="E61" s="74">
        <v>27</v>
      </c>
      <c r="F61" s="74">
        <v>22800</v>
      </c>
      <c r="G61" s="74">
        <v>615600</v>
      </c>
      <c r="H61" s="74">
        <v>0</v>
      </c>
      <c r="I61" s="74">
        <v>0</v>
      </c>
      <c r="J61" s="74">
        <v>615600</v>
      </c>
      <c r="K61" s="74">
        <v>43092</v>
      </c>
      <c r="L61" s="74">
        <v>65879</v>
      </c>
      <c r="M61" s="74">
        <v>724571</v>
      </c>
    </row>
    <row r="62" spans="1:13" ht="15.5" x14ac:dyDescent="0.35">
      <c r="A62" t="s">
        <v>445</v>
      </c>
      <c r="B62" t="s">
        <v>446</v>
      </c>
      <c r="C62" t="s">
        <v>137</v>
      </c>
      <c r="D62" t="s">
        <v>161</v>
      </c>
      <c r="E62" s="74">
        <v>25</v>
      </c>
      <c r="F62" s="74">
        <v>39000</v>
      </c>
      <c r="G62" s="74">
        <v>975000</v>
      </c>
      <c r="H62" s="74">
        <v>11700</v>
      </c>
      <c r="I62" s="74">
        <v>0</v>
      </c>
      <c r="J62" s="74">
        <v>963300</v>
      </c>
      <c r="K62" s="74">
        <v>61972</v>
      </c>
      <c r="L62" s="74">
        <v>102527</v>
      </c>
      <c r="M62" s="74">
        <v>1127799</v>
      </c>
    </row>
    <row r="63" spans="1:13" ht="15.5" x14ac:dyDescent="0.35">
      <c r="A63" t="s">
        <v>502</v>
      </c>
      <c r="B63" t="s">
        <v>195</v>
      </c>
      <c r="C63" t="s">
        <v>520</v>
      </c>
      <c r="D63" t="s">
        <v>135</v>
      </c>
      <c r="E63" s="74">
        <v>22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74">
        <v>0</v>
      </c>
      <c r="M63" s="74">
        <v>0</v>
      </c>
    </row>
    <row r="64" spans="1:13" ht="15.5" x14ac:dyDescent="0.35">
      <c r="A64" t="s">
        <v>439</v>
      </c>
      <c r="B64" t="s">
        <v>440</v>
      </c>
      <c r="C64" t="s">
        <v>137</v>
      </c>
      <c r="D64" t="s">
        <v>441</v>
      </c>
      <c r="E64" s="74">
        <v>21</v>
      </c>
      <c r="F64" s="74">
        <v>53000</v>
      </c>
      <c r="G64" s="74">
        <v>1113000</v>
      </c>
      <c r="H64" s="74">
        <v>0</v>
      </c>
      <c r="I64" s="74">
        <v>0</v>
      </c>
      <c r="J64" s="74">
        <v>1113000</v>
      </c>
      <c r="K64" s="74">
        <v>77910</v>
      </c>
      <c r="L64" s="74">
        <v>119091</v>
      </c>
      <c r="M64" s="74">
        <v>1310001</v>
      </c>
    </row>
    <row r="65" spans="1:13" ht="15.5" x14ac:dyDescent="0.35">
      <c r="A65" t="s">
        <v>506</v>
      </c>
      <c r="B65" t="s">
        <v>507</v>
      </c>
      <c r="C65" t="s">
        <v>137</v>
      </c>
      <c r="D65" t="s">
        <v>27</v>
      </c>
      <c r="E65" s="74">
        <v>21</v>
      </c>
      <c r="F65" s="74">
        <v>47000</v>
      </c>
      <c r="G65" s="74">
        <v>987000</v>
      </c>
      <c r="H65" s="74">
        <v>0</v>
      </c>
      <c r="I65" s="74">
        <v>0</v>
      </c>
      <c r="J65" s="74">
        <v>987000</v>
      </c>
      <c r="K65" s="74">
        <v>69090</v>
      </c>
      <c r="L65" s="74">
        <v>105609</v>
      </c>
      <c r="M65" s="74">
        <v>1161699</v>
      </c>
    </row>
    <row r="66" spans="1:13" ht="15.5" x14ac:dyDescent="0.35">
      <c r="A66" t="s">
        <v>475</v>
      </c>
      <c r="B66" t="s">
        <v>323</v>
      </c>
      <c r="C66" t="s">
        <v>137</v>
      </c>
      <c r="D66" t="s">
        <v>161</v>
      </c>
      <c r="E66" s="74">
        <v>21</v>
      </c>
      <c r="F66" s="74">
        <v>30000</v>
      </c>
      <c r="G66" s="74">
        <v>630000</v>
      </c>
      <c r="H66" s="74">
        <v>0</v>
      </c>
      <c r="I66" s="74">
        <v>0</v>
      </c>
      <c r="J66" s="74">
        <v>630000</v>
      </c>
      <c r="K66" s="74">
        <v>44100</v>
      </c>
      <c r="L66" s="74">
        <v>67410</v>
      </c>
      <c r="M66" s="74">
        <v>741510</v>
      </c>
    </row>
    <row r="67" spans="1:13" ht="15.5" x14ac:dyDescent="0.35">
      <c r="A67" t="s">
        <v>492</v>
      </c>
      <c r="B67" t="s">
        <v>280</v>
      </c>
      <c r="C67" t="s">
        <v>137</v>
      </c>
      <c r="D67" t="s">
        <v>161</v>
      </c>
      <c r="E67" s="74">
        <v>21</v>
      </c>
      <c r="F67" s="74">
        <v>36000</v>
      </c>
      <c r="G67" s="74">
        <v>756000</v>
      </c>
      <c r="H67" s="74">
        <v>0</v>
      </c>
      <c r="I67" s="74">
        <v>0</v>
      </c>
      <c r="J67" s="74">
        <v>756000</v>
      </c>
      <c r="K67" s="74">
        <v>52920</v>
      </c>
      <c r="L67" s="74">
        <v>80892</v>
      </c>
      <c r="M67" s="74">
        <v>889812</v>
      </c>
    </row>
    <row r="68" spans="1:13" ht="15.5" x14ac:dyDescent="0.35">
      <c r="A68" t="s">
        <v>483</v>
      </c>
      <c r="B68" t="s">
        <v>569</v>
      </c>
      <c r="C68" t="s">
        <v>137</v>
      </c>
      <c r="D68" t="s">
        <v>301</v>
      </c>
      <c r="E68" s="74">
        <v>20</v>
      </c>
      <c r="F68" s="74">
        <v>44000</v>
      </c>
      <c r="G68" s="74">
        <v>880000</v>
      </c>
      <c r="H68" s="74">
        <v>0</v>
      </c>
      <c r="I68" s="74">
        <v>0</v>
      </c>
      <c r="J68" s="74">
        <v>880000</v>
      </c>
      <c r="K68" s="74">
        <v>61600</v>
      </c>
      <c r="L68" s="74">
        <v>94160</v>
      </c>
      <c r="M68" s="74">
        <v>1035760</v>
      </c>
    </row>
    <row r="69" spans="1:13" ht="15.5" x14ac:dyDescent="0.35">
      <c r="A69" t="s">
        <v>490</v>
      </c>
      <c r="B69" t="s">
        <v>239</v>
      </c>
      <c r="C69" t="s">
        <v>137</v>
      </c>
      <c r="D69" t="s">
        <v>491</v>
      </c>
      <c r="E69" s="74">
        <v>20</v>
      </c>
      <c r="F69" s="74">
        <v>43000</v>
      </c>
      <c r="G69" s="74">
        <v>860000</v>
      </c>
      <c r="H69" s="74">
        <v>43000</v>
      </c>
      <c r="I69" s="74">
        <v>0</v>
      </c>
      <c r="J69" s="74">
        <v>817000</v>
      </c>
      <c r="K69" s="74">
        <v>57190</v>
      </c>
      <c r="L69" s="74">
        <v>87419</v>
      </c>
      <c r="M69" s="74">
        <v>961609</v>
      </c>
    </row>
    <row r="70" spans="1:13" ht="15.5" x14ac:dyDescent="0.35">
      <c r="A70" t="s">
        <v>402</v>
      </c>
      <c r="B70" t="s">
        <v>403</v>
      </c>
      <c r="C70" t="s">
        <v>137</v>
      </c>
      <c r="D70" t="s">
        <v>391</v>
      </c>
      <c r="E70" s="74">
        <v>20</v>
      </c>
      <c r="F70" s="74">
        <v>51750</v>
      </c>
      <c r="G70" s="74">
        <v>1035000</v>
      </c>
      <c r="H70" s="74">
        <v>0</v>
      </c>
      <c r="I70" s="74">
        <v>0</v>
      </c>
      <c r="J70" s="74">
        <v>1035000</v>
      </c>
      <c r="K70" s="74">
        <v>0</v>
      </c>
      <c r="L70" s="74">
        <v>103500</v>
      </c>
      <c r="M70" s="74">
        <v>1138500</v>
      </c>
    </row>
    <row r="71" spans="1:13" ht="15.5" x14ac:dyDescent="0.35">
      <c r="A71" t="s">
        <v>415</v>
      </c>
      <c r="B71" t="s">
        <v>393</v>
      </c>
      <c r="C71" t="s">
        <v>137</v>
      </c>
      <c r="D71" t="s">
        <v>393</v>
      </c>
      <c r="E71" s="74">
        <v>19</v>
      </c>
      <c r="F71" s="74">
        <v>40250</v>
      </c>
      <c r="G71" s="74">
        <v>764750</v>
      </c>
      <c r="H71" s="74">
        <v>0</v>
      </c>
      <c r="I71" s="74">
        <v>0</v>
      </c>
      <c r="J71" s="74">
        <v>764750</v>
      </c>
      <c r="K71" s="74">
        <v>0</v>
      </c>
      <c r="L71" s="74">
        <v>76475</v>
      </c>
      <c r="M71" s="74">
        <v>841225</v>
      </c>
    </row>
    <row r="72" spans="1:13" ht="15.5" x14ac:dyDescent="0.35">
      <c r="A72" t="s">
        <v>485</v>
      </c>
      <c r="B72" t="s">
        <v>26</v>
      </c>
      <c r="C72" t="s">
        <v>137</v>
      </c>
      <c r="D72" t="s">
        <v>449</v>
      </c>
      <c r="E72" s="74">
        <v>18</v>
      </c>
      <c r="F72" s="74">
        <v>43000</v>
      </c>
      <c r="G72" s="74">
        <v>774000</v>
      </c>
      <c r="H72" s="74">
        <v>0</v>
      </c>
      <c r="I72" s="74">
        <v>0</v>
      </c>
      <c r="J72" s="74">
        <v>774000</v>
      </c>
      <c r="K72" s="74">
        <v>54180</v>
      </c>
      <c r="L72" s="74">
        <v>82818</v>
      </c>
      <c r="M72" s="74">
        <v>910998</v>
      </c>
    </row>
    <row r="73" spans="1:13" ht="15.5" x14ac:dyDescent="0.35">
      <c r="A73" t="s">
        <v>493</v>
      </c>
      <c r="B73" t="s">
        <v>494</v>
      </c>
      <c r="C73" t="s">
        <v>137</v>
      </c>
      <c r="D73" t="s">
        <v>441</v>
      </c>
      <c r="E73" s="74">
        <v>17</v>
      </c>
      <c r="F73" s="74">
        <v>46000</v>
      </c>
      <c r="G73" s="74">
        <v>782000</v>
      </c>
      <c r="H73" s="74">
        <v>52900</v>
      </c>
      <c r="I73" s="74">
        <v>0</v>
      </c>
      <c r="J73" s="74">
        <v>729100</v>
      </c>
      <c r="K73" s="74">
        <v>47817</v>
      </c>
      <c r="L73" s="74">
        <v>77692</v>
      </c>
      <c r="M73" s="74">
        <v>854609</v>
      </c>
    </row>
    <row r="74" spans="1:13" ht="15.5" x14ac:dyDescent="0.35">
      <c r="A74" t="s">
        <v>496</v>
      </c>
      <c r="B74" t="s">
        <v>13</v>
      </c>
      <c r="C74" t="s">
        <v>137</v>
      </c>
      <c r="D74" t="s">
        <v>491</v>
      </c>
      <c r="E74" s="74">
        <v>15</v>
      </c>
      <c r="F74" s="74">
        <v>63000</v>
      </c>
      <c r="G74" s="74">
        <v>945000</v>
      </c>
      <c r="H74" s="74">
        <v>0</v>
      </c>
      <c r="I74" s="74">
        <v>0</v>
      </c>
      <c r="J74" s="74">
        <v>945000</v>
      </c>
      <c r="K74" s="74">
        <v>66150</v>
      </c>
      <c r="L74" s="74">
        <v>101115</v>
      </c>
      <c r="M74" s="74">
        <v>1112265</v>
      </c>
    </row>
    <row r="75" spans="1:13" ht="15.5" x14ac:dyDescent="0.35">
      <c r="A75" t="s">
        <v>461</v>
      </c>
      <c r="B75" t="s">
        <v>462</v>
      </c>
      <c r="C75" t="s">
        <v>137</v>
      </c>
      <c r="D75" t="s">
        <v>392</v>
      </c>
      <c r="E75" s="74">
        <v>15</v>
      </c>
      <c r="F75" s="74">
        <v>38000</v>
      </c>
      <c r="G75" s="74">
        <v>570000</v>
      </c>
      <c r="H75" s="74">
        <v>0</v>
      </c>
      <c r="I75" s="74">
        <v>0</v>
      </c>
      <c r="J75" s="74">
        <v>570000</v>
      </c>
      <c r="K75" s="74">
        <v>37240</v>
      </c>
      <c r="L75" s="74">
        <v>60724</v>
      </c>
      <c r="M75" s="74">
        <v>667964</v>
      </c>
    </row>
    <row r="76" spans="1:13" ht="15.5" x14ac:dyDescent="0.35">
      <c r="A76" t="s">
        <v>479</v>
      </c>
      <c r="B76" t="s">
        <v>480</v>
      </c>
      <c r="C76" t="s">
        <v>137</v>
      </c>
      <c r="D76" t="s">
        <v>161</v>
      </c>
      <c r="E76" s="74">
        <v>15</v>
      </c>
      <c r="F76" s="74">
        <v>52000</v>
      </c>
      <c r="G76" s="74">
        <v>780000</v>
      </c>
      <c r="H76" s="74">
        <v>0</v>
      </c>
      <c r="I76" s="74">
        <v>0</v>
      </c>
      <c r="J76" s="74">
        <v>780000</v>
      </c>
      <c r="K76" s="74">
        <v>54600</v>
      </c>
      <c r="L76" s="74">
        <v>83460</v>
      </c>
      <c r="M76" s="74">
        <v>918060</v>
      </c>
    </row>
    <row r="77" spans="1:13" ht="15.5" x14ac:dyDescent="0.35">
      <c r="A77" t="s">
        <v>487</v>
      </c>
      <c r="B77" t="s">
        <v>269</v>
      </c>
      <c r="C77" t="s">
        <v>137</v>
      </c>
      <c r="D77" t="s">
        <v>449</v>
      </c>
      <c r="E77" s="74">
        <v>14</v>
      </c>
      <c r="F77" s="74">
        <v>42000</v>
      </c>
      <c r="G77" s="74">
        <v>588000</v>
      </c>
      <c r="H77" s="74">
        <v>0</v>
      </c>
      <c r="I77" s="74">
        <v>0</v>
      </c>
      <c r="J77" s="74">
        <v>588000</v>
      </c>
      <c r="K77" s="74">
        <v>41160</v>
      </c>
      <c r="L77" s="74">
        <v>62916</v>
      </c>
      <c r="M77" s="74">
        <v>692076</v>
      </c>
    </row>
    <row r="78" spans="1:13" ht="15.5" x14ac:dyDescent="0.35">
      <c r="A78" t="s">
        <v>456</v>
      </c>
      <c r="B78" t="s">
        <v>457</v>
      </c>
      <c r="C78" t="s">
        <v>137</v>
      </c>
      <c r="D78" t="s">
        <v>449</v>
      </c>
      <c r="E78" s="74">
        <v>14</v>
      </c>
      <c r="F78" s="74">
        <v>43000</v>
      </c>
      <c r="G78" s="74">
        <v>602000</v>
      </c>
      <c r="H78" s="74">
        <v>0</v>
      </c>
      <c r="I78" s="74">
        <v>0</v>
      </c>
      <c r="J78" s="74">
        <v>602000</v>
      </c>
      <c r="K78" s="74">
        <v>42140</v>
      </c>
      <c r="L78" s="74">
        <v>64414</v>
      </c>
      <c r="M78" s="74">
        <v>708554</v>
      </c>
    </row>
    <row r="79" spans="1:13" ht="15.5" x14ac:dyDescent="0.35">
      <c r="A79" t="s">
        <v>438</v>
      </c>
      <c r="B79" t="s">
        <v>291</v>
      </c>
      <c r="C79" t="s">
        <v>130</v>
      </c>
      <c r="D79" t="s">
        <v>155</v>
      </c>
      <c r="E79" s="74">
        <v>14</v>
      </c>
      <c r="F79" s="74">
        <v>22800</v>
      </c>
      <c r="G79" s="74">
        <v>319200</v>
      </c>
      <c r="H79" s="74">
        <v>0</v>
      </c>
      <c r="I79" s="74">
        <v>0</v>
      </c>
      <c r="J79" s="74">
        <v>319200</v>
      </c>
      <c r="K79" s="74">
        <v>22344</v>
      </c>
      <c r="L79" s="74">
        <v>34159</v>
      </c>
      <c r="M79" s="74">
        <v>375703</v>
      </c>
    </row>
    <row r="80" spans="1:13" ht="15.5" x14ac:dyDescent="0.35">
      <c r="A80" t="s">
        <v>495</v>
      </c>
      <c r="B80" t="s">
        <v>308</v>
      </c>
      <c r="C80" t="s">
        <v>130</v>
      </c>
      <c r="D80" t="s">
        <v>155</v>
      </c>
      <c r="E80" s="74">
        <v>13</v>
      </c>
      <c r="F80" s="74">
        <v>22800</v>
      </c>
      <c r="G80" s="74">
        <v>296400</v>
      </c>
      <c r="H80" s="74">
        <v>0</v>
      </c>
      <c r="I80" s="74">
        <v>0</v>
      </c>
      <c r="J80" s="74">
        <v>296400</v>
      </c>
      <c r="K80" s="74">
        <v>20748</v>
      </c>
      <c r="L80" s="74">
        <v>31720</v>
      </c>
      <c r="M80" s="74">
        <v>348868</v>
      </c>
    </row>
    <row r="81" spans="1:13" ht="15.5" x14ac:dyDescent="0.35">
      <c r="A81" t="s">
        <v>505</v>
      </c>
      <c r="B81" t="s">
        <v>260</v>
      </c>
      <c r="C81" t="s">
        <v>137</v>
      </c>
      <c r="D81" t="s">
        <v>161</v>
      </c>
      <c r="E81" s="74">
        <v>11</v>
      </c>
      <c r="F81" s="74">
        <v>35000</v>
      </c>
      <c r="G81" s="74">
        <v>385000</v>
      </c>
      <c r="H81" s="74">
        <v>7000</v>
      </c>
      <c r="I81" s="74">
        <v>0</v>
      </c>
      <c r="J81" s="74">
        <v>378000</v>
      </c>
      <c r="K81" s="74">
        <v>24500</v>
      </c>
      <c r="L81" s="74">
        <v>40250</v>
      </c>
      <c r="M81" s="74">
        <v>442750</v>
      </c>
    </row>
    <row r="82" spans="1:13" ht="15.5" x14ac:dyDescent="0.35">
      <c r="A82" t="s">
        <v>481</v>
      </c>
      <c r="B82" t="s">
        <v>482</v>
      </c>
      <c r="C82" t="s">
        <v>137</v>
      </c>
      <c r="D82" t="s">
        <v>161</v>
      </c>
      <c r="E82" s="74">
        <v>11</v>
      </c>
      <c r="F82" s="74">
        <v>52000</v>
      </c>
      <c r="G82" s="74">
        <v>572000</v>
      </c>
      <c r="H82" s="74">
        <v>0</v>
      </c>
      <c r="I82" s="74">
        <v>0</v>
      </c>
      <c r="J82" s="74">
        <v>572000</v>
      </c>
      <c r="K82" s="74">
        <v>40040</v>
      </c>
      <c r="L82" s="74">
        <v>61204</v>
      </c>
      <c r="M82" s="74">
        <v>673244</v>
      </c>
    </row>
    <row r="83" spans="1:13" ht="15.5" x14ac:dyDescent="0.35">
      <c r="A83" t="s">
        <v>497</v>
      </c>
      <c r="B83" t="s">
        <v>498</v>
      </c>
      <c r="C83" t="s">
        <v>137</v>
      </c>
      <c r="D83" t="s">
        <v>449</v>
      </c>
      <c r="E83" s="74">
        <v>10</v>
      </c>
      <c r="F83" s="74">
        <v>54000</v>
      </c>
      <c r="G83" s="74">
        <v>540000</v>
      </c>
      <c r="H83" s="74">
        <v>0</v>
      </c>
      <c r="I83" s="74">
        <v>0</v>
      </c>
      <c r="J83" s="74">
        <v>540000</v>
      </c>
      <c r="K83" s="74">
        <v>37800</v>
      </c>
      <c r="L83" s="74">
        <v>57780</v>
      </c>
      <c r="M83" s="74">
        <v>635580</v>
      </c>
    </row>
    <row r="84" spans="1:13" ht="15.5" x14ac:dyDescent="0.35">
      <c r="A84" t="s">
        <v>468</v>
      </c>
      <c r="B84" t="s">
        <v>285</v>
      </c>
      <c r="C84" t="s">
        <v>130</v>
      </c>
      <c r="D84" t="s">
        <v>155</v>
      </c>
      <c r="E84" s="74">
        <v>10</v>
      </c>
      <c r="F84" s="74">
        <v>22800</v>
      </c>
      <c r="G84" s="74">
        <v>228000</v>
      </c>
      <c r="H84" s="74">
        <v>0</v>
      </c>
      <c r="I84" s="74">
        <v>0</v>
      </c>
      <c r="J84" s="74">
        <v>228000</v>
      </c>
      <c r="K84" s="74">
        <v>15960</v>
      </c>
      <c r="L84" s="74">
        <v>24400</v>
      </c>
      <c r="M84" s="74">
        <v>268360</v>
      </c>
    </row>
    <row r="85" spans="1:13" ht="15.5" x14ac:dyDescent="0.35">
      <c r="A85" t="s">
        <v>451</v>
      </c>
      <c r="B85" t="s">
        <v>336</v>
      </c>
      <c r="C85" t="s">
        <v>130</v>
      </c>
      <c r="D85" t="s">
        <v>155</v>
      </c>
      <c r="E85" s="74">
        <v>10</v>
      </c>
      <c r="F85" s="74">
        <v>22800</v>
      </c>
      <c r="G85" s="74">
        <v>228000</v>
      </c>
      <c r="H85" s="74">
        <v>0</v>
      </c>
      <c r="I85" s="74">
        <v>0</v>
      </c>
      <c r="J85" s="74">
        <v>228000</v>
      </c>
      <c r="K85" s="74">
        <v>15960</v>
      </c>
      <c r="L85" s="74">
        <v>24400</v>
      </c>
      <c r="M85" s="74">
        <v>268360</v>
      </c>
    </row>
    <row r="86" spans="1:13" ht="15.5" x14ac:dyDescent="0.35">
      <c r="A86" t="s">
        <v>488</v>
      </c>
      <c r="B86" t="s">
        <v>489</v>
      </c>
      <c r="C86" t="s">
        <v>137</v>
      </c>
      <c r="D86" t="s">
        <v>441</v>
      </c>
      <c r="E86" s="74">
        <v>8</v>
      </c>
      <c r="F86" s="74">
        <v>43000</v>
      </c>
      <c r="G86" s="74">
        <v>344000</v>
      </c>
      <c r="H86" s="74">
        <v>60200</v>
      </c>
      <c r="I86" s="74">
        <v>0</v>
      </c>
      <c r="J86" s="74">
        <v>283800</v>
      </c>
      <c r="K86" s="74">
        <v>19866</v>
      </c>
      <c r="L86" s="74">
        <v>30367</v>
      </c>
      <c r="M86" s="74">
        <v>334033</v>
      </c>
    </row>
    <row r="87" spans="1:13" ht="15.5" x14ac:dyDescent="0.35">
      <c r="A87" t="s">
        <v>409</v>
      </c>
      <c r="B87" t="s">
        <v>410</v>
      </c>
      <c r="C87" t="s">
        <v>137</v>
      </c>
      <c r="D87" t="s">
        <v>392</v>
      </c>
      <c r="E87" s="74">
        <v>8</v>
      </c>
      <c r="F87" s="74">
        <v>43700</v>
      </c>
      <c r="G87" s="74">
        <v>349600</v>
      </c>
      <c r="H87" s="74">
        <v>0</v>
      </c>
      <c r="I87" s="74">
        <v>0</v>
      </c>
      <c r="J87" s="74">
        <v>349600</v>
      </c>
      <c r="K87" s="74">
        <v>0</v>
      </c>
      <c r="L87" s="74">
        <v>34960</v>
      </c>
      <c r="M87" s="74">
        <v>384560</v>
      </c>
    </row>
    <row r="88" spans="1:13" ht="15.5" x14ac:dyDescent="0.35">
      <c r="A88" t="s">
        <v>486</v>
      </c>
      <c r="B88" t="s">
        <v>397</v>
      </c>
      <c r="C88" t="s">
        <v>137</v>
      </c>
      <c r="D88" t="s">
        <v>391</v>
      </c>
      <c r="E88" s="74">
        <v>8</v>
      </c>
      <c r="F88" s="74">
        <v>40000</v>
      </c>
      <c r="G88" s="74">
        <v>320000</v>
      </c>
      <c r="H88" s="74">
        <v>40000</v>
      </c>
      <c r="I88" s="74">
        <v>0</v>
      </c>
      <c r="J88" s="74">
        <v>280000</v>
      </c>
      <c r="K88" s="74">
        <v>19600</v>
      </c>
      <c r="L88" s="74">
        <v>29960</v>
      </c>
      <c r="M88" s="74">
        <v>329560</v>
      </c>
    </row>
    <row r="89" spans="1:13" ht="15.5" x14ac:dyDescent="0.35">
      <c r="A89" t="s">
        <v>516</v>
      </c>
      <c r="B89" t="s">
        <v>517</v>
      </c>
      <c r="C89" t="s">
        <v>137</v>
      </c>
      <c r="D89" t="s">
        <v>27</v>
      </c>
      <c r="E89" s="74">
        <v>8</v>
      </c>
      <c r="F89" s="74">
        <v>41000</v>
      </c>
      <c r="G89" s="74">
        <v>328000</v>
      </c>
      <c r="H89" s="74">
        <v>6150</v>
      </c>
      <c r="I89" s="74">
        <v>0</v>
      </c>
      <c r="J89" s="74">
        <v>321850</v>
      </c>
      <c r="K89" s="74">
        <v>22530</v>
      </c>
      <c r="L89" s="74">
        <v>34438</v>
      </c>
      <c r="M89" s="74">
        <v>378818</v>
      </c>
    </row>
    <row r="90" spans="1:13" ht="15.5" x14ac:dyDescent="0.35">
      <c r="A90" t="s">
        <v>483</v>
      </c>
      <c r="B90" t="s">
        <v>569</v>
      </c>
      <c r="C90" t="s">
        <v>137</v>
      </c>
      <c r="D90" t="s">
        <v>301</v>
      </c>
      <c r="E90" s="74">
        <v>7</v>
      </c>
      <c r="F90" s="74">
        <v>50600</v>
      </c>
      <c r="G90" s="74">
        <v>354200</v>
      </c>
      <c r="H90" s="74">
        <v>0</v>
      </c>
      <c r="I90" s="74">
        <v>0</v>
      </c>
      <c r="J90" s="74">
        <v>354200</v>
      </c>
      <c r="K90" s="74">
        <v>0</v>
      </c>
      <c r="L90" s="74">
        <v>35420</v>
      </c>
      <c r="M90" s="74">
        <v>389620</v>
      </c>
    </row>
    <row r="91" spans="1:13" ht="15.5" x14ac:dyDescent="0.35">
      <c r="A91" t="s">
        <v>503</v>
      </c>
      <c r="B91" t="s">
        <v>504</v>
      </c>
      <c r="C91" t="s">
        <v>137</v>
      </c>
      <c r="D91" t="s">
        <v>441</v>
      </c>
      <c r="E91" s="74">
        <v>7</v>
      </c>
      <c r="F91" s="74">
        <v>56000</v>
      </c>
      <c r="G91" s="74">
        <v>392000</v>
      </c>
      <c r="H91" s="74">
        <v>0</v>
      </c>
      <c r="I91" s="74">
        <v>0</v>
      </c>
      <c r="J91" s="74">
        <v>392000</v>
      </c>
      <c r="K91" s="74">
        <v>27440</v>
      </c>
      <c r="L91" s="74">
        <v>41944</v>
      </c>
      <c r="M91" s="74">
        <v>461384</v>
      </c>
    </row>
    <row r="92" spans="1:13" ht="15.5" x14ac:dyDescent="0.35">
      <c r="A92" t="s">
        <v>450</v>
      </c>
      <c r="B92" t="s">
        <v>303</v>
      </c>
      <c r="C92" t="s">
        <v>130</v>
      </c>
      <c r="D92" t="s">
        <v>155</v>
      </c>
      <c r="E92" s="74">
        <v>7</v>
      </c>
      <c r="F92" s="74">
        <v>22800</v>
      </c>
      <c r="G92" s="74">
        <v>159600</v>
      </c>
      <c r="H92" s="74">
        <v>3420</v>
      </c>
      <c r="I92" s="74">
        <v>0</v>
      </c>
      <c r="J92" s="74">
        <v>156180</v>
      </c>
      <c r="K92" s="74">
        <v>10933</v>
      </c>
      <c r="L92" s="74">
        <v>16714</v>
      </c>
      <c r="M92" s="74">
        <v>183827</v>
      </c>
    </row>
    <row r="93" spans="1:13" ht="15.5" x14ac:dyDescent="0.35">
      <c r="A93" t="s">
        <v>466</v>
      </c>
      <c r="B93" t="s">
        <v>467</v>
      </c>
      <c r="C93" t="s">
        <v>137</v>
      </c>
      <c r="D93" t="s">
        <v>161</v>
      </c>
      <c r="E93" s="74">
        <v>7</v>
      </c>
      <c r="F93" s="74">
        <v>11500</v>
      </c>
      <c r="G93" s="74">
        <v>80500</v>
      </c>
      <c r="H93" s="74">
        <v>0</v>
      </c>
      <c r="I93" s="74">
        <v>0</v>
      </c>
      <c r="J93" s="74">
        <v>80500</v>
      </c>
      <c r="K93" s="74">
        <v>0</v>
      </c>
      <c r="L93" s="74">
        <v>8050</v>
      </c>
      <c r="M93" s="74">
        <v>88550</v>
      </c>
    </row>
    <row r="94" spans="1:13" ht="15.5" x14ac:dyDescent="0.35">
      <c r="A94" t="s">
        <v>400</v>
      </c>
      <c r="B94" t="s">
        <v>401</v>
      </c>
      <c r="C94" t="s">
        <v>137</v>
      </c>
      <c r="D94" t="s">
        <v>392</v>
      </c>
      <c r="E94" s="74">
        <v>6</v>
      </c>
      <c r="F94" s="74">
        <v>55200</v>
      </c>
      <c r="G94" s="74">
        <v>331200</v>
      </c>
      <c r="H94" s="74">
        <v>0</v>
      </c>
      <c r="I94" s="74">
        <v>0</v>
      </c>
      <c r="J94" s="74">
        <v>331200</v>
      </c>
      <c r="K94" s="74">
        <v>0</v>
      </c>
      <c r="L94" s="74">
        <v>33120</v>
      </c>
      <c r="M94" s="74">
        <v>364320</v>
      </c>
    </row>
    <row r="95" spans="1:13" ht="15.5" x14ac:dyDescent="0.35">
      <c r="A95" t="s">
        <v>459</v>
      </c>
      <c r="B95" t="s">
        <v>460</v>
      </c>
      <c r="C95" t="s">
        <v>137</v>
      </c>
      <c r="D95" t="s">
        <v>161</v>
      </c>
      <c r="E95" s="74">
        <v>6</v>
      </c>
      <c r="F95" s="74">
        <v>43700</v>
      </c>
      <c r="G95" s="74">
        <v>262200</v>
      </c>
      <c r="H95" s="74">
        <v>0</v>
      </c>
      <c r="I95" s="74">
        <v>0</v>
      </c>
      <c r="J95" s="74">
        <v>262200</v>
      </c>
      <c r="K95" s="74">
        <v>0</v>
      </c>
      <c r="L95" s="74">
        <v>26220</v>
      </c>
      <c r="M95" s="74">
        <v>288420</v>
      </c>
    </row>
    <row r="96" spans="1:13" ht="15.5" x14ac:dyDescent="0.35">
      <c r="A96" t="s">
        <v>471</v>
      </c>
      <c r="B96" t="s">
        <v>472</v>
      </c>
      <c r="C96" t="s">
        <v>137</v>
      </c>
      <c r="D96" t="s">
        <v>392</v>
      </c>
      <c r="E96" s="74">
        <v>5</v>
      </c>
      <c r="F96" s="74">
        <v>48000</v>
      </c>
      <c r="G96" s="74">
        <v>240000</v>
      </c>
      <c r="H96" s="74">
        <v>0</v>
      </c>
      <c r="I96" s="74">
        <v>0</v>
      </c>
      <c r="J96" s="74">
        <v>240000</v>
      </c>
      <c r="K96" s="74">
        <v>16800</v>
      </c>
      <c r="L96" s="74">
        <v>25680</v>
      </c>
      <c r="M96" s="74">
        <v>282480</v>
      </c>
    </row>
    <row r="97" spans="1:13" ht="15.5" x14ac:dyDescent="0.35">
      <c r="A97" t="s">
        <v>570</v>
      </c>
      <c r="B97" t="s">
        <v>533</v>
      </c>
      <c r="C97" t="s">
        <v>520</v>
      </c>
      <c r="D97" t="s">
        <v>135</v>
      </c>
      <c r="E97" s="74">
        <v>5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</row>
    <row r="98" spans="1:13" ht="15.5" x14ac:dyDescent="0.35">
      <c r="A98" t="s">
        <v>419</v>
      </c>
      <c r="B98" t="s">
        <v>522</v>
      </c>
      <c r="C98" t="s">
        <v>130</v>
      </c>
      <c r="D98" t="s">
        <v>131</v>
      </c>
      <c r="E98" s="74">
        <v>5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</row>
    <row r="99" spans="1:13" ht="15.5" x14ac:dyDescent="0.35">
      <c r="A99" t="s">
        <v>477</v>
      </c>
      <c r="B99" t="s">
        <v>478</v>
      </c>
      <c r="C99" t="s">
        <v>137</v>
      </c>
      <c r="D99" t="s">
        <v>161</v>
      </c>
      <c r="E99" s="74">
        <v>5</v>
      </c>
      <c r="F99" s="74">
        <v>52000</v>
      </c>
      <c r="G99" s="74">
        <v>260000</v>
      </c>
      <c r="H99" s="74">
        <v>0</v>
      </c>
      <c r="I99" s="74">
        <v>0</v>
      </c>
      <c r="J99" s="74">
        <v>260000</v>
      </c>
      <c r="K99" s="74">
        <v>18200</v>
      </c>
      <c r="L99" s="74">
        <v>27820</v>
      </c>
      <c r="M99" s="74">
        <v>306020</v>
      </c>
    </row>
    <row r="100" spans="1:13" ht="15.5" x14ac:dyDescent="0.35">
      <c r="A100" t="s">
        <v>428</v>
      </c>
      <c r="B100" t="s">
        <v>429</v>
      </c>
      <c r="C100" t="s">
        <v>137</v>
      </c>
      <c r="D100" t="s">
        <v>393</v>
      </c>
      <c r="E100" s="74">
        <v>4</v>
      </c>
      <c r="F100" s="74">
        <v>43700</v>
      </c>
      <c r="G100" s="74">
        <v>174800</v>
      </c>
      <c r="H100" s="74">
        <v>0</v>
      </c>
      <c r="I100" s="74">
        <v>0</v>
      </c>
      <c r="J100" s="74">
        <v>174800</v>
      </c>
      <c r="K100" s="74">
        <v>0</v>
      </c>
      <c r="L100" s="74">
        <v>17480</v>
      </c>
      <c r="M100" s="74">
        <v>192280</v>
      </c>
    </row>
    <row r="101" spans="1:13" ht="15.5" x14ac:dyDescent="0.35">
      <c r="A101" t="s">
        <v>404</v>
      </c>
      <c r="B101" t="s">
        <v>405</v>
      </c>
      <c r="C101" t="s">
        <v>137</v>
      </c>
      <c r="D101" t="s">
        <v>392</v>
      </c>
      <c r="E101" s="74">
        <v>4</v>
      </c>
      <c r="F101" s="74">
        <v>55200</v>
      </c>
      <c r="G101" s="74">
        <v>220800</v>
      </c>
      <c r="H101" s="74">
        <v>0</v>
      </c>
      <c r="I101" s="74">
        <v>0</v>
      </c>
      <c r="J101" s="74">
        <v>220800</v>
      </c>
      <c r="K101" s="74">
        <v>0</v>
      </c>
      <c r="L101" s="74">
        <v>22080</v>
      </c>
      <c r="M101" s="74">
        <v>242880</v>
      </c>
    </row>
    <row r="102" spans="1:13" ht="15.5" x14ac:dyDescent="0.35">
      <c r="A102" t="s">
        <v>407</v>
      </c>
      <c r="B102" t="s">
        <v>408</v>
      </c>
      <c r="C102" t="s">
        <v>137</v>
      </c>
      <c r="D102" t="s">
        <v>181</v>
      </c>
      <c r="E102" s="74">
        <v>4</v>
      </c>
      <c r="F102" s="74">
        <v>40250</v>
      </c>
      <c r="G102" s="74">
        <v>161000</v>
      </c>
      <c r="H102" s="74">
        <v>0</v>
      </c>
      <c r="I102" s="74">
        <v>0</v>
      </c>
      <c r="J102" s="74">
        <v>161000</v>
      </c>
      <c r="K102" s="74">
        <v>0</v>
      </c>
      <c r="L102" s="74">
        <v>16100</v>
      </c>
      <c r="M102" s="74">
        <v>177100</v>
      </c>
    </row>
    <row r="103" spans="1:13" ht="15.5" x14ac:dyDescent="0.35">
      <c r="A103" t="s">
        <v>505</v>
      </c>
      <c r="B103" t="s">
        <v>260</v>
      </c>
      <c r="C103" t="s">
        <v>137</v>
      </c>
      <c r="D103" t="s">
        <v>161</v>
      </c>
      <c r="E103" s="74">
        <v>4</v>
      </c>
      <c r="F103" s="74">
        <v>40250</v>
      </c>
      <c r="G103" s="74">
        <v>161000</v>
      </c>
      <c r="H103" s="74">
        <v>0</v>
      </c>
      <c r="I103" s="74">
        <v>0</v>
      </c>
      <c r="J103" s="74">
        <v>161000</v>
      </c>
      <c r="K103" s="74">
        <v>0</v>
      </c>
      <c r="L103" s="74">
        <v>16100</v>
      </c>
      <c r="M103" s="74">
        <v>177100</v>
      </c>
    </row>
    <row r="104" spans="1:13" ht="15.5" x14ac:dyDescent="0.35">
      <c r="A104" t="s">
        <v>426</v>
      </c>
      <c r="B104" t="s">
        <v>160</v>
      </c>
      <c r="C104" t="s">
        <v>137</v>
      </c>
      <c r="D104" t="s">
        <v>161</v>
      </c>
      <c r="E104" s="74">
        <v>4</v>
      </c>
      <c r="F104" s="74">
        <v>41400</v>
      </c>
      <c r="G104" s="74">
        <v>165600</v>
      </c>
      <c r="H104" s="74">
        <v>0</v>
      </c>
      <c r="I104" s="74">
        <v>0</v>
      </c>
      <c r="J104" s="74">
        <v>165600</v>
      </c>
      <c r="K104" s="74">
        <v>0</v>
      </c>
      <c r="L104" s="74">
        <v>16560</v>
      </c>
      <c r="M104" s="74">
        <v>182160</v>
      </c>
    </row>
    <row r="105" spans="1:13" ht="15.5" x14ac:dyDescent="0.35">
      <c r="A105" t="s">
        <v>490</v>
      </c>
      <c r="B105" t="s">
        <v>239</v>
      </c>
      <c r="C105" t="s">
        <v>137</v>
      </c>
      <c r="D105" t="s">
        <v>491</v>
      </c>
      <c r="E105" s="74">
        <v>3</v>
      </c>
      <c r="F105" s="74">
        <v>49450</v>
      </c>
      <c r="G105" s="74">
        <v>148350</v>
      </c>
      <c r="H105" s="74">
        <v>0</v>
      </c>
      <c r="I105" s="74">
        <v>0</v>
      </c>
      <c r="J105" s="74">
        <v>148350</v>
      </c>
      <c r="K105" s="74">
        <v>0</v>
      </c>
      <c r="L105" s="74">
        <v>14835</v>
      </c>
      <c r="M105" s="74">
        <v>163185</v>
      </c>
    </row>
    <row r="106" spans="1:13" ht="15.5" x14ac:dyDescent="0.35">
      <c r="A106" t="s">
        <v>571</v>
      </c>
      <c r="B106" t="s">
        <v>366</v>
      </c>
      <c r="C106" t="s">
        <v>520</v>
      </c>
      <c r="D106" t="s">
        <v>135</v>
      </c>
      <c r="E106" s="74">
        <v>3</v>
      </c>
      <c r="F106" s="74">
        <v>3000</v>
      </c>
      <c r="G106" s="74">
        <v>9000</v>
      </c>
      <c r="H106" s="74">
        <v>0</v>
      </c>
      <c r="I106" s="74">
        <v>0</v>
      </c>
      <c r="J106" s="74">
        <v>9000</v>
      </c>
      <c r="K106" s="74">
        <v>210</v>
      </c>
      <c r="L106" s="74">
        <v>921</v>
      </c>
      <c r="M106" s="74">
        <v>10131</v>
      </c>
    </row>
    <row r="107" spans="1:13" ht="15.5" x14ac:dyDescent="0.35">
      <c r="A107" t="s">
        <v>512</v>
      </c>
      <c r="B107" t="s">
        <v>513</v>
      </c>
      <c r="C107" t="s">
        <v>137</v>
      </c>
      <c r="D107" t="s">
        <v>27</v>
      </c>
      <c r="E107" s="74">
        <v>3</v>
      </c>
      <c r="F107" s="74">
        <v>47150</v>
      </c>
      <c r="G107" s="74">
        <v>141450</v>
      </c>
      <c r="H107" s="74">
        <v>0</v>
      </c>
      <c r="I107" s="74">
        <v>0</v>
      </c>
      <c r="J107" s="74">
        <v>141450</v>
      </c>
      <c r="K107" s="74">
        <v>0</v>
      </c>
      <c r="L107" s="74">
        <v>14145</v>
      </c>
      <c r="M107" s="74">
        <v>155595</v>
      </c>
    </row>
    <row r="108" spans="1:13" ht="15.5" x14ac:dyDescent="0.35">
      <c r="A108" t="s">
        <v>473</v>
      </c>
      <c r="B108" t="s">
        <v>474</v>
      </c>
      <c r="C108" t="s">
        <v>137</v>
      </c>
      <c r="D108" t="s">
        <v>161</v>
      </c>
      <c r="E108" s="74">
        <v>3</v>
      </c>
      <c r="F108" s="74">
        <v>14950</v>
      </c>
      <c r="G108" s="74">
        <v>44850</v>
      </c>
      <c r="H108" s="74">
        <v>0</v>
      </c>
      <c r="I108" s="74">
        <v>0</v>
      </c>
      <c r="J108" s="74">
        <v>44850</v>
      </c>
      <c r="K108" s="74">
        <v>0</v>
      </c>
      <c r="L108" s="74">
        <v>4485</v>
      </c>
      <c r="M108" s="74">
        <v>49335</v>
      </c>
    </row>
    <row r="109" spans="1:13" ht="15.5" x14ac:dyDescent="0.35">
      <c r="A109" t="s">
        <v>452</v>
      </c>
      <c r="B109" t="s">
        <v>453</v>
      </c>
      <c r="C109" t="s">
        <v>137</v>
      </c>
      <c r="D109" t="s">
        <v>161</v>
      </c>
      <c r="E109" s="74">
        <v>3</v>
      </c>
      <c r="F109" s="74">
        <v>43700</v>
      </c>
      <c r="G109" s="74">
        <v>131100</v>
      </c>
      <c r="H109" s="74">
        <v>0</v>
      </c>
      <c r="I109" s="74">
        <v>0</v>
      </c>
      <c r="J109" s="74">
        <v>131100</v>
      </c>
      <c r="K109" s="74">
        <v>0</v>
      </c>
      <c r="L109" s="74">
        <v>13110</v>
      </c>
      <c r="M109" s="74">
        <v>144210</v>
      </c>
    </row>
    <row r="110" spans="1:13" ht="15.5" x14ac:dyDescent="0.35">
      <c r="A110" t="s">
        <v>471</v>
      </c>
      <c r="B110" t="s">
        <v>472</v>
      </c>
      <c r="C110" t="s">
        <v>137</v>
      </c>
      <c r="D110" t="s">
        <v>392</v>
      </c>
      <c r="E110" s="74">
        <v>2</v>
      </c>
      <c r="F110" s="74">
        <v>55200</v>
      </c>
      <c r="G110" s="74">
        <v>110400</v>
      </c>
      <c r="H110" s="74">
        <v>0</v>
      </c>
      <c r="I110" s="74">
        <v>0</v>
      </c>
      <c r="J110" s="74">
        <v>110400</v>
      </c>
      <c r="K110" s="74">
        <v>0</v>
      </c>
      <c r="L110" s="74">
        <v>11040</v>
      </c>
      <c r="M110" s="74">
        <v>121440</v>
      </c>
    </row>
    <row r="111" spans="1:13" ht="15.5" x14ac:dyDescent="0.35">
      <c r="A111" t="s">
        <v>461</v>
      </c>
      <c r="B111" t="s">
        <v>462</v>
      </c>
      <c r="C111" t="s">
        <v>137</v>
      </c>
      <c r="D111" t="s">
        <v>392</v>
      </c>
      <c r="E111" s="74">
        <v>2</v>
      </c>
      <c r="F111" s="74">
        <v>43700</v>
      </c>
      <c r="G111" s="74">
        <v>87400</v>
      </c>
      <c r="H111" s="74">
        <v>0</v>
      </c>
      <c r="I111" s="74">
        <v>0</v>
      </c>
      <c r="J111" s="74">
        <v>87400</v>
      </c>
      <c r="K111" s="74">
        <v>0</v>
      </c>
      <c r="L111" s="74">
        <v>8740</v>
      </c>
      <c r="M111" s="74">
        <v>96140</v>
      </c>
    </row>
    <row r="112" spans="1:13" ht="15.5" x14ac:dyDescent="0.35">
      <c r="A112" t="s">
        <v>436</v>
      </c>
      <c r="B112" t="s">
        <v>394</v>
      </c>
      <c r="C112" t="s">
        <v>137</v>
      </c>
      <c r="D112" t="s">
        <v>392</v>
      </c>
      <c r="E112" s="74">
        <v>2</v>
      </c>
      <c r="F112" s="74">
        <v>63250</v>
      </c>
      <c r="G112" s="74">
        <v>126500</v>
      </c>
      <c r="H112" s="74">
        <v>0</v>
      </c>
      <c r="I112" s="74">
        <v>0</v>
      </c>
      <c r="J112" s="74">
        <v>126500</v>
      </c>
      <c r="K112" s="74">
        <v>0</v>
      </c>
      <c r="L112" s="74">
        <v>12650</v>
      </c>
      <c r="M112" s="74">
        <v>139150</v>
      </c>
    </row>
    <row r="113" spans="1:13" ht="15.5" x14ac:dyDescent="0.35">
      <c r="A113" t="s">
        <v>413</v>
      </c>
      <c r="B113" t="s">
        <v>27</v>
      </c>
      <c r="C113" t="s">
        <v>137</v>
      </c>
      <c r="D113" t="s">
        <v>161</v>
      </c>
      <c r="E113" s="74">
        <v>2</v>
      </c>
      <c r="F113" s="74">
        <v>11500</v>
      </c>
      <c r="G113" s="74">
        <v>23000</v>
      </c>
      <c r="H113" s="74">
        <v>0</v>
      </c>
      <c r="I113" s="74">
        <v>0</v>
      </c>
      <c r="J113" s="74">
        <v>23000</v>
      </c>
      <c r="K113" s="74">
        <v>0</v>
      </c>
      <c r="L113" s="74">
        <v>2300</v>
      </c>
      <c r="M113" s="74">
        <v>25300</v>
      </c>
    </row>
    <row r="114" spans="1:13" ht="15.5" x14ac:dyDescent="0.35">
      <c r="A114" t="s">
        <v>501</v>
      </c>
      <c r="B114" t="s">
        <v>330</v>
      </c>
      <c r="C114" t="s">
        <v>137</v>
      </c>
      <c r="D114" t="s">
        <v>161</v>
      </c>
      <c r="E114" s="74">
        <v>2</v>
      </c>
      <c r="F114" s="74">
        <v>35000</v>
      </c>
      <c r="G114" s="74">
        <v>70000</v>
      </c>
      <c r="H114" s="74">
        <v>0</v>
      </c>
      <c r="I114" s="74">
        <v>0</v>
      </c>
      <c r="J114" s="74">
        <v>70000</v>
      </c>
      <c r="K114" s="74">
        <v>4900</v>
      </c>
      <c r="L114" s="74">
        <v>7490</v>
      </c>
      <c r="M114" s="74">
        <v>82390</v>
      </c>
    </row>
    <row r="115" spans="1:13" ht="15.5" x14ac:dyDescent="0.35">
      <c r="A115" t="s">
        <v>434</v>
      </c>
      <c r="B115" t="s">
        <v>435</v>
      </c>
      <c r="C115" t="s">
        <v>137</v>
      </c>
      <c r="D115" t="s">
        <v>161</v>
      </c>
      <c r="E115" s="74">
        <v>2</v>
      </c>
      <c r="F115" s="74">
        <v>17250</v>
      </c>
      <c r="G115" s="74">
        <v>34500</v>
      </c>
      <c r="H115" s="74">
        <v>0</v>
      </c>
      <c r="I115" s="74">
        <v>0</v>
      </c>
      <c r="J115" s="74">
        <v>34500</v>
      </c>
      <c r="K115" s="74">
        <v>0</v>
      </c>
      <c r="L115" s="74">
        <v>3450</v>
      </c>
      <c r="M115" s="74">
        <v>37950</v>
      </c>
    </row>
    <row r="116" spans="1:13" ht="15.5" x14ac:dyDescent="0.35">
      <c r="A116" t="s">
        <v>503</v>
      </c>
      <c r="B116" t="s">
        <v>504</v>
      </c>
      <c r="C116" t="s">
        <v>137</v>
      </c>
      <c r="D116" t="s">
        <v>441</v>
      </c>
      <c r="E116" s="74">
        <v>1</v>
      </c>
      <c r="F116" s="74">
        <v>64400</v>
      </c>
      <c r="G116" s="74">
        <v>64400</v>
      </c>
      <c r="H116" s="74">
        <v>0</v>
      </c>
      <c r="I116" s="74">
        <v>0</v>
      </c>
      <c r="J116" s="74">
        <v>64400</v>
      </c>
      <c r="K116" s="74">
        <v>0</v>
      </c>
      <c r="L116" s="74">
        <v>6440</v>
      </c>
      <c r="M116" s="74">
        <v>70840</v>
      </c>
    </row>
    <row r="117" spans="1:13" ht="15.5" x14ac:dyDescent="0.35">
      <c r="A117" t="s">
        <v>427</v>
      </c>
      <c r="B117" t="s">
        <v>395</v>
      </c>
      <c r="C117" t="s">
        <v>137</v>
      </c>
      <c r="D117" t="s">
        <v>392</v>
      </c>
      <c r="E117" s="74">
        <v>1</v>
      </c>
      <c r="F117" s="74">
        <v>74750</v>
      </c>
      <c r="G117" s="74">
        <v>74750</v>
      </c>
      <c r="H117" s="74">
        <v>0</v>
      </c>
      <c r="I117" s="74">
        <v>0</v>
      </c>
      <c r="J117" s="74">
        <v>74750</v>
      </c>
      <c r="K117" s="74">
        <v>0</v>
      </c>
      <c r="L117" s="74">
        <v>7475</v>
      </c>
      <c r="M117" s="74">
        <v>82225</v>
      </c>
    </row>
    <row r="118" spans="1:13" ht="15.5" x14ac:dyDescent="0.35">
      <c r="A118" t="s">
        <v>451</v>
      </c>
      <c r="B118" t="s">
        <v>336</v>
      </c>
      <c r="C118" t="s">
        <v>130</v>
      </c>
      <c r="D118" t="s">
        <v>155</v>
      </c>
      <c r="E118" s="74">
        <v>1</v>
      </c>
      <c r="F118" s="74">
        <v>25080</v>
      </c>
      <c r="G118" s="74">
        <v>25080</v>
      </c>
      <c r="H118" s="74">
        <v>0</v>
      </c>
      <c r="I118" s="74">
        <v>0</v>
      </c>
      <c r="J118" s="74">
        <v>25080</v>
      </c>
      <c r="K118" s="74">
        <v>0</v>
      </c>
      <c r="L118" s="74">
        <v>2508</v>
      </c>
      <c r="M118" s="74">
        <v>27588</v>
      </c>
    </row>
    <row r="119" spans="1:13" ht="15.5" x14ac:dyDescent="0.35">
      <c r="A119" t="s">
        <v>417</v>
      </c>
      <c r="B119" t="s">
        <v>183</v>
      </c>
      <c r="C119" t="s">
        <v>130</v>
      </c>
      <c r="D119" t="s">
        <v>155</v>
      </c>
      <c r="E119" s="74">
        <v>1</v>
      </c>
      <c r="F119" s="74">
        <v>25080</v>
      </c>
      <c r="G119" s="74">
        <v>25080</v>
      </c>
      <c r="H119" s="74">
        <v>0</v>
      </c>
      <c r="I119" s="74">
        <v>0</v>
      </c>
      <c r="J119" s="74">
        <v>25080</v>
      </c>
      <c r="K119" s="74">
        <v>0</v>
      </c>
      <c r="L119" s="74">
        <v>2508</v>
      </c>
      <c r="M119" s="74">
        <v>27588</v>
      </c>
    </row>
    <row r="120" spans="1:13" ht="15.5" x14ac:dyDescent="0.35">
      <c r="A120" t="s">
        <v>508</v>
      </c>
      <c r="B120" t="s">
        <v>509</v>
      </c>
      <c r="C120" t="s">
        <v>137</v>
      </c>
      <c r="D120" t="s">
        <v>27</v>
      </c>
      <c r="E120" s="74">
        <v>1</v>
      </c>
      <c r="F120" s="74">
        <v>59800</v>
      </c>
      <c r="G120" s="74">
        <v>59800</v>
      </c>
      <c r="H120" s="74">
        <v>0</v>
      </c>
      <c r="I120" s="74">
        <v>0</v>
      </c>
      <c r="J120" s="74">
        <v>59800</v>
      </c>
      <c r="K120" s="74">
        <v>0</v>
      </c>
      <c r="L120" s="74">
        <v>5980</v>
      </c>
      <c r="M120" s="74">
        <v>65780</v>
      </c>
    </row>
    <row r="121" spans="1:13" ht="15.5" x14ac:dyDescent="0.35">
      <c r="A121" t="s">
        <v>420</v>
      </c>
      <c r="B121" t="s">
        <v>368</v>
      </c>
      <c r="C121" t="s">
        <v>137</v>
      </c>
      <c r="D121" t="s">
        <v>161</v>
      </c>
      <c r="E121" s="74">
        <v>1</v>
      </c>
      <c r="F121" s="74">
        <v>43700</v>
      </c>
      <c r="G121" s="74">
        <v>43700</v>
      </c>
      <c r="H121" s="74">
        <v>0</v>
      </c>
      <c r="I121" s="74">
        <v>0</v>
      </c>
      <c r="J121" s="74">
        <v>43700</v>
      </c>
      <c r="K121" s="74">
        <v>0</v>
      </c>
      <c r="L121" s="74">
        <v>4370</v>
      </c>
      <c r="M121" s="74">
        <v>48070</v>
      </c>
    </row>
    <row r="122" spans="1:13" ht="15.5" x14ac:dyDescent="0.35">
      <c r="A122" t="s">
        <v>470</v>
      </c>
      <c r="B122" t="s">
        <v>518</v>
      </c>
      <c r="C122" t="s">
        <v>137</v>
      </c>
      <c r="D122" t="s">
        <v>161</v>
      </c>
      <c r="E122" s="74">
        <v>1</v>
      </c>
      <c r="F122" s="74">
        <v>11500</v>
      </c>
      <c r="G122" s="74">
        <v>11500</v>
      </c>
      <c r="H122" s="74">
        <v>0</v>
      </c>
      <c r="I122" s="74">
        <v>0</v>
      </c>
      <c r="J122" s="74">
        <v>11500</v>
      </c>
      <c r="K122" s="74">
        <v>0</v>
      </c>
      <c r="L122" s="74">
        <v>1150</v>
      </c>
      <c r="M122" s="74">
        <v>12650</v>
      </c>
    </row>
    <row r="123" spans="1:13" ht="15.5" x14ac:dyDescent="0.35">
      <c r="A123" t="s">
        <v>492</v>
      </c>
      <c r="B123" t="s">
        <v>280</v>
      </c>
      <c r="C123" t="s">
        <v>137</v>
      </c>
      <c r="D123" t="s">
        <v>161</v>
      </c>
      <c r="E123" s="74">
        <v>1</v>
      </c>
      <c r="F123" s="74">
        <v>41400</v>
      </c>
      <c r="G123" s="74">
        <v>41400</v>
      </c>
      <c r="H123" s="74">
        <v>0</v>
      </c>
      <c r="I123" s="74">
        <v>0</v>
      </c>
      <c r="J123" s="74">
        <v>41400</v>
      </c>
      <c r="K123" s="74">
        <v>0</v>
      </c>
      <c r="L123" s="74">
        <v>4140</v>
      </c>
      <c r="M123" s="74">
        <v>45540</v>
      </c>
    </row>
    <row r="124" spans="1:13" ht="15.5" x14ac:dyDescent="0.35">
      <c r="A124" t="s">
        <v>443</v>
      </c>
      <c r="B124" t="s">
        <v>444</v>
      </c>
      <c r="C124" t="s">
        <v>137</v>
      </c>
      <c r="D124" t="s">
        <v>161</v>
      </c>
      <c r="E124" s="74">
        <v>1</v>
      </c>
      <c r="F124" s="74">
        <v>10350</v>
      </c>
      <c r="G124" s="74">
        <v>10350</v>
      </c>
      <c r="H124" s="74">
        <v>0</v>
      </c>
      <c r="I124" s="74">
        <v>0</v>
      </c>
      <c r="J124" s="74">
        <v>10350</v>
      </c>
      <c r="K124" s="74">
        <v>0</v>
      </c>
      <c r="L124" s="74">
        <v>1035</v>
      </c>
      <c r="M124" s="74">
        <v>11385</v>
      </c>
    </row>
    <row r="125" spans="1:13" ht="15.5" x14ac:dyDescent="0.35">
      <c r="A125" t="s">
        <v>501</v>
      </c>
      <c r="B125" t="s">
        <v>330</v>
      </c>
      <c r="C125" t="s">
        <v>137</v>
      </c>
      <c r="D125" t="s">
        <v>161</v>
      </c>
      <c r="E125" s="74">
        <v>1</v>
      </c>
      <c r="F125" s="74">
        <v>40250</v>
      </c>
      <c r="G125" s="74">
        <v>40250</v>
      </c>
      <c r="H125" s="74">
        <v>0</v>
      </c>
      <c r="I125" s="74">
        <v>0</v>
      </c>
      <c r="J125" s="74">
        <v>40250</v>
      </c>
      <c r="K125" s="74">
        <v>0</v>
      </c>
      <c r="L125" s="74">
        <v>4025</v>
      </c>
      <c r="M125" s="74">
        <v>44275</v>
      </c>
    </row>
    <row r="126" spans="1:13" ht="15.5" x14ac:dyDescent="0.35">
      <c r="A126" t="s">
        <v>445</v>
      </c>
      <c r="B126" t="s">
        <v>446</v>
      </c>
      <c r="C126" t="s">
        <v>137</v>
      </c>
      <c r="D126" t="s">
        <v>161</v>
      </c>
      <c r="E126" s="74">
        <v>1</v>
      </c>
      <c r="F126" s="74">
        <v>44850</v>
      </c>
      <c r="G126" s="74">
        <v>44850</v>
      </c>
      <c r="H126" s="74">
        <v>0</v>
      </c>
      <c r="I126" s="74">
        <v>0</v>
      </c>
      <c r="J126" s="74">
        <v>44850</v>
      </c>
      <c r="K126" s="74">
        <v>0</v>
      </c>
      <c r="L126" s="74">
        <v>4485</v>
      </c>
      <c r="M126" s="74">
        <v>49335</v>
      </c>
    </row>
    <row r="127" spans="1:13" ht="15.5" x14ac:dyDescent="0.35">
      <c r="A127" t="s">
        <v>477</v>
      </c>
      <c r="B127" t="s">
        <v>478</v>
      </c>
      <c r="C127" t="s">
        <v>137</v>
      </c>
      <c r="D127" t="s">
        <v>161</v>
      </c>
      <c r="E127" s="74">
        <v>1</v>
      </c>
      <c r="F127" s="74">
        <v>59800</v>
      </c>
      <c r="G127" s="74">
        <v>59800</v>
      </c>
      <c r="H127" s="74">
        <v>0</v>
      </c>
      <c r="I127" s="74">
        <v>0</v>
      </c>
      <c r="J127" s="74">
        <v>59800</v>
      </c>
      <c r="K127" s="74">
        <v>0</v>
      </c>
      <c r="L127" s="74">
        <v>5980</v>
      </c>
      <c r="M127" s="74">
        <v>65780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brisket</vt:lpstr>
      <vt:lpstr>Chuck Crest</vt:lpstr>
      <vt:lpstr>Tokusen Wagyu</vt:lpstr>
      <vt:lpstr>Beef Ham</vt:lpstr>
      <vt:lpstr>Beras</vt:lpstr>
      <vt:lpstr>Telur Geranjim</vt:lpstr>
      <vt:lpstr>Sheet1</vt:lpstr>
      <vt:lpstr>CK Korean Noodle</vt:lpstr>
      <vt:lpstr>Mie Kalguksu</vt:lpstr>
      <vt:lpstr>Beras-HG</vt:lpstr>
      <vt:lpstr>Udang-HG</vt:lpstr>
      <vt:lpstr>Telur utuh-HG</vt:lpstr>
      <vt:lpstr>Sheet7</vt:lpstr>
      <vt:lpstr>brisket!Print_Area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document tara92</dc:creator>
  <cp:lastModifiedBy>document tara92</cp:lastModifiedBy>
  <cp:lastPrinted>2024-10-30T09:07:01Z</cp:lastPrinted>
  <dcterms:created xsi:type="dcterms:W3CDTF">2024-09-16T19:14:20Z</dcterms:created>
  <dcterms:modified xsi:type="dcterms:W3CDTF">2024-10-30T12:14:15Z</dcterms:modified>
</cp:coreProperties>
</file>
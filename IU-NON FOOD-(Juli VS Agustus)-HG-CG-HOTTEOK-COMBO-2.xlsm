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dolamplaz\Downloads\"/>
    </mc:Choice>
  </mc:AlternateContent>
  <xr:revisionPtr revIDLastSave="0" documentId="13_ncr:1_{8B0E913C-287B-4F15-8D06-B3DF0005DEE9}" xr6:coauthVersionLast="47" xr6:coauthVersionMax="47" xr10:uidLastSave="{00000000-0000-0000-0000-000000000000}"/>
  <bookViews>
    <workbookView xWindow="-110" yWindow="-110" windowWidth="19420" windowHeight="10300" firstSheet="1" activeTab="1" xr2:uid="{168A666E-67CD-4C71-85BD-73B97A7CC86D}"/>
  </bookViews>
  <sheets>
    <sheet name="CG-GLC" sheetId="1" r:id="rId1"/>
    <sheet name="CG-AMPLAZ" sheetId="2" r:id="rId2"/>
    <sheet name="CG-MKG" sheetId="3" r:id="rId3"/>
    <sheet name="CG-ATB" sheetId="4" r:id="rId4"/>
    <sheet name="CG-JGC" sheetId="5" r:id="rId5"/>
    <sheet name="CG-SMS" sheetId="6" r:id="rId6"/>
    <sheet name="CG-BXC" sheetId="7" r:id="rId7"/>
    <sheet name="HG-GLC" sheetId="8" r:id="rId8"/>
    <sheet name="HG-BXC" sheetId="9" r:id="rId9"/>
    <sheet name="HOTTEOK-KOKAS" sheetId="10" r:id="rId10"/>
    <sheet name="HOTTEOK-BLOK M" sheetId="11" r:id="rId11"/>
    <sheet name="HC-ADM" sheetId="12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0" i="2" l="1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7" i="6"/>
  <c r="J8" i="6"/>
  <c r="J9" i="6"/>
  <c r="J10" i="6"/>
  <c r="J11" i="6"/>
  <c r="J12" i="6"/>
  <c r="J13" i="6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7" i="12"/>
  <c r="J8" i="12"/>
  <c r="J9" i="12"/>
  <c r="J10" i="12"/>
  <c r="J11" i="12"/>
  <c r="J12" i="12"/>
  <c r="J13" i="12"/>
  <c r="J14" i="12"/>
  <c r="J15" i="12"/>
  <c r="J16" i="12"/>
  <c r="J6" i="12"/>
  <c r="J6" i="11"/>
  <c r="J6" i="4"/>
  <c r="J14" i="1"/>
  <c r="J13" i="1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6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" i="1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6" i="4"/>
  <c r="C6" i="4"/>
  <c r="C137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" i="1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6" i="4"/>
  <c r="B13" i="1"/>
  <c r="A6" i="4" a="1"/>
  <c r="A6" i="4" s="1"/>
  <c r="A13" i="1" a="1"/>
  <c r="A13" i="1" s="1"/>
  <c r="J6" i="9" l="1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105" i="12"/>
  <c r="H106" i="12"/>
  <c r="H107" i="12"/>
  <c r="H108" i="12"/>
  <c r="H109" i="12"/>
  <c r="H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6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6" i="9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6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6" i="9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6" i="12"/>
  <c r="B6" i="9"/>
  <c r="A6" i="12" a="1"/>
  <c r="A6" i="12" s="1"/>
  <c r="A6" i="9" a="1"/>
  <c r="A6" i="9"/>
  <c r="J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6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6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4" i="1"/>
  <c r="B94" i="6"/>
  <c r="B95" i="6"/>
  <c r="B96" i="6"/>
  <c r="B97" i="6"/>
  <c r="B98" i="6"/>
  <c r="B99" i="6"/>
  <c r="B100" i="6"/>
  <c r="B101" i="6"/>
  <c r="B102" i="6"/>
  <c r="B103" i="6"/>
  <c r="B104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6" i="6"/>
  <c r="A6" i="6" a="1"/>
  <c r="A6" i="6" s="1"/>
  <c r="H9" i="3" a="1"/>
  <c r="H9" i="3" s="1"/>
  <c r="J9" i="3"/>
  <c r="I9" i="3" s="1" a="1"/>
  <c r="I9" i="3" s="1"/>
  <c r="J8" i="3"/>
  <c r="H8" i="3" a="1"/>
  <c r="H8" i="3" s="1"/>
  <c r="J7" i="3"/>
  <c r="I7" i="3" s="1" a="1"/>
  <c r="I7" i="3" s="1"/>
  <c r="J6" i="3"/>
  <c r="H6" i="3" s="1" a="1"/>
  <c r="H6" i="3" s="1"/>
  <c r="I6" i="3" a="1"/>
  <c r="I6" i="3" s="1"/>
  <c r="J5" i="3"/>
  <c r="I5" i="3" a="1"/>
  <c r="I5" i="3" s="1"/>
  <c r="H5" i="3" a="1"/>
  <c r="H5" i="3" s="1"/>
  <c r="E5" i="3"/>
  <c r="F9" i="3"/>
  <c r="E9" i="3"/>
  <c r="D9" i="3"/>
  <c r="F8" i="3"/>
  <c r="E8" i="3"/>
  <c r="D8" i="3"/>
  <c r="F7" i="3"/>
  <c r="E7" i="3"/>
  <c r="D7" i="3"/>
  <c r="F6" i="3"/>
  <c r="D6" i="3" s="1"/>
  <c r="E6" i="3"/>
  <c r="F5" i="3"/>
  <c r="D5" i="3" s="1"/>
  <c r="J9" i="2"/>
  <c r="I9" i="2" s="1" a="1"/>
  <c r="I9" i="2" s="1"/>
  <c r="J8" i="2"/>
  <c r="H8" i="2" a="1"/>
  <c r="H8" i="2" s="1"/>
  <c r="J7" i="2"/>
  <c r="J6" i="2"/>
  <c r="I7" i="2" s="1" a="1"/>
  <c r="I7" i="2" s="1"/>
  <c r="I6" i="2" a="1"/>
  <c r="I6" i="2" s="1"/>
  <c r="J5" i="2"/>
  <c r="I5" i="2" a="1"/>
  <c r="I5" i="2" s="1"/>
  <c r="H5" i="2" a="1"/>
  <c r="H5" i="2" s="1"/>
  <c r="F5" i="2"/>
  <c r="E5" i="2" s="1"/>
  <c r="D5" i="2"/>
  <c r="F9" i="2"/>
  <c r="D9" i="2" s="1"/>
  <c r="E9" i="2"/>
  <c r="F8" i="2"/>
  <c r="E8" i="2"/>
  <c r="D8" i="2"/>
  <c r="F7" i="2"/>
  <c r="E7" i="2"/>
  <c r="D7" i="2"/>
  <c r="F6" i="2"/>
  <c r="E6" i="2" s="1"/>
  <c r="H6" i="7" a="1"/>
  <c r="H6" i="7"/>
  <c r="H7" i="7" a="1"/>
  <c r="H7" i="7" s="1"/>
  <c r="H8" i="7" a="1"/>
  <c r="H8" i="7"/>
  <c r="H9" i="7" a="1"/>
  <c r="H9" i="7"/>
  <c r="H5" i="7" a="1"/>
  <c r="H5" i="7" s="1"/>
  <c r="I7" i="7" a="1"/>
  <c r="I7" i="7"/>
  <c r="I8" i="7" a="1"/>
  <c r="I8" i="7"/>
  <c r="I9" i="7" a="1"/>
  <c r="I9" i="7"/>
  <c r="I6" i="7" a="1"/>
  <c r="I6" i="7" s="1"/>
  <c r="I5" i="7" a="1"/>
  <c r="I5" i="7" s="1"/>
  <c r="J6" i="7"/>
  <c r="J7" i="7"/>
  <c r="J8" i="7"/>
  <c r="J9" i="7"/>
  <c r="J5" i="7"/>
  <c r="E6" i="7"/>
  <c r="E7" i="7"/>
  <c r="E8" i="7"/>
  <c r="E9" i="7"/>
  <c r="E5" i="7"/>
  <c r="D6" i="7"/>
  <c r="D7" i="7"/>
  <c r="D8" i="7"/>
  <c r="D9" i="7"/>
  <c r="D5" i="7"/>
  <c r="F6" i="7"/>
  <c r="F7" i="7"/>
  <c r="F8" i="7"/>
  <c r="F9" i="7"/>
  <c r="F5" i="7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J9" i="9"/>
  <c r="J10" i="9"/>
  <c r="J11" i="9"/>
  <c r="J17" i="9"/>
  <c r="J18" i="9"/>
  <c r="J25" i="9"/>
  <c r="J26" i="9"/>
  <c r="J27" i="9"/>
  <c r="J33" i="9"/>
  <c r="J34" i="9"/>
  <c r="J41" i="9"/>
  <c r="J42" i="9"/>
  <c r="J43" i="9"/>
  <c r="J49" i="9"/>
  <c r="J50" i="9"/>
  <c r="J57" i="9"/>
  <c r="J58" i="9"/>
  <c r="J59" i="9"/>
  <c r="J65" i="9"/>
  <c r="J66" i="9"/>
  <c r="J73" i="9"/>
  <c r="J74" i="9"/>
  <c r="J75" i="9"/>
  <c r="J81" i="9"/>
  <c r="J82" i="9"/>
  <c r="J89" i="9"/>
  <c r="I9" i="9"/>
  <c r="I41" i="9"/>
  <c r="I65" i="9"/>
  <c r="I72" i="9"/>
  <c r="I73" i="9"/>
  <c r="I88" i="9"/>
  <c r="I89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6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6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A6" i="11" a="1"/>
  <c r="A6" i="11" s="1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6" i="10"/>
  <c r="I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6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E6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A6" i="10" a="1"/>
  <c r="A6" i="10" s="1"/>
  <c r="H9" i="9"/>
  <c r="H16" i="9"/>
  <c r="I16" i="9" s="1"/>
  <c r="H17" i="9"/>
  <c r="I17" i="9" s="1"/>
  <c r="H24" i="9"/>
  <c r="I24" i="9" s="1"/>
  <c r="H25" i="9"/>
  <c r="I25" i="9" s="1"/>
  <c r="H33" i="9"/>
  <c r="I33" i="9" s="1"/>
  <c r="H41" i="9"/>
  <c r="H48" i="9"/>
  <c r="I48" i="9" s="1"/>
  <c r="H49" i="9"/>
  <c r="I49" i="9" s="1"/>
  <c r="H57" i="9"/>
  <c r="I57" i="9" s="1"/>
  <c r="H65" i="9"/>
  <c r="H71" i="9"/>
  <c r="I71" i="9" s="1"/>
  <c r="H72" i="9"/>
  <c r="H73" i="9"/>
  <c r="H81" i="9"/>
  <c r="I81" i="9" s="1"/>
  <c r="H87" i="9"/>
  <c r="I87" i="9" s="1"/>
  <c r="H88" i="9"/>
  <c r="H89" i="9"/>
  <c r="G7" i="9"/>
  <c r="G8" i="9"/>
  <c r="G9" i="9"/>
  <c r="G10" i="9"/>
  <c r="H10" i="9" s="1"/>
  <c r="I10" i="9" s="1"/>
  <c r="G11" i="9"/>
  <c r="H11" i="9" s="1"/>
  <c r="I11" i="9" s="1"/>
  <c r="G12" i="9"/>
  <c r="H12" i="9" s="1"/>
  <c r="I12" i="9" s="1"/>
  <c r="G13" i="9"/>
  <c r="G14" i="9"/>
  <c r="G15" i="9"/>
  <c r="G16" i="9"/>
  <c r="G17" i="9"/>
  <c r="G18" i="9"/>
  <c r="H18" i="9" s="1"/>
  <c r="I18" i="9" s="1"/>
  <c r="G19" i="9"/>
  <c r="H19" i="9" s="1"/>
  <c r="I19" i="9" s="1"/>
  <c r="G20" i="9"/>
  <c r="H20" i="9" s="1"/>
  <c r="I20" i="9" s="1"/>
  <c r="G21" i="9"/>
  <c r="G22" i="9"/>
  <c r="G23" i="9"/>
  <c r="G24" i="9"/>
  <c r="G25" i="9"/>
  <c r="G26" i="9"/>
  <c r="H26" i="9" s="1"/>
  <c r="I26" i="9" s="1"/>
  <c r="G27" i="9"/>
  <c r="H27" i="9" s="1"/>
  <c r="I27" i="9" s="1"/>
  <c r="G28" i="9"/>
  <c r="H28" i="9" s="1"/>
  <c r="I28" i="9" s="1"/>
  <c r="G29" i="9"/>
  <c r="G30" i="9"/>
  <c r="G31" i="9"/>
  <c r="G32" i="9"/>
  <c r="G33" i="9"/>
  <c r="G34" i="9"/>
  <c r="H34" i="9" s="1"/>
  <c r="I34" i="9" s="1"/>
  <c r="G35" i="9"/>
  <c r="H35" i="9" s="1"/>
  <c r="I35" i="9" s="1"/>
  <c r="G36" i="9"/>
  <c r="H36" i="9" s="1"/>
  <c r="I36" i="9" s="1"/>
  <c r="G37" i="9"/>
  <c r="G38" i="9"/>
  <c r="G39" i="9"/>
  <c r="G40" i="9"/>
  <c r="G41" i="9"/>
  <c r="G42" i="9"/>
  <c r="H42" i="9" s="1"/>
  <c r="I42" i="9" s="1"/>
  <c r="G43" i="9"/>
  <c r="H43" i="9" s="1"/>
  <c r="I43" i="9" s="1"/>
  <c r="G44" i="9"/>
  <c r="H44" i="9" s="1"/>
  <c r="I44" i="9" s="1"/>
  <c r="G45" i="9"/>
  <c r="G46" i="9"/>
  <c r="G47" i="9"/>
  <c r="G48" i="9"/>
  <c r="G49" i="9"/>
  <c r="G50" i="9"/>
  <c r="H50" i="9" s="1"/>
  <c r="I50" i="9" s="1"/>
  <c r="G51" i="9"/>
  <c r="H51" i="9" s="1"/>
  <c r="I51" i="9" s="1"/>
  <c r="G52" i="9"/>
  <c r="H52" i="9" s="1"/>
  <c r="I52" i="9" s="1"/>
  <c r="G53" i="9"/>
  <c r="G54" i="9"/>
  <c r="G55" i="9"/>
  <c r="G56" i="9"/>
  <c r="G57" i="9"/>
  <c r="G58" i="9"/>
  <c r="H58" i="9" s="1"/>
  <c r="I58" i="9" s="1"/>
  <c r="G59" i="9"/>
  <c r="H59" i="9" s="1"/>
  <c r="I59" i="9" s="1"/>
  <c r="G60" i="9"/>
  <c r="H60" i="9" s="1"/>
  <c r="I60" i="9" s="1"/>
  <c r="G61" i="9"/>
  <c r="G62" i="9"/>
  <c r="G63" i="9"/>
  <c r="G64" i="9"/>
  <c r="G65" i="9"/>
  <c r="G66" i="9"/>
  <c r="H66" i="9" s="1"/>
  <c r="I66" i="9" s="1"/>
  <c r="G67" i="9"/>
  <c r="H67" i="9" s="1"/>
  <c r="I67" i="9" s="1"/>
  <c r="G68" i="9"/>
  <c r="H68" i="9" s="1"/>
  <c r="I68" i="9" s="1"/>
  <c r="G69" i="9"/>
  <c r="G70" i="9"/>
  <c r="G71" i="9"/>
  <c r="G72" i="9"/>
  <c r="G73" i="9"/>
  <c r="G74" i="9"/>
  <c r="H74" i="9" s="1"/>
  <c r="I74" i="9" s="1"/>
  <c r="G75" i="9"/>
  <c r="H75" i="9" s="1"/>
  <c r="I75" i="9" s="1"/>
  <c r="G76" i="9"/>
  <c r="H76" i="9" s="1"/>
  <c r="I76" i="9" s="1"/>
  <c r="G77" i="9"/>
  <c r="G78" i="9"/>
  <c r="G79" i="9"/>
  <c r="G80" i="9"/>
  <c r="G81" i="9"/>
  <c r="G82" i="9"/>
  <c r="H82" i="9" s="1"/>
  <c r="I82" i="9" s="1"/>
  <c r="G83" i="9"/>
  <c r="H83" i="9" s="1"/>
  <c r="I83" i="9" s="1"/>
  <c r="G84" i="9"/>
  <c r="H84" i="9" s="1"/>
  <c r="I84" i="9" s="1"/>
  <c r="G85" i="9"/>
  <c r="G86" i="9"/>
  <c r="G87" i="9"/>
  <c r="G88" i="9"/>
  <c r="G89" i="9"/>
  <c r="F7" i="9"/>
  <c r="F8" i="9"/>
  <c r="J8" i="9" s="1"/>
  <c r="F9" i="9"/>
  <c r="F10" i="9"/>
  <c r="F11" i="9"/>
  <c r="F12" i="9"/>
  <c r="F13" i="9"/>
  <c r="F14" i="9"/>
  <c r="H14" i="9" s="1"/>
  <c r="I14" i="9" s="1"/>
  <c r="F15" i="9"/>
  <c r="F16" i="9"/>
  <c r="J16" i="9" s="1"/>
  <c r="F17" i="9"/>
  <c r="F18" i="9"/>
  <c r="F19" i="9"/>
  <c r="F20" i="9"/>
  <c r="F21" i="9"/>
  <c r="F22" i="9"/>
  <c r="H22" i="9" s="1"/>
  <c r="I22" i="9" s="1"/>
  <c r="F23" i="9"/>
  <c r="F24" i="9"/>
  <c r="J24" i="9" s="1"/>
  <c r="F25" i="9"/>
  <c r="F26" i="9"/>
  <c r="F27" i="9"/>
  <c r="F28" i="9"/>
  <c r="F29" i="9"/>
  <c r="F30" i="9"/>
  <c r="H30" i="9" s="1"/>
  <c r="I30" i="9" s="1"/>
  <c r="F31" i="9"/>
  <c r="F32" i="9"/>
  <c r="J32" i="9" s="1"/>
  <c r="F33" i="9"/>
  <c r="F34" i="9"/>
  <c r="F35" i="9"/>
  <c r="F36" i="9"/>
  <c r="F37" i="9"/>
  <c r="F38" i="9"/>
  <c r="H38" i="9" s="1"/>
  <c r="I38" i="9" s="1"/>
  <c r="F39" i="9"/>
  <c r="F40" i="9"/>
  <c r="J40" i="9" s="1"/>
  <c r="F41" i="9"/>
  <c r="F42" i="9"/>
  <c r="F43" i="9"/>
  <c r="F44" i="9"/>
  <c r="F45" i="9"/>
  <c r="F46" i="9"/>
  <c r="H46" i="9" s="1"/>
  <c r="I46" i="9" s="1"/>
  <c r="F47" i="9"/>
  <c r="F48" i="9"/>
  <c r="J48" i="9" s="1"/>
  <c r="F49" i="9"/>
  <c r="F50" i="9"/>
  <c r="F51" i="9"/>
  <c r="F52" i="9"/>
  <c r="F53" i="9"/>
  <c r="F54" i="9"/>
  <c r="H54" i="9" s="1"/>
  <c r="I54" i="9" s="1"/>
  <c r="F55" i="9"/>
  <c r="J55" i="9" s="1"/>
  <c r="F56" i="9"/>
  <c r="J56" i="9" s="1"/>
  <c r="F57" i="9"/>
  <c r="F58" i="9"/>
  <c r="F59" i="9"/>
  <c r="F60" i="9"/>
  <c r="F61" i="9"/>
  <c r="F62" i="9"/>
  <c r="H62" i="9" s="1"/>
  <c r="I62" i="9" s="1"/>
  <c r="F63" i="9"/>
  <c r="J63" i="9" s="1"/>
  <c r="F64" i="9"/>
  <c r="J64" i="9" s="1"/>
  <c r="F65" i="9"/>
  <c r="F66" i="9"/>
  <c r="F67" i="9"/>
  <c r="F68" i="9"/>
  <c r="F69" i="9"/>
  <c r="F70" i="9"/>
  <c r="H70" i="9" s="1"/>
  <c r="I70" i="9" s="1"/>
  <c r="F71" i="9"/>
  <c r="J71" i="9" s="1"/>
  <c r="F72" i="9"/>
  <c r="J72" i="9" s="1"/>
  <c r="F73" i="9"/>
  <c r="F74" i="9"/>
  <c r="F75" i="9"/>
  <c r="F76" i="9"/>
  <c r="F77" i="9"/>
  <c r="F78" i="9"/>
  <c r="H78" i="9" s="1"/>
  <c r="I78" i="9" s="1"/>
  <c r="F79" i="9"/>
  <c r="J79" i="9" s="1"/>
  <c r="F80" i="9"/>
  <c r="J80" i="9" s="1"/>
  <c r="F81" i="9"/>
  <c r="F82" i="9"/>
  <c r="F83" i="9"/>
  <c r="F84" i="9"/>
  <c r="F85" i="9"/>
  <c r="F86" i="9"/>
  <c r="H86" i="9" s="1"/>
  <c r="I86" i="9" s="1"/>
  <c r="F87" i="9"/>
  <c r="J87" i="9" s="1"/>
  <c r="F88" i="9"/>
  <c r="J88" i="9" s="1"/>
  <c r="F89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A12" i="7" a="1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6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6" i="5"/>
  <c r="A6" i="5" a="1"/>
  <c r="A6" i="5" s="1"/>
  <c r="A13" i="3" a="1"/>
  <c r="E52" i="3" s="1"/>
  <c r="A13" i="2" a="1"/>
  <c r="F46" i="2" s="1"/>
  <c r="H64" i="9" l="1"/>
  <c r="I64" i="9" s="1"/>
  <c r="H40" i="9"/>
  <c r="I40" i="9" s="1"/>
  <c r="H8" i="9"/>
  <c r="I8" i="9" s="1"/>
  <c r="J47" i="9"/>
  <c r="H47" i="9"/>
  <c r="I47" i="9" s="1"/>
  <c r="H39" i="9"/>
  <c r="I39" i="9" s="1"/>
  <c r="J39" i="9"/>
  <c r="J31" i="9"/>
  <c r="H31" i="9"/>
  <c r="I31" i="9" s="1"/>
  <c r="J23" i="9"/>
  <c r="H23" i="9"/>
  <c r="I23" i="9" s="1"/>
  <c r="J15" i="9"/>
  <c r="H15" i="9"/>
  <c r="I15" i="9" s="1"/>
  <c r="H7" i="9"/>
  <c r="I7" i="9" s="1"/>
  <c r="J7" i="9"/>
  <c r="H63" i="9"/>
  <c r="I63" i="9" s="1"/>
  <c r="H80" i="9"/>
  <c r="I80" i="9" s="1"/>
  <c r="H32" i="9"/>
  <c r="I32" i="9" s="1"/>
  <c r="H79" i="9"/>
  <c r="I79" i="9" s="1"/>
  <c r="H56" i="9"/>
  <c r="I56" i="9" s="1"/>
  <c r="J84" i="9"/>
  <c r="J68" i="9"/>
  <c r="J52" i="9"/>
  <c r="J36" i="9"/>
  <c r="J20" i="9"/>
  <c r="H55" i="9"/>
  <c r="I55" i="9" s="1"/>
  <c r="J83" i="9"/>
  <c r="J67" i="9"/>
  <c r="J51" i="9"/>
  <c r="J35" i="9"/>
  <c r="J19" i="9"/>
  <c r="J86" i="9"/>
  <c r="J78" i="9"/>
  <c r="J70" i="9"/>
  <c r="J62" i="9"/>
  <c r="J54" i="9"/>
  <c r="J46" i="9"/>
  <c r="J38" i="9"/>
  <c r="J30" i="9"/>
  <c r="J22" i="9"/>
  <c r="J14" i="9"/>
  <c r="D6" i="9"/>
  <c r="G6" i="9"/>
  <c r="E6" i="9"/>
  <c r="J85" i="9"/>
  <c r="H85" i="9"/>
  <c r="I85" i="9" s="1"/>
  <c r="J77" i="9"/>
  <c r="H77" i="9"/>
  <c r="I77" i="9" s="1"/>
  <c r="J69" i="9"/>
  <c r="H69" i="9"/>
  <c r="I69" i="9" s="1"/>
  <c r="J61" i="9"/>
  <c r="H61" i="9"/>
  <c r="I61" i="9" s="1"/>
  <c r="J53" i="9"/>
  <c r="H53" i="9"/>
  <c r="I53" i="9" s="1"/>
  <c r="J45" i="9"/>
  <c r="H45" i="9"/>
  <c r="I45" i="9" s="1"/>
  <c r="J37" i="9"/>
  <c r="H37" i="9"/>
  <c r="I37" i="9" s="1"/>
  <c r="J29" i="9"/>
  <c r="H29" i="9"/>
  <c r="I29" i="9" s="1"/>
  <c r="J21" i="9"/>
  <c r="H21" i="9"/>
  <c r="I21" i="9" s="1"/>
  <c r="J13" i="9"/>
  <c r="H13" i="9"/>
  <c r="I13" i="9" s="1"/>
  <c r="J76" i="9"/>
  <c r="J60" i="9"/>
  <c r="J44" i="9"/>
  <c r="J28" i="9"/>
  <c r="J12" i="9"/>
  <c r="I8" i="3" a="1"/>
  <c r="I8" i="3" s="1"/>
  <c r="H7" i="3" a="1"/>
  <c r="H7" i="3" s="1"/>
  <c r="B100" i="3"/>
  <c r="B64" i="3"/>
  <c r="B24" i="3"/>
  <c r="C52" i="3"/>
  <c r="D73" i="3"/>
  <c r="F80" i="3"/>
  <c r="G81" i="3"/>
  <c r="E38" i="3"/>
  <c r="B92" i="3"/>
  <c r="B56" i="3"/>
  <c r="B15" i="3"/>
  <c r="C42" i="3"/>
  <c r="D62" i="3"/>
  <c r="F66" i="3"/>
  <c r="G63" i="3"/>
  <c r="E22" i="3"/>
  <c r="D37" i="3"/>
  <c r="B119" i="3"/>
  <c r="B91" i="3"/>
  <c r="B55" i="3"/>
  <c r="C115" i="3"/>
  <c r="C32" i="3"/>
  <c r="D48" i="3"/>
  <c r="F53" i="3"/>
  <c r="G47" i="3"/>
  <c r="B120" i="3"/>
  <c r="B83" i="3"/>
  <c r="B45" i="3"/>
  <c r="C105" i="3"/>
  <c r="C20" i="3"/>
  <c r="F37" i="3"/>
  <c r="G31" i="3"/>
  <c r="E120" i="3"/>
  <c r="B82" i="3"/>
  <c r="B44" i="3"/>
  <c r="C94" i="3"/>
  <c r="D121" i="3"/>
  <c r="D25" i="3"/>
  <c r="F25" i="3"/>
  <c r="E102" i="3"/>
  <c r="B111" i="3"/>
  <c r="B74" i="3"/>
  <c r="B35" i="3"/>
  <c r="C83" i="3"/>
  <c r="D110" i="3"/>
  <c r="F121" i="3"/>
  <c r="G122" i="3"/>
  <c r="E86" i="3"/>
  <c r="B109" i="3"/>
  <c r="B73" i="3"/>
  <c r="B34" i="3"/>
  <c r="C73" i="3"/>
  <c r="D98" i="3"/>
  <c r="F108" i="3"/>
  <c r="G107" i="3"/>
  <c r="E70" i="3"/>
  <c r="B101" i="3"/>
  <c r="B65" i="3"/>
  <c r="B25" i="3"/>
  <c r="C63" i="3"/>
  <c r="D85" i="3"/>
  <c r="F96" i="3"/>
  <c r="G93" i="3"/>
  <c r="A13" i="3"/>
  <c r="E18" i="3"/>
  <c r="E26" i="3"/>
  <c r="E34" i="3"/>
  <c r="E42" i="3"/>
  <c r="E50" i="3"/>
  <c r="E58" i="3"/>
  <c r="E66" i="3"/>
  <c r="E74" i="3"/>
  <c r="E82" i="3"/>
  <c r="E90" i="3"/>
  <c r="E98" i="3"/>
  <c r="E106" i="3"/>
  <c r="E114" i="3"/>
  <c r="E122" i="3"/>
  <c r="G14" i="3"/>
  <c r="G22" i="3"/>
  <c r="G30" i="3"/>
  <c r="G38" i="3"/>
  <c r="G46" i="3"/>
  <c r="G54" i="3"/>
  <c r="G62" i="3"/>
  <c r="G70" i="3"/>
  <c r="G78" i="3"/>
  <c r="G86" i="3"/>
  <c r="G94" i="3"/>
  <c r="G102" i="3"/>
  <c r="G110" i="3"/>
  <c r="G118" i="3"/>
  <c r="F15" i="3"/>
  <c r="F23" i="3"/>
  <c r="F31" i="3"/>
  <c r="F39" i="3"/>
  <c r="F47" i="3"/>
  <c r="F55" i="3"/>
  <c r="F63" i="3"/>
  <c r="F71" i="3"/>
  <c r="F79" i="3"/>
  <c r="F87" i="3"/>
  <c r="F95" i="3"/>
  <c r="F103" i="3"/>
  <c r="F111" i="3"/>
  <c r="F119" i="3"/>
  <c r="D15" i="3"/>
  <c r="D23" i="3"/>
  <c r="E16" i="3"/>
  <c r="E25" i="3"/>
  <c r="E35" i="3"/>
  <c r="E44" i="3"/>
  <c r="E53" i="3"/>
  <c r="E62" i="3"/>
  <c r="E71" i="3"/>
  <c r="E80" i="3"/>
  <c r="E89" i="3"/>
  <c r="E99" i="3"/>
  <c r="E108" i="3"/>
  <c r="E117" i="3"/>
  <c r="G23" i="3"/>
  <c r="G32" i="3"/>
  <c r="G41" i="3"/>
  <c r="G50" i="3"/>
  <c r="G59" i="3"/>
  <c r="G68" i="3"/>
  <c r="G77" i="3"/>
  <c r="G87" i="3"/>
  <c r="G96" i="3"/>
  <c r="G105" i="3"/>
  <c r="G114" i="3"/>
  <c r="G123" i="3"/>
  <c r="F21" i="3"/>
  <c r="F30" i="3"/>
  <c r="F40" i="3"/>
  <c r="F49" i="3"/>
  <c r="F58" i="3"/>
  <c r="F67" i="3"/>
  <c r="F76" i="3"/>
  <c r="F85" i="3"/>
  <c r="F94" i="3"/>
  <c r="F104" i="3"/>
  <c r="F113" i="3"/>
  <c r="F122" i="3"/>
  <c r="J122" i="3" s="1"/>
  <c r="D19" i="3"/>
  <c r="D28" i="3"/>
  <c r="D36" i="3"/>
  <c r="D44" i="3"/>
  <c r="D52" i="3"/>
  <c r="D60" i="3"/>
  <c r="D68" i="3"/>
  <c r="D76" i="3"/>
  <c r="D84" i="3"/>
  <c r="D92" i="3"/>
  <c r="D100" i="3"/>
  <c r="D108" i="3"/>
  <c r="D116" i="3"/>
  <c r="C21" i="3"/>
  <c r="C29" i="3"/>
  <c r="C37" i="3"/>
  <c r="C45" i="3"/>
  <c r="C53" i="3"/>
  <c r="C61" i="3"/>
  <c r="C69" i="3"/>
  <c r="C77" i="3"/>
  <c r="C85" i="3"/>
  <c r="C93" i="3"/>
  <c r="C101" i="3"/>
  <c r="C109" i="3"/>
  <c r="C117" i="3"/>
  <c r="B14" i="3"/>
  <c r="B22" i="3"/>
  <c r="B30" i="3"/>
  <c r="B38" i="3"/>
  <c r="B46" i="3"/>
  <c r="B54" i="3"/>
  <c r="B62" i="3"/>
  <c r="B70" i="3"/>
  <c r="B78" i="3"/>
  <c r="B86" i="3"/>
  <c r="B94" i="3"/>
  <c r="B102" i="3"/>
  <c r="B110" i="3"/>
  <c r="B118" i="3"/>
  <c r="E17" i="3"/>
  <c r="E27" i="3"/>
  <c r="E36" i="3"/>
  <c r="E45" i="3"/>
  <c r="E54" i="3"/>
  <c r="E63" i="3"/>
  <c r="E72" i="3"/>
  <c r="E81" i="3"/>
  <c r="E91" i="3"/>
  <c r="E100" i="3"/>
  <c r="E109" i="3"/>
  <c r="E118" i="3"/>
  <c r="G15" i="3"/>
  <c r="G24" i="3"/>
  <c r="G33" i="3"/>
  <c r="G42" i="3"/>
  <c r="G51" i="3"/>
  <c r="G60" i="3"/>
  <c r="G69" i="3"/>
  <c r="G79" i="3"/>
  <c r="E19" i="3"/>
  <c r="E30" i="3"/>
  <c r="E41" i="3"/>
  <c r="E55" i="3"/>
  <c r="E67" i="3"/>
  <c r="E78" i="3"/>
  <c r="E92" i="3"/>
  <c r="E103" i="3"/>
  <c r="E115" i="3"/>
  <c r="G16" i="3"/>
  <c r="G27" i="3"/>
  <c r="G39" i="3"/>
  <c r="G52" i="3"/>
  <c r="G64" i="3"/>
  <c r="G75" i="3"/>
  <c r="G88" i="3"/>
  <c r="G98" i="3"/>
  <c r="G108" i="3"/>
  <c r="G119" i="3"/>
  <c r="F18" i="3"/>
  <c r="F28" i="3"/>
  <c r="F38" i="3"/>
  <c r="F50" i="3"/>
  <c r="F60" i="3"/>
  <c r="F70" i="3"/>
  <c r="F81" i="3"/>
  <c r="F91" i="3"/>
  <c r="F101" i="3"/>
  <c r="F112" i="3"/>
  <c r="F123" i="3"/>
  <c r="D21" i="3"/>
  <c r="D31" i="3"/>
  <c r="D40" i="3"/>
  <c r="D49" i="3"/>
  <c r="D58" i="3"/>
  <c r="D67" i="3"/>
  <c r="D77" i="3"/>
  <c r="D86" i="3"/>
  <c r="D95" i="3"/>
  <c r="D104" i="3"/>
  <c r="D113" i="3"/>
  <c r="E20" i="3"/>
  <c r="E31" i="3"/>
  <c r="E43" i="3"/>
  <c r="E56" i="3"/>
  <c r="E68" i="3"/>
  <c r="E79" i="3"/>
  <c r="E93" i="3"/>
  <c r="E104" i="3"/>
  <c r="E116" i="3"/>
  <c r="G17" i="3"/>
  <c r="G28" i="3"/>
  <c r="G40" i="3"/>
  <c r="G53" i="3"/>
  <c r="G65" i="3"/>
  <c r="G76" i="3"/>
  <c r="G89" i="3"/>
  <c r="G99" i="3"/>
  <c r="G109" i="3"/>
  <c r="G120" i="3"/>
  <c r="F19" i="3"/>
  <c r="F29" i="3"/>
  <c r="F41" i="3"/>
  <c r="F51" i="3"/>
  <c r="F61" i="3"/>
  <c r="F72" i="3"/>
  <c r="F82" i="3"/>
  <c r="F92" i="3"/>
  <c r="F102" i="3"/>
  <c r="F114" i="3"/>
  <c r="D22" i="3"/>
  <c r="D32" i="3"/>
  <c r="D41" i="3"/>
  <c r="D50" i="3"/>
  <c r="D59" i="3"/>
  <c r="D69" i="3"/>
  <c r="D78" i="3"/>
  <c r="D87" i="3"/>
  <c r="D96" i="3"/>
  <c r="D105" i="3"/>
  <c r="D114" i="3"/>
  <c r="D123" i="3"/>
  <c r="C22" i="3"/>
  <c r="C31" i="3"/>
  <c r="C40" i="3"/>
  <c r="C49" i="3"/>
  <c r="C58" i="3"/>
  <c r="C67" i="3"/>
  <c r="C76" i="3"/>
  <c r="C86" i="3"/>
  <c r="C95" i="3"/>
  <c r="C104" i="3"/>
  <c r="C113" i="3"/>
  <c r="C122" i="3"/>
  <c r="B20" i="3"/>
  <c r="B29" i="3"/>
  <c r="B39" i="3"/>
  <c r="B48" i="3"/>
  <c r="B116" i="3"/>
  <c r="B98" i="3"/>
  <c r="B80" i="3"/>
  <c r="B71" i="3"/>
  <c r="B52" i="3"/>
  <c r="B32" i="3"/>
  <c r="B21" i="3"/>
  <c r="C111" i="3"/>
  <c r="C90" i="3"/>
  <c r="C80" i="3"/>
  <c r="C59" i="3"/>
  <c r="C48" i="3"/>
  <c r="C27" i="3"/>
  <c r="D118" i="3"/>
  <c r="D93" i="3"/>
  <c r="D70" i="3"/>
  <c r="D45" i="3"/>
  <c r="F117" i="3"/>
  <c r="F75" i="3"/>
  <c r="F20" i="3"/>
  <c r="G43" i="3"/>
  <c r="B123" i="3"/>
  <c r="B114" i="3"/>
  <c r="B105" i="3"/>
  <c r="B96" i="3"/>
  <c r="B87" i="3"/>
  <c r="B77" i="3"/>
  <c r="B68" i="3"/>
  <c r="B59" i="3"/>
  <c r="B50" i="3"/>
  <c r="B40" i="3"/>
  <c r="B28" i="3"/>
  <c r="B18" i="3"/>
  <c r="C119" i="3"/>
  <c r="C108" i="3"/>
  <c r="C88" i="3"/>
  <c r="C78" i="3"/>
  <c r="C66" i="3"/>
  <c r="C56" i="3"/>
  <c r="C46" i="3"/>
  <c r="C35" i="3"/>
  <c r="C25" i="3"/>
  <c r="C15" i="3"/>
  <c r="D115" i="3"/>
  <c r="D102" i="3"/>
  <c r="D90" i="3"/>
  <c r="D79" i="3"/>
  <c r="D65" i="3"/>
  <c r="D54" i="3"/>
  <c r="D42" i="3"/>
  <c r="D29" i="3"/>
  <c r="D16" i="3"/>
  <c r="F115" i="3"/>
  <c r="F86" i="3"/>
  <c r="F73" i="3"/>
  <c r="F57" i="3"/>
  <c r="F44" i="3"/>
  <c r="F32" i="3"/>
  <c r="F16" i="3"/>
  <c r="G113" i="3"/>
  <c r="G100" i="3"/>
  <c r="G84" i="3"/>
  <c r="G71" i="3"/>
  <c r="G55" i="3"/>
  <c r="G36" i="3"/>
  <c r="G20" i="3"/>
  <c r="E110" i="3"/>
  <c r="E94" i="3"/>
  <c r="E76" i="3"/>
  <c r="E60" i="3"/>
  <c r="E46" i="3"/>
  <c r="E28" i="3"/>
  <c r="B122" i="3"/>
  <c r="B113" i="3"/>
  <c r="B104" i="3"/>
  <c r="B95" i="3"/>
  <c r="B85" i="3"/>
  <c r="B76" i="3"/>
  <c r="B67" i="3"/>
  <c r="B49" i="3"/>
  <c r="B37" i="3"/>
  <c r="B27" i="3"/>
  <c r="B17" i="3"/>
  <c r="C118" i="3"/>
  <c r="C107" i="3"/>
  <c r="C97" i="3"/>
  <c r="C75" i="3"/>
  <c r="C65" i="3"/>
  <c r="C55" i="3"/>
  <c r="C44" i="3"/>
  <c r="C34" i="3"/>
  <c r="C14" i="3"/>
  <c r="D112" i="3"/>
  <c r="D101" i="3"/>
  <c r="D89" i="3"/>
  <c r="D64" i="3"/>
  <c r="D53" i="3"/>
  <c r="D39" i="3"/>
  <c r="D27" i="3"/>
  <c r="F110" i="3"/>
  <c r="F98" i="3"/>
  <c r="F84" i="3"/>
  <c r="F69" i="3"/>
  <c r="F56" i="3"/>
  <c r="F43" i="3"/>
  <c r="F27" i="3"/>
  <c r="F14" i="3"/>
  <c r="G112" i="3"/>
  <c r="G97" i="3"/>
  <c r="G83" i="3"/>
  <c r="G67" i="3"/>
  <c r="G49" i="3"/>
  <c r="G35" i="3"/>
  <c r="G19" i="3"/>
  <c r="E123" i="3"/>
  <c r="E107" i="3"/>
  <c r="E88" i="3"/>
  <c r="E75" i="3"/>
  <c r="E59" i="3"/>
  <c r="E40" i="3"/>
  <c r="E24" i="3"/>
  <c r="C114" i="3"/>
  <c r="C103" i="3"/>
  <c r="C92" i="3"/>
  <c r="C82" i="3"/>
  <c r="C72" i="3"/>
  <c r="C62" i="3"/>
  <c r="C51" i="3"/>
  <c r="C41" i="3"/>
  <c r="C30" i="3"/>
  <c r="C19" i="3"/>
  <c r="D120" i="3"/>
  <c r="D109" i="3"/>
  <c r="D97" i="3"/>
  <c r="D83" i="3"/>
  <c r="D72" i="3"/>
  <c r="D61" i="3"/>
  <c r="D47" i="3"/>
  <c r="D35" i="3"/>
  <c r="D24" i="3"/>
  <c r="F120" i="3"/>
  <c r="F107" i="3"/>
  <c r="F93" i="3"/>
  <c r="F78" i="3"/>
  <c r="F65" i="3"/>
  <c r="F52" i="3"/>
  <c r="F36" i="3"/>
  <c r="F24" i="3"/>
  <c r="G121" i="3"/>
  <c r="G106" i="3"/>
  <c r="G92" i="3"/>
  <c r="G80" i="3"/>
  <c r="G61" i="3"/>
  <c r="G45" i="3"/>
  <c r="G29" i="3"/>
  <c r="E119" i="3"/>
  <c r="E101" i="3"/>
  <c r="E85" i="3"/>
  <c r="E69" i="3"/>
  <c r="E51" i="3"/>
  <c r="E37" i="3"/>
  <c r="E21" i="3"/>
  <c r="B117" i="3"/>
  <c r="B108" i="3"/>
  <c r="B99" i="3"/>
  <c r="B90" i="3"/>
  <c r="B81" i="3"/>
  <c r="B72" i="3"/>
  <c r="B63" i="3"/>
  <c r="B53" i="3"/>
  <c r="B43" i="3"/>
  <c r="B33" i="3"/>
  <c r="B23" i="3"/>
  <c r="C123" i="3"/>
  <c r="C112" i="3"/>
  <c r="C102" i="3"/>
  <c r="C91" i="3"/>
  <c r="C81" i="3"/>
  <c r="C71" i="3"/>
  <c r="C60" i="3"/>
  <c r="C50" i="3"/>
  <c r="C39" i="3"/>
  <c r="C28" i="3"/>
  <c r="C18" i="3"/>
  <c r="D119" i="3"/>
  <c r="D107" i="3"/>
  <c r="D94" i="3"/>
  <c r="D82" i="3"/>
  <c r="D71" i="3"/>
  <c r="D57" i="3"/>
  <c r="D46" i="3"/>
  <c r="D34" i="3"/>
  <c r="D20" i="3"/>
  <c r="F118" i="3"/>
  <c r="F106" i="3"/>
  <c r="F90" i="3"/>
  <c r="F77" i="3"/>
  <c r="F64" i="3"/>
  <c r="F48" i="3"/>
  <c r="F35" i="3"/>
  <c r="F22" i="3"/>
  <c r="G117" i="3"/>
  <c r="G104" i="3"/>
  <c r="G91" i="3"/>
  <c r="G74" i="3"/>
  <c r="G58" i="3"/>
  <c r="G44" i="3"/>
  <c r="G26" i="3"/>
  <c r="E113" i="3"/>
  <c r="E97" i="3"/>
  <c r="E84" i="3"/>
  <c r="E65" i="3"/>
  <c r="E49" i="3"/>
  <c r="E33" i="3"/>
  <c r="E15" i="3"/>
  <c r="B107" i="3"/>
  <c r="B89" i="3"/>
  <c r="B61" i="3"/>
  <c r="B42" i="3"/>
  <c r="C121" i="3"/>
  <c r="C100" i="3"/>
  <c r="C70" i="3"/>
  <c r="C38" i="3"/>
  <c r="C17" i="3"/>
  <c r="D106" i="3"/>
  <c r="D81" i="3"/>
  <c r="D56" i="3"/>
  <c r="D33" i="3"/>
  <c r="D18" i="3"/>
  <c r="F105" i="3"/>
  <c r="F89" i="3"/>
  <c r="F62" i="3"/>
  <c r="F46" i="3"/>
  <c r="F34" i="3"/>
  <c r="G116" i="3"/>
  <c r="G103" i="3"/>
  <c r="G90" i="3"/>
  <c r="G73" i="3"/>
  <c r="G57" i="3"/>
  <c r="G25" i="3"/>
  <c r="E112" i="3"/>
  <c r="E96" i="3"/>
  <c r="E83" i="3"/>
  <c r="E64" i="3"/>
  <c r="E48" i="3"/>
  <c r="E32" i="3"/>
  <c r="E14" i="3"/>
  <c r="B115" i="3"/>
  <c r="B106" i="3"/>
  <c r="B97" i="3"/>
  <c r="B88" i="3"/>
  <c r="B79" i="3"/>
  <c r="B69" i="3"/>
  <c r="B60" i="3"/>
  <c r="B51" i="3"/>
  <c r="B41" i="3"/>
  <c r="B31" i="3"/>
  <c r="B19" i="3"/>
  <c r="C120" i="3"/>
  <c r="C110" i="3"/>
  <c r="C99" i="3"/>
  <c r="C89" i="3"/>
  <c r="C79" i="3"/>
  <c r="C68" i="3"/>
  <c r="C57" i="3"/>
  <c r="C47" i="3"/>
  <c r="C36" i="3"/>
  <c r="C26" i="3"/>
  <c r="C16" i="3"/>
  <c r="D117" i="3"/>
  <c r="D103" i="3"/>
  <c r="D91" i="3"/>
  <c r="D80" i="3"/>
  <c r="D66" i="3"/>
  <c r="D55" i="3"/>
  <c r="D43" i="3"/>
  <c r="D30" i="3"/>
  <c r="D17" i="3"/>
  <c r="F116" i="3"/>
  <c r="F100" i="3"/>
  <c r="F88" i="3"/>
  <c r="F74" i="3"/>
  <c r="F59" i="3"/>
  <c r="F45" i="3"/>
  <c r="F33" i="3"/>
  <c r="F17" i="3"/>
  <c r="G115" i="3"/>
  <c r="G101" i="3"/>
  <c r="G85" i="3"/>
  <c r="G72" i="3"/>
  <c r="G56" i="3"/>
  <c r="G37" i="3"/>
  <c r="G21" i="3"/>
  <c r="E111" i="3"/>
  <c r="E95" i="3"/>
  <c r="E77" i="3"/>
  <c r="E61" i="3"/>
  <c r="E47" i="3"/>
  <c r="E29" i="3"/>
  <c r="C98" i="3"/>
  <c r="F99" i="3"/>
  <c r="B58" i="3"/>
  <c r="C87" i="3"/>
  <c r="C24" i="3"/>
  <c r="D75" i="3"/>
  <c r="D14" i="3"/>
  <c r="B121" i="3"/>
  <c r="B112" i="3"/>
  <c r="B103" i="3"/>
  <c r="B93" i="3"/>
  <c r="B84" i="3"/>
  <c r="B75" i="3"/>
  <c r="B66" i="3"/>
  <c r="B57" i="3"/>
  <c r="B47" i="3"/>
  <c r="B36" i="3"/>
  <c r="B26" i="3"/>
  <c r="B16" i="3"/>
  <c r="C116" i="3"/>
  <c r="C106" i="3"/>
  <c r="C96" i="3"/>
  <c r="C84" i="3"/>
  <c r="C74" i="3"/>
  <c r="C64" i="3"/>
  <c r="C54" i="3"/>
  <c r="C43" i="3"/>
  <c r="C33" i="3"/>
  <c r="C23" i="3"/>
  <c r="D122" i="3"/>
  <c r="D111" i="3"/>
  <c r="D99" i="3"/>
  <c r="D88" i="3"/>
  <c r="D74" i="3"/>
  <c r="D63" i="3"/>
  <c r="D51" i="3"/>
  <c r="D38" i="3"/>
  <c r="D26" i="3"/>
  <c r="F109" i="3"/>
  <c r="F97" i="3"/>
  <c r="F83" i="3"/>
  <c r="F68" i="3"/>
  <c r="F54" i="3"/>
  <c r="F42" i="3"/>
  <c r="F26" i="3"/>
  <c r="G111" i="3"/>
  <c r="G95" i="3"/>
  <c r="G82" i="3"/>
  <c r="G66" i="3"/>
  <c r="G48" i="3"/>
  <c r="G34" i="3"/>
  <c r="G18" i="3"/>
  <c r="E121" i="3"/>
  <c r="E105" i="3"/>
  <c r="E87" i="3"/>
  <c r="E73" i="3"/>
  <c r="E57" i="3"/>
  <c r="E39" i="3"/>
  <c r="E23" i="3"/>
  <c r="H9" i="2" a="1"/>
  <c r="H9" i="2" s="1"/>
  <c r="H6" i="2" a="1"/>
  <c r="H6" i="2" s="1"/>
  <c r="I8" i="2" a="1"/>
  <c r="I8" i="2" s="1"/>
  <c r="H7" i="2" a="1"/>
  <c r="H7" i="2" s="1"/>
  <c r="D6" i="2"/>
  <c r="C77" i="2"/>
  <c r="F14" i="2"/>
  <c r="G42" i="2"/>
  <c r="B58" i="2"/>
  <c r="B30" i="2"/>
  <c r="C49" i="2"/>
  <c r="C14" i="2"/>
  <c r="D61" i="2"/>
  <c r="D34" i="2"/>
  <c r="B78" i="2"/>
  <c r="A13" i="2"/>
  <c r="E18" i="2"/>
  <c r="E26" i="2"/>
  <c r="E34" i="2"/>
  <c r="E42" i="2"/>
  <c r="E50" i="2"/>
  <c r="E58" i="2"/>
  <c r="E66" i="2"/>
  <c r="E74" i="2"/>
  <c r="E82" i="2"/>
  <c r="E90" i="2"/>
  <c r="G17" i="2"/>
  <c r="G25" i="2"/>
  <c r="G33" i="2"/>
  <c r="G41" i="2"/>
  <c r="G49" i="2"/>
  <c r="G57" i="2"/>
  <c r="G65" i="2"/>
  <c r="G73" i="2"/>
  <c r="G81" i="2"/>
  <c r="G89" i="2"/>
  <c r="F15" i="2"/>
  <c r="F23" i="2"/>
  <c r="F31" i="2"/>
  <c r="F39" i="2"/>
  <c r="F47" i="2"/>
  <c r="F55" i="2"/>
  <c r="F63" i="2"/>
  <c r="F71" i="2"/>
  <c r="F79" i="2"/>
  <c r="F87" i="2"/>
  <c r="D20" i="2"/>
  <c r="D28" i="2"/>
  <c r="D36" i="2"/>
  <c r="D44" i="2"/>
  <c r="D52" i="2"/>
  <c r="D60" i="2"/>
  <c r="D68" i="2"/>
  <c r="D76" i="2"/>
  <c r="D84" i="2"/>
  <c r="D92" i="2"/>
  <c r="C18" i="2"/>
  <c r="C26" i="2"/>
  <c r="C34" i="2"/>
  <c r="C42" i="2"/>
  <c r="C50" i="2"/>
  <c r="C58" i="2"/>
  <c r="C66" i="2"/>
  <c r="C74" i="2"/>
  <c r="C82" i="2"/>
  <c r="C90" i="2"/>
  <c r="B16" i="2"/>
  <c r="B24" i="2"/>
  <c r="B32" i="2"/>
  <c r="E19" i="2"/>
  <c r="E27" i="2"/>
  <c r="E35" i="2"/>
  <c r="E43" i="2"/>
  <c r="E51" i="2"/>
  <c r="E59" i="2"/>
  <c r="E67" i="2"/>
  <c r="E75" i="2"/>
  <c r="E83" i="2"/>
  <c r="E91" i="2"/>
  <c r="E20" i="2"/>
  <c r="E28" i="2"/>
  <c r="E36" i="2"/>
  <c r="E44" i="2"/>
  <c r="E52" i="2"/>
  <c r="E60" i="2"/>
  <c r="E68" i="2"/>
  <c r="E76" i="2"/>
  <c r="E84" i="2"/>
  <c r="E92" i="2"/>
  <c r="G19" i="2"/>
  <c r="G27" i="2"/>
  <c r="G35" i="2"/>
  <c r="G43" i="2"/>
  <c r="G51" i="2"/>
  <c r="G59" i="2"/>
  <c r="G67" i="2"/>
  <c r="G75" i="2"/>
  <c r="G83" i="2"/>
  <c r="G91" i="2"/>
  <c r="F17" i="2"/>
  <c r="F25" i="2"/>
  <c r="F33" i="2"/>
  <c r="F41" i="2"/>
  <c r="F49" i="2"/>
  <c r="F57" i="2"/>
  <c r="F65" i="2"/>
  <c r="F73" i="2"/>
  <c r="F81" i="2"/>
  <c r="F89" i="2"/>
  <c r="D14" i="2"/>
  <c r="D22" i="2"/>
  <c r="D30" i="2"/>
  <c r="D38" i="2"/>
  <c r="D46" i="2"/>
  <c r="D54" i="2"/>
  <c r="D62" i="2"/>
  <c r="D70" i="2"/>
  <c r="D78" i="2"/>
  <c r="D86" i="2"/>
  <c r="D94" i="2"/>
  <c r="C20" i="2"/>
  <c r="C28" i="2"/>
  <c r="C36" i="2"/>
  <c r="C44" i="2"/>
  <c r="C52" i="2"/>
  <c r="C60" i="2"/>
  <c r="C68" i="2"/>
  <c r="C76" i="2"/>
  <c r="C84" i="2"/>
  <c r="C92" i="2"/>
  <c r="B18" i="2"/>
  <c r="B26" i="2"/>
  <c r="B34" i="2"/>
  <c r="E16" i="2"/>
  <c r="E30" i="2"/>
  <c r="E41" i="2"/>
  <c r="E55" i="2"/>
  <c r="E69" i="2"/>
  <c r="E80" i="2"/>
  <c r="E94" i="2"/>
  <c r="G15" i="2"/>
  <c r="G26" i="2"/>
  <c r="G37" i="2"/>
  <c r="G47" i="2"/>
  <c r="G58" i="2"/>
  <c r="G69" i="2"/>
  <c r="G79" i="2"/>
  <c r="G90" i="2"/>
  <c r="F19" i="2"/>
  <c r="F29" i="2"/>
  <c r="F40" i="2"/>
  <c r="E17" i="2"/>
  <c r="E31" i="2"/>
  <c r="E45" i="2"/>
  <c r="E56" i="2"/>
  <c r="E70" i="2"/>
  <c r="E81" i="2"/>
  <c r="G16" i="2"/>
  <c r="G28" i="2"/>
  <c r="G38" i="2"/>
  <c r="G48" i="2"/>
  <c r="G60" i="2"/>
  <c r="G70" i="2"/>
  <c r="G80" i="2"/>
  <c r="G92" i="2"/>
  <c r="F20" i="2"/>
  <c r="F30" i="2"/>
  <c r="F42" i="2"/>
  <c r="J42" i="2" s="1"/>
  <c r="F52" i="2"/>
  <c r="F62" i="2"/>
  <c r="F74" i="2"/>
  <c r="F84" i="2"/>
  <c r="F94" i="2"/>
  <c r="D23" i="2"/>
  <c r="D33" i="2"/>
  <c r="D43" i="2"/>
  <c r="D55" i="2"/>
  <c r="D65" i="2"/>
  <c r="D75" i="2"/>
  <c r="D87" i="2"/>
  <c r="C15" i="2"/>
  <c r="C25" i="2"/>
  <c r="C37" i="2"/>
  <c r="C47" i="2"/>
  <c r="C57" i="2"/>
  <c r="C69" i="2"/>
  <c r="C79" i="2"/>
  <c r="C89" i="2"/>
  <c r="B19" i="2"/>
  <c r="B29" i="2"/>
  <c r="B39" i="2"/>
  <c r="B47" i="2"/>
  <c r="B55" i="2"/>
  <c r="B63" i="2"/>
  <c r="B71" i="2"/>
  <c r="B79" i="2"/>
  <c r="B87" i="2"/>
  <c r="E21" i="2"/>
  <c r="E32" i="2"/>
  <c r="E46" i="2"/>
  <c r="E57" i="2"/>
  <c r="E71" i="2"/>
  <c r="E85" i="2"/>
  <c r="E24" i="2"/>
  <c r="E47" i="2"/>
  <c r="E64" i="2"/>
  <c r="E87" i="2"/>
  <c r="G18" i="2"/>
  <c r="G31" i="2"/>
  <c r="G45" i="2"/>
  <c r="G61" i="2"/>
  <c r="G74" i="2"/>
  <c r="G87" i="2"/>
  <c r="F21" i="2"/>
  <c r="F35" i="2"/>
  <c r="F48" i="2"/>
  <c r="F60" i="2"/>
  <c r="F72" i="2"/>
  <c r="F85" i="2"/>
  <c r="D15" i="2"/>
  <c r="D26" i="2"/>
  <c r="D39" i="2"/>
  <c r="D50" i="2"/>
  <c r="D63" i="2"/>
  <c r="D74" i="2"/>
  <c r="D88" i="2"/>
  <c r="C17" i="2"/>
  <c r="C30" i="2"/>
  <c r="C41" i="2"/>
  <c r="C54" i="2"/>
  <c r="C65" i="2"/>
  <c r="C78" i="2"/>
  <c r="C91" i="2"/>
  <c r="B21" i="2"/>
  <c r="B33" i="2"/>
  <c r="B43" i="2"/>
  <c r="B52" i="2"/>
  <c r="B61" i="2"/>
  <c r="B70" i="2"/>
  <c r="B80" i="2"/>
  <c r="B89" i="2"/>
  <c r="G20" i="2"/>
  <c r="G76" i="2"/>
  <c r="G88" i="2"/>
  <c r="F36" i="2"/>
  <c r="F50" i="2"/>
  <c r="F61" i="2"/>
  <c r="F75" i="2"/>
  <c r="D16" i="2"/>
  <c r="D27" i="2"/>
  <c r="D40" i="2"/>
  <c r="D51" i="2"/>
  <c r="D64" i="2"/>
  <c r="D77" i="2"/>
  <c r="C19" i="2"/>
  <c r="C31" i="2"/>
  <c r="C43" i="2"/>
  <c r="C55" i="2"/>
  <c r="C67" i="2"/>
  <c r="C80" i="2"/>
  <c r="C93" i="2"/>
  <c r="B22" i="2"/>
  <c r="B35" i="2"/>
  <c r="B44" i="2"/>
  <c r="B53" i="2"/>
  <c r="B72" i="2"/>
  <c r="B81" i="2"/>
  <c r="B90" i="2"/>
  <c r="E49" i="2"/>
  <c r="E72" i="2"/>
  <c r="E89" i="2"/>
  <c r="G21" i="2"/>
  <c r="G34" i="2"/>
  <c r="G50" i="2"/>
  <c r="G63" i="2"/>
  <c r="G77" i="2"/>
  <c r="F24" i="2"/>
  <c r="F37" i="2"/>
  <c r="F51" i="2"/>
  <c r="F64" i="2"/>
  <c r="F76" i="2"/>
  <c r="F88" i="2"/>
  <c r="D29" i="2"/>
  <c r="D41" i="2"/>
  <c r="D53" i="2"/>
  <c r="D66" i="2"/>
  <c r="D79" i="2"/>
  <c r="C21" i="2"/>
  <c r="C32" i="2"/>
  <c r="C45" i="2"/>
  <c r="C56" i="2"/>
  <c r="C81" i="2"/>
  <c r="C94" i="2"/>
  <c r="B23" i="2"/>
  <c r="B36" i="2"/>
  <c r="B54" i="2"/>
  <c r="E25" i="2"/>
  <c r="E48" i="2"/>
  <c r="E65" i="2"/>
  <c r="E88" i="2"/>
  <c r="G32" i="2"/>
  <c r="G46" i="2"/>
  <c r="G62" i="2"/>
  <c r="F22" i="2"/>
  <c r="F86" i="2"/>
  <c r="D89" i="2"/>
  <c r="B62" i="2"/>
  <c r="E29" i="2"/>
  <c r="G93" i="2"/>
  <c r="D17" i="2"/>
  <c r="D90" i="2"/>
  <c r="C70" i="2"/>
  <c r="B45" i="2"/>
  <c r="B64" i="2"/>
  <c r="B73" i="2"/>
  <c r="B82" i="2"/>
  <c r="B91" i="2"/>
  <c r="E33" i="2"/>
  <c r="E53" i="2"/>
  <c r="E73" i="2"/>
  <c r="E93" i="2"/>
  <c r="G22" i="2"/>
  <c r="G36" i="2"/>
  <c r="G52" i="2"/>
  <c r="G64" i="2"/>
  <c r="G78" i="2"/>
  <c r="G94" i="2"/>
  <c r="F26" i="2"/>
  <c r="F38" i="2"/>
  <c r="F53" i="2"/>
  <c r="F66" i="2"/>
  <c r="F77" i="2"/>
  <c r="F90" i="2"/>
  <c r="D18" i="2"/>
  <c r="D31" i="2"/>
  <c r="D42" i="2"/>
  <c r="D56" i="2"/>
  <c r="D67" i="2"/>
  <c r="D80" i="2"/>
  <c r="D91" i="2"/>
  <c r="C22" i="2"/>
  <c r="C33" i="2"/>
  <c r="C46" i="2"/>
  <c r="C59" i="2"/>
  <c r="C71" i="2"/>
  <c r="C83" i="2"/>
  <c r="B25" i="2"/>
  <c r="B37" i="2"/>
  <c r="B46" i="2"/>
  <c r="B56" i="2"/>
  <c r="B65" i="2"/>
  <c r="B74" i="2"/>
  <c r="B83" i="2"/>
  <c r="B92" i="2"/>
  <c r="E14" i="2"/>
  <c r="E37" i="2"/>
  <c r="E54" i="2"/>
  <c r="E77" i="2"/>
  <c r="G23" i="2"/>
  <c r="G39" i="2"/>
  <c r="G53" i="2"/>
  <c r="G66" i="2"/>
  <c r="G82" i="2"/>
  <c r="F27" i="2"/>
  <c r="F43" i="2"/>
  <c r="F54" i="2"/>
  <c r="F67" i="2"/>
  <c r="F78" i="2"/>
  <c r="F91" i="2"/>
  <c r="D19" i="2"/>
  <c r="D32" i="2"/>
  <c r="D45" i="2"/>
  <c r="D57" i="2"/>
  <c r="D69" i="2"/>
  <c r="D81" i="2"/>
  <c r="D93" i="2"/>
  <c r="C23" i="2"/>
  <c r="C35" i="2"/>
  <c r="C48" i="2"/>
  <c r="C61" i="2"/>
  <c r="C72" i="2"/>
  <c r="C85" i="2"/>
  <c r="B14" i="2"/>
  <c r="B27" i="2"/>
  <c r="B38" i="2"/>
  <c r="B48" i="2"/>
  <c r="B57" i="2"/>
  <c r="B66" i="2"/>
  <c r="B75" i="2"/>
  <c r="B84" i="2"/>
  <c r="B93" i="2"/>
  <c r="E15" i="2"/>
  <c r="E38" i="2"/>
  <c r="E61" i="2"/>
  <c r="E78" i="2"/>
  <c r="G24" i="2"/>
  <c r="G40" i="2"/>
  <c r="G54" i="2"/>
  <c r="G68" i="2"/>
  <c r="G84" i="2"/>
  <c r="B69" i="2"/>
  <c r="B49" i="2"/>
  <c r="B17" i="2"/>
  <c r="C38" i="2"/>
  <c r="D83" i="2"/>
  <c r="D49" i="2"/>
  <c r="D21" i="2"/>
  <c r="F69" i="2"/>
  <c r="F34" i="2"/>
  <c r="G14" i="2"/>
  <c r="E23" i="2"/>
  <c r="B94" i="2"/>
  <c r="B68" i="2"/>
  <c r="B15" i="2"/>
  <c r="C63" i="2"/>
  <c r="D82" i="2"/>
  <c r="F68" i="2"/>
  <c r="G71" i="2"/>
  <c r="E86" i="2"/>
  <c r="G85" i="2"/>
  <c r="E39" i="2"/>
  <c r="C64" i="2"/>
  <c r="G72" i="2"/>
  <c r="B42" i="2"/>
  <c r="C29" i="2"/>
  <c r="D48" i="2"/>
  <c r="F32" i="2"/>
  <c r="E22" i="2"/>
  <c r="B88" i="2"/>
  <c r="B67" i="2"/>
  <c r="B41" i="2"/>
  <c r="C88" i="2"/>
  <c r="C62" i="2"/>
  <c r="C27" i="2"/>
  <c r="D73" i="2"/>
  <c r="D47" i="2"/>
  <c r="F93" i="2"/>
  <c r="F59" i="2"/>
  <c r="F28" i="2"/>
  <c r="G56" i="2"/>
  <c r="B86" i="2"/>
  <c r="B60" i="2"/>
  <c r="B40" i="2"/>
  <c r="C87" i="2"/>
  <c r="C53" i="2"/>
  <c r="C24" i="2"/>
  <c r="D72" i="2"/>
  <c r="D37" i="2"/>
  <c r="F92" i="2"/>
  <c r="F58" i="2"/>
  <c r="F18" i="2"/>
  <c r="G55" i="2"/>
  <c r="E79" i="2"/>
  <c r="F82" i="2"/>
  <c r="H42" i="2"/>
  <c r="I42" i="2" s="1"/>
  <c r="E62" i="2"/>
  <c r="B77" i="2"/>
  <c r="B51" i="2"/>
  <c r="B28" i="2"/>
  <c r="C75" i="2"/>
  <c r="C40" i="2"/>
  <c r="D59" i="2"/>
  <c r="D25" i="2"/>
  <c r="F80" i="2"/>
  <c r="F45" i="2"/>
  <c r="G86" i="2"/>
  <c r="G30" i="2"/>
  <c r="E40" i="2"/>
  <c r="B76" i="2"/>
  <c r="B50" i="2"/>
  <c r="B20" i="2"/>
  <c r="C73" i="2"/>
  <c r="C39" i="2"/>
  <c r="D85" i="2"/>
  <c r="D58" i="2"/>
  <c r="D24" i="2"/>
  <c r="F70" i="2"/>
  <c r="F44" i="2"/>
  <c r="G29" i="2"/>
  <c r="B85" i="2"/>
  <c r="B59" i="2"/>
  <c r="B31" i="2"/>
  <c r="C86" i="2"/>
  <c r="C51" i="2"/>
  <c r="C16" i="2"/>
  <c r="D71" i="2"/>
  <c r="D35" i="2"/>
  <c r="F83" i="2"/>
  <c r="F56" i="2"/>
  <c r="F16" i="2"/>
  <c r="G44" i="2"/>
  <c r="E63" i="2"/>
  <c r="D13" i="1"/>
  <c r="E17" i="1"/>
  <c r="E25" i="1"/>
  <c r="E33" i="1"/>
  <c r="E41" i="1"/>
  <c r="E49" i="1"/>
  <c r="E57" i="1"/>
  <c r="E65" i="1"/>
  <c r="E73" i="1"/>
  <c r="E81" i="1"/>
  <c r="E89" i="1"/>
  <c r="E97" i="1"/>
  <c r="E105" i="1"/>
  <c r="E113" i="1"/>
  <c r="G17" i="1"/>
  <c r="G25" i="1"/>
  <c r="G33" i="1"/>
  <c r="G41" i="1"/>
  <c r="G49" i="1"/>
  <c r="G57" i="1"/>
  <c r="G65" i="1"/>
  <c r="G73" i="1"/>
  <c r="G81" i="1"/>
  <c r="G89" i="1"/>
  <c r="G97" i="1"/>
  <c r="G105" i="1"/>
  <c r="G113" i="1"/>
  <c r="F17" i="1"/>
  <c r="F25" i="1"/>
  <c r="F33" i="1"/>
  <c r="F41" i="1"/>
  <c r="F49" i="1"/>
  <c r="F57" i="1"/>
  <c r="F65" i="1"/>
  <c r="F73" i="1"/>
  <c r="F81" i="1"/>
  <c r="F89" i="1"/>
  <c r="F97" i="1"/>
  <c r="F105" i="1"/>
  <c r="F113" i="1"/>
  <c r="D17" i="1"/>
  <c r="D25" i="1"/>
  <c r="D33" i="1"/>
  <c r="D41" i="1"/>
  <c r="D49" i="1"/>
  <c r="D57" i="1"/>
  <c r="D65" i="1"/>
  <c r="D73" i="1"/>
  <c r="D81" i="1"/>
  <c r="D89" i="1"/>
  <c r="D97" i="1"/>
  <c r="D105" i="1"/>
  <c r="D113" i="1"/>
  <c r="C17" i="1"/>
  <c r="C25" i="1"/>
  <c r="C33" i="1"/>
  <c r="C41" i="1"/>
  <c r="C49" i="1"/>
  <c r="C57" i="1"/>
  <c r="C65" i="1"/>
  <c r="C73" i="1"/>
  <c r="C81" i="1"/>
  <c r="C89" i="1"/>
  <c r="C97" i="1"/>
  <c r="C105" i="1"/>
  <c r="C113" i="1"/>
  <c r="B17" i="1"/>
  <c r="B25" i="1"/>
  <c r="B33" i="1"/>
  <c r="B41" i="1"/>
  <c r="B49" i="1"/>
  <c r="B57" i="1"/>
  <c r="E18" i="1"/>
  <c r="E26" i="1"/>
  <c r="E34" i="1"/>
  <c r="E42" i="1"/>
  <c r="E50" i="1"/>
  <c r="E58" i="1"/>
  <c r="E66" i="1"/>
  <c r="E74" i="1"/>
  <c r="E82" i="1"/>
  <c r="E90" i="1"/>
  <c r="E98" i="1"/>
  <c r="E106" i="1"/>
  <c r="E114" i="1"/>
  <c r="E21" i="1"/>
  <c r="E31" i="1"/>
  <c r="E43" i="1"/>
  <c r="E53" i="1"/>
  <c r="E63" i="1"/>
  <c r="E75" i="1"/>
  <c r="E85" i="1"/>
  <c r="E95" i="1"/>
  <c r="E107" i="1"/>
  <c r="E117" i="1"/>
  <c r="G14" i="1"/>
  <c r="G23" i="1"/>
  <c r="G32" i="1"/>
  <c r="G42" i="1"/>
  <c r="G51" i="1"/>
  <c r="G60" i="1"/>
  <c r="G69" i="1"/>
  <c r="G78" i="1"/>
  <c r="G87" i="1"/>
  <c r="G96" i="1"/>
  <c r="G106" i="1"/>
  <c r="G115" i="1"/>
  <c r="F20" i="1"/>
  <c r="F29" i="1"/>
  <c r="F38" i="1"/>
  <c r="F47" i="1"/>
  <c r="F56" i="1"/>
  <c r="F66" i="1"/>
  <c r="F75" i="1"/>
  <c r="F84" i="1"/>
  <c r="F93" i="1"/>
  <c r="F102" i="1"/>
  <c r="F111" i="1"/>
  <c r="D16" i="1"/>
  <c r="D26" i="1"/>
  <c r="D35" i="1"/>
  <c r="D44" i="1"/>
  <c r="D53" i="1"/>
  <c r="D62" i="1"/>
  <c r="D71" i="1"/>
  <c r="D80" i="1"/>
  <c r="D90" i="1"/>
  <c r="D99" i="1"/>
  <c r="D108" i="1"/>
  <c r="D117" i="1"/>
  <c r="C22" i="1"/>
  <c r="C31" i="1"/>
  <c r="C40" i="1"/>
  <c r="C50" i="1"/>
  <c r="C59" i="1"/>
  <c r="C68" i="1"/>
  <c r="C77" i="1"/>
  <c r="C86" i="1"/>
  <c r="C95" i="1"/>
  <c r="C104" i="1"/>
  <c r="C114" i="1"/>
  <c r="B19" i="1"/>
  <c r="B28" i="1"/>
  <c r="B37" i="1"/>
  <c r="B46" i="1"/>
  <c r="B55" i="1"/>
  <c r="B64" i="1"/>
  <c r="B72" i="1"/>
  <c r="B80" i="1"/>
  <c r="B88" i="1"/>
  <c r="B96" i="1"/>
  <c r="B104" i="1"/>
  <c r="B112" i="1"/>
  <c r="E22" i="1"/>
  <c r="E32" i="1"/>
  <c r="E44" i="1"/>
  <c r="E54" i="1"/>
  <c r="E64" i="1"/>
  <c r="E76" i="1"/>
  <c r="E86" i="1"/>
  <c r="E96" i="1"/>
  <c r="E108" i="1"/>
  <c r="G15" i="1"/>
  <c r="G24" i="1"/>
  <c r="G34" i="1"/>
  <c r="G43" i="1"/>
  <c r="G52" i="1"/>
  <c r="G61" i="1"/>
  <c r="G70" i="1"/>
  <c r="G79" i="1"/>
  <c r="G88" i="1"/>
  <c r="G98" i="1"/>
  <c r="G107" i="1"/>
  <c r="G116" i="1"/>
  <c r="F21" i="1"/>
  <c r="F30" i="1"/>
  <c r="F39" i="1"/>
  <c r="F48" i="1"/>
  <c r="F58" i="1"/>
  <c r="F67" i="1"/>
  <c r="F76" i="1"/>
  <c r="F85" i="1"/>
  <c r="J85" i="1" s="1"/>
  <c r="F94" i="1"/>
  <c r="F103" i="1"/>
  <c r="F112" i="1"/>
  <c r="D18" i="1"/>
  <c r="D27" i="1"/>
  <c r="D36" i="1"/>
  <c r="D45" i="1"/>
  <c r="D54" i="1"/>
  <c r="D63" i="1"/>
  <c r="D72" i="1"/>
  <c r="D82" i="1"/>
  <c r="D91" i="1"/>
  <c r="D100" i="1"/>
  <c r="D109" i="1"/>
  <c r="C23" i="1"/>
  <c r="C32" i="1"/>
  <c r="C42" i="1"/>
  <c r="C51" i="1"/>
  <c r="C60" i="1"/>
  <c r="C69" i="1"/>
  <c r="C78" i="1"/>
  <c r="C87" i="1"/>
  <c r="C96" i="1"/>
  <c r="C106" i="1"/>
  <c r="C115" i="1"/>
  <c r="B20" i="1"/>
  <c r="B29" i="1"/>
  <c r="B38" i="1"/>
  <c r="B47" i="1"/>
  <c r="B56" i="1"/>
  <c r="B65" i="1"/>
  <c r="B73" i="1"/>
  <c r="B81" i="1"/>
  <c r="B89" i="1"/>
  <c r="B97" i="1"/>
  <c r="B105" i="1"/>
  <c r="B113" i="1"/>
  <c r="E23" i="1"/>
  <c r="E35" i="1"/>
  <c r="E45" i="1"/>
  <c r="E19" i="1"/>
  <c r="E37" i="1"/>
  <c r="E52" i="1"/>
  <c r="E68" i="1"/>
  <c r="E80" i="1"/>
  <c r="E94" i="1"/>
  <c r="E110" i="1"/>
  <c r="G26" i="1"/>
  <c r="G37" i="1"/>
  <c r="G48" i="1"/>
  <c r="G62" i="1"/>
  <c r="G74" i="1"/>
  <c r="G85" i="1"/>
  <c r="G99" i="1"/>
  <c r="G110" i="1"/>
  <c r="F18" i="1"/>
  <c r="F31" i="1"/>
  <c r="F43" i="1"/>
  <c r="F54" i="1"/>
  <c r="F68" i="1"/>
  <c r="F79" i="1"/>
  <c r="F91" i="1"/>
  <c r="F104" i="1"/>
  <c r="F116" i="1"/>
  <c r="J116" i="1" s="1"/>
  <c r="D23" i="1"/>
  <c r="D37" i="1"/>
  <c r="D48" i="1"/>
  <c r="D60" i="1"/>
  <c r="D74" i="1"/>
  <c r="D85" i="1"/>
  <c r="D96" i="1"/>
  <c r="D110" i="1"/>
  <c r="C18" i="1"/>
  <c r="C29" i="1"/>
  <c r="C43" i="1"/>
  <c r="C54" i="1"/>
  <c r="C66" i="1"/>
  <c r="C79" i="1"/>
  <c r="C91" i="1"/>
  <c r="C102" i="1"/>
  <c r="C116" i="1"/>
  <c r="B23" i="1"/>
  <c r="B35" i="1"/>
  <c r="B48" i="1"/>
  <c r="B60" i="1"/>
  <c r="B70" i="1"/>
  <c r="B82" i="1"/>
  <c r="B92" i="1"/>
  <c r="B102" i="1"/>
  <c r="B114" i="1"/>
  <c r="G86" i="1"/>
  <c r="F44" i="1"/>
  <c r="F69" i="1"/>
  <c r="F80" i="1"/>
  <c r="F117" i="1"/>
  <c r="D86" i="1"/>
  <c r="C80" i="1"/>
  <c r="B93" i="1"/>
  <c r="E100" i="1"/>
  <c r="E20" i="1"/>
  <c r="E38" i="1"/>
  <c r="E55" i="1"/>
  <c r="E69" i="1"/>
  <c r="E83" i="1"/>
  <c r="E99" i="1"/>
  <c r="E111" i="1"/>
  <c r="G27" i="1"/>
  <c r="G38" i="1"/>
  <c r="G50" i="1"/>
  <c r="G63" i="1"/>
  <c r="G75" i="1"/>
  <c r="G100" i="1"/>
  <c r="G111" i="1"/>
  <c r="F19" i="1"/>
  <c r="F32" i="1"/>
  <c r="F55" i="1"/>
  <c r="F92" i="1"/>
  <c r="F106" i="1"/>
  <c r="D24" i="1"/>
  <c r="D38" i="1"/>
  <c r="D50" i="1"/>
  <c r="D61" i="1"/>
  <c r="D75" i="1"/>
  <c r="D98" i="1"/>
  <c r="D111" i="1"/>
  <c r="C19" i="1"/>
  <c r="C30" i="1"/>
  <c r="C44" i="1"/>
  <c r="C55" i="1"/>
  <c r="C67" i="1"/>
  <c r="C92" i="1"/>
  <c r="C103" i="1"/>
  <c r="C117" i="1"/>
  <c r="B24" i="1"/>
  <c r="B36" i="1"/>
  <c r="B50" i="1"/>
  <c r="B61" i="1"/>
  <c r="B71" i="1"/>
  <c r="B83" i="1"/>
  <c r="B103" i="1"/>
  <c r="B115" i="1"/>
  <c r="E24" i="1"/>
  <c r="E39" i="1"/>
  <c r="E56" i="1"/>
  <c r="E70" i="1"/>
  <c r="E84" i="1"/>
  <c r="E112" i="1"/>
  <c r="G28" i="1"/>
  <c r="G39" i="1"/>
  <c r="G53" i="1"/>
  <c r="G64" i="1"/>
  <c r="G76" i="1"/>
  <c r="J76" i="1" s="1"/>
  <c r="G90" i="1"/>
  <c r="G101" i="1"/>
  <c r="G112" i="1"/>
  <c r="F22" i="1"/>
  <c r="F34" i="1"/>
  <c r="F45" i="1"/>
  <c r="F59" i="1"/>
  <c r="F70" i="1"/>
  <c r="F82" i="1"/>
  <c r="F95" i="1"/>
  <c r="F107" i="1"/>
  <c r="D14" i="1"/>
  <c r="D28" i="1"/>
  <c r="D39" i="1"/>
  <c r="D51" i="1"/>
  <c r="D64" i="1"/>
  <c r="D76" i="1"/>
  <c r="B90" i="1"/>
  <c r="B62" i="1"/>
  <c r="B15" i="1"/>
  <c r="C84" i="1"/>
  <c r="C52" i="1"/>
  <c r="C20" i="1"/>
  <c r="D92" i="1"/>
  <c r="D55" i="1"/>
  <c r="D15" i="1"/>
  <c r="F78" i="1"/>
  <c r="H78" i="1" s="1"/>
  <c r="F40" i="1"/>
  <c r="G104" i="1"/>
  <c r="G67" i="1"/>
  <c r="H67" i="1" s="1"/>
  <c r="G29" i="1"/>
  <c r="H29" i="1" s="1"/>
  <c r="E116" i="1"/>
  <c r="B101" i="1"/>
  <c r="C112" i="1"/>
  <c r="C64" i="1"/>
  <c r="C35" i="1"/>
  <c r="D104" i="1"/>
  <c r="D69" i="1"/>
  <c r="D31" i="1"/>
  <c r="F98" i="1"/>
  <c r="F37" i="1"/>
  <c r="G83" i="1"/>
  <c r="G45" i="1"/>
  <c r="E91" i="1"/>
  <c r="E46" i="1"/>
  <c r="E15" i="1"/>
  <c r="B116" i="1"/>
  <c r="B100" i="1"/>
  <c r="B86" i="1"/>
  <c r="B74" i="1"/>
  <c r="B42" i="1"/>
  <c r="B26" i="1"/>
  <c r="C111" i="1"/>
  <c r="C98" i="1"/>
  <c r="C82" i="1"/>
  <c r="C63" i="1"/>
  <c r="C47" i="1"/>
  <c r="C34" i="1"/>
  <c r="C15" i="1"/>
  <c r="D103" i="1"/>
  <c r="D68" i="1"/>
  <c r="D47" i="1"/>
  <c r="D30" i="1"/>
  <c r="F114" i="1"/>
  <c r="F74" i="1"/>
  <c r="F53" i="1"/>
  <c r="F15" i="1"/>
  <c r="G102" i="1"/>
  <c r="G59" i="1"/>
  <c r="G44" i="1"/>
  <c r="E109" i="1"/>
  <c r="E88" i="1"/>
  <c r="E62" i="1"/>
  <c r="E40" i="1"/>
  <c r="E14" i="1"/>
  <c r="B111" i="1"/>
  <c r="B99" i="1"/>
  <c r="B85" i="1"/>
  <c r="B69" i="1"/>
  <c r="B54" i="1"/>
  <c r="B40" i="1"/>
  <c r="B22" i="1"/>
  <c r="C94" i="1"/>
  <c r="C76" i="1"/>
  <c r="C62" i="1"/>
  <c r="C46" i="1"/>
  <c r="C28" i="1"/>
  <c r="D116" i="1"/>
  <c r="D102" i="1"/>
  <c r="D84" i="1"/>
  <c r="D67" i="1"/>
  <c r="D46" i="1"/>
  <c r="D29" i="1"/>
  <c r="F110" i="1"/>
  <c r="F90" i="1"/>
  <c r="F72" i="1"/>
  <c r="F52" i="1"/>
  <c r="H52" i="1" s="1"/>
  <c r="F14" i="1"/>
  <c r="H14" i="1" s="1"/>
  <c r="G95" i="1"/>
  <c r="G80" i="1"/>
  <c r="G58" i="1"/>
  <c r="G40" i="1"/>
  <c r="G20" i="1"/>
  <c r="J20" i="1" s="1"/>
  <c r="E104" i="1"/>
  <c r="E87" i="1"/>
  <c r="E61" i="1"/>
  <c r="E36" i="1"/>
  <c r="B39" i="1"/>
  <c r="D101" i="1"/>
  <c r="F71" i="1"/>
  <c r="G94" i="1"/>
  <c r="G19" i="1"/>
  <c r="E103" i="1"/>
  <c r="E79" i="1"/>
  <c r="E60" i="1"/>
  <c r="E30" i="1"/>
  <c r="B108" i="1"/>
  <c r="B94" i="1"/>
  <c r="B78" i="1"/>
  <c r="B66" i="1"/>
  <c r="B51" i="1"/>
  <c r="B32" i="1"/>
  <c r="B16" i="1"/>
  <c r="C107" i="1"/>
  <c r="C88" i="1"/>
  <c r="C72" i="1"/>
  <c r="C56" i="1"/>
  <c r="C38" i="1"/>
  <c r="C24" i="1"/>
  <c r="D112" i="1"/>
  <c r="D94" i="1"/>
  <c r="D78" i="1"/>
  <c r="D58" i="1"/>
  <c r="D40" i="1"/>
  <c r="D20" i="1"/>
  <c r="F101" i="1"/>
  <c r="F86" i="1"/>
  <c r="F63" i="1"/>
  <c r="F46" i="1"/>
  <c r="F26" i="1"/>
  <c r="G109" i="1"/>
  <c r="G92" i="1"/>
  <c r="H92" i="1" s="1"/>
  <c r="G71" i="1"/>
  <c r="J71" i="1" s="1"/>
  <c r="G54" i="1"/>
  <c r="G31" i="1"/>
  <c r="H31" i="1" s="1"/>
  <c r="I31" i="1" s="1"/>
  <c r="G16" i="1"/>
  <c r="E101" i="1"/>
  <c r="E77" i="1"/>
  <c r="E51" i="1"/>
  <c r="E28" i="1"/>
  <c r="B107" i="1"/>
  <c r="B91" i="1"/>
  <c r="B77" i="1"/>
  <c r="B63" i="1"/>
  <c r="B45" i="1"/>
  <c r="B31" i="1"/>
  <c r="B14" i="1"/>
  <c r="C101" i="1"/>
  <c r="C85" i="1"/>
  <c r="C71" i="1"/>
  <c r="C53" i="1"/>
  <c r="C37" i="1"/>
  <c r="C21" i="1"/>
  <c r="D107" i="1"/>
  <c r="D93" i="1"/>
  <c r="D77" i="1"/>
  <c r="D56" i="1"/>
  <c r="D34" i="1"/>
  <c r="D19" i="1"/>
  <c r="F100" i="1"/>
  <c r="F83" i="1"/>
  <c r="F62" i="1"/>
  <c r="F42" i="1"/>
  <c r="F24" i="1"/>
  <c r="G108" i="1"/>
  <c r="G91" i="1"/>
  <c r="H91" i="1" s="1"/>
  <c r="G68" i="1"/>
  <c r="G47" i="1"/>
  <c r="J47" i="1" s="1"/>
  <c r="G30" i="1"/>
  <c r="H30" i="1" s="1"/>
  <c r="E93" i="1"/>
  <c r="E72" i="1"/>
  <c r="E48" i="1"/>
  <c r="E27" i="1"/>
  <c r="B106" i="1"/>
  <c r="B76" i="1"/>
  <c r="B44" i="1"/>
  <c r="B30" i="1"/>
  <c r="C100" i="1"/>
  <c r="C70" i="1"/>
  <c r="C36" i="1"/>
  <c r="D106" i="1"/>
  <c r="D70" i="1"/>
  <c r="D32" i="1"/>
  <c r="F99" i="1"/>
  <c r="F61" i="1"/>
  <c r="F23" i="1"/>
  <c r="G84" i="1"/>
  <c r="G46" i="1"/>
  <c r="E92" i="1"/>
  <c r="E71" i="1"/>
  <c r="E47" i="1"/>
  <c r="E16" i="1"/>
  <c r="B117" i="1"/>
  <c r="B87" i="1"/>
  <c r="B75" i="1"/>
  <c r="B59" i="1"/>
  <c r="B43" i="1"/>
  <c r="B27" i="1"/>
  <c r="C99" i="1"/>
  <c r="C83" i="1"/>
  <c r="C48" i="1"/>
  <c r="C16" i="1"/>
  <c r="D88" i="1"/>
  <c r="D52" i="1"/>
  <c r="F115" i="1"/>
  <c r="F77" i="1"/>
  <c r="H77" i="1" s="1"/>
  <c r="F60" i="1"/>
  <c r="F16" i="1"/>
  <c r="G103" i="1"/>
  <c r="J103" i="1" s="1"/>
  <c r="G66" i="1"/>
  <c r="G22" i="1"/>
  <c r="E115" i="1"/>
  <c r="E67" i="1"/>
  <c r="B58" i="1"/>
  <c r="D87" i="1"/>
  <c r="F96" i="1"/>
  <c r="F36" i="1"/>
  <c r="G82" i="1"/>
  <c r="G21" i="1"/>
  <c r="C110" i="1"/>
  <c r="F35" i="1"/>
  <c r="J35" i="1" s="1"/>
  <c r="B110" i="1"/>
  <c r="B98" i="1"/>
  <c r="B84" i="1"/>
  <c r="B68" i="1"/>
  <c r="B53" i="1"/>
  <c r="B21" i="1"/>
  <c r="C109" i="1"/>
  <c r="C93" i="1"/>
  <c r="C75" i="1"/>
  <c r="C61" i="1"/>
  <c r="C45" i="1"/>
  <c r="C27" i="1"/>
  <c r="D115" i="1"/>
  <c r="D83" i="1"/>
  <c r="D66" i="1"/>
  <c r="D43" i="1"/>
  <c r="D22" i="1"/>
  <c r="F109" i="1"/>
  <c r="F88" i="1"/>
  <c r="F51" i="1"/>
  <c r="F28" i="1"/>
  <c r="G117" i="1"/>
  <c r="G77" i="1"/>
  <c r="G56" i="1"/>
  <c r="G36" i="1"/>
  <c r="B109" i="1"/>
  <c r="B95" i="1"/>
  <c r="B79" i="1"/>
  <c r="B67" i="1"/>
  <c r="B52" i="1"/>
  <c r="B34" i="1"/>
  <c r="B18" i="1"/>
  <c r="C108" i="1"/>
  <c r="C90" i="1"/>
  <c r="C74" i="1"/>
  <c r="C58" i="1"/>
  <c r="C39" i="1"/>
  <c r="C26" i="1"/>
  <c r="D114" i="1"/>
  <c r="D95" i="1"/>
  <c r="D79" i="1"/>
  <c r="D59" i="1"/>
  <c r="D42" i="1"/>
  <c r="D21" i="1"/>
  <c r="F108" i="1"/>
  <c r="F87" i="1"/>
  <c r="F64" i="1"/>
  <c r="F50" i="1"/>
  <c r="J50" i="1" s="1"/>
  <c r="F27" i="1"/>
  <c r="G114" i="1"/>
  <c r="G93" i="1"/>
  <c r="G72" i="1"/>
  <c r="G55" i="1"/>
  <c r="J55" i="1" s="1"/>
  <c r="G35" i="1"/>
  <c r="G18" i="1"/>
  <c r="E102" i="1"/>
  <c r="E78" i="1"/>
  <c r="E59" i="1"/>
  <c r="E29" i="1"/>
  <c r="A12" i="7"/>
  <c r="G17" i="7"/>
  <c r="G25" i="7"/>
  <c r="G33" i="7"/>
  <c r="G41" i="7"/>
  <c r="G49" i="7"/>
  <c r="G57" i="7"/>
  <c r="G65" i="7"/>
  <c r="G73" i="7"/>
  <c r="G81" i="7"/>
  <c r="G89" i="7"/>
  <c r="G97" i="7"/>
  <c r="G105" i="7"/>
  <c r="G113" i="7"/>
  <c r="G121" i="7"/>
  <c r="F16" i="7"/>
  <c r="F24" i="7"/>
  <c r="F32" i="7"/>
  <c r="F40" i="7"/>
  <c r="F48" i="7"/>
  <c r="F56" i="7"/>
  <c r="F64" i="7"/>
  <c r="F72" i="7"/>
  <c r="F80" i="7"/>
  <c r="F88" i="7"/>
  <c r="F96" i="7"/>
  <c r="F104" i="7"/>
  <c r="F112" i="7"/>
  <c r="F120" i="7"/>
  <c r="E15" i="7"/>
  <c r="E23" i="7"/>
  <c r="E31" i="7"/>
  <c r="E39" i="7"/>
  <c r="E47" i="7"/>
  <c r="E55" i="7"/>
  <c r="E63" i="7"/>
  <c r="E71" i="7"/>
  <c r="E79" i="7"/>
  <c r="E87" i="7"/>
  <c r="E95" i="7"/>
  <c r="E103" i="7"/>
  <c r="E111" i="7"/>
  <c r="E119" i="7"/>
  <c r="D14" i="7"/>
  <c r="G20" i="7"/>
  <c r="G29" i="7"/>
  <c r="G38" i="7"/>
  <c r="G47" i="7"/>
  <c r="G56" i="7"/>
  <c r="G66" i="7"/>
  <c r="G75" i="7"/>
  <c r="G84" i="7"/>
  <c r="G93" i="7"/>
  <c r="G102" i="7"/>
  <c r="G111" i="7"/>
  <c r="G120" i="7"/>
  <c r="F17" i="7"/>
  <c r="F26" i="7"/>
  <c r="F35" i="7"/>
  <c r="F44" i="7"/>
  <c r="F53" i="7"/>
  <c r="F62" i="7"/>
  <c r="F71" i="7"/>
  <c r="F81" i="7"/>
  <c r="F90" i="7"/>
  <c r="F99" i="7"/>
  <c r="F108" i="7"/>
  <c r="F117" i="7"/>
  <c r="E13" i="7"/>
  <c r="E22" i="7"/>
  <c r="E32" i="7"/>
  <c r="E41" i="7"/>
  <c r="E50" i="7"/>
  <c r="E59" i="7"/>
  <c r="E68" i="7"/>
  <c r="E77" i="7"/>
  <c r="E86" i="7"/>
  <c r="E96" i="7"/>
  <c r="E105" i="7"/>
  <c r="E114" i="7"/>
  <c r="E123" i="7"/>
  <c r="D19" i="7"/>
  <c r="D27" i="7"/>
  <c r="D35" i="7"/>
  <c r="D43" i="7"/>
  <c r="D51" i="7"/>
  <c r="D59" i="7"/>
  <c r="D67" i="7"/>
  <c r="D75" i="7"/>
  <c r="D83" i="7"/>
  <c r="D91" i="7"/>
  <c r="D99" i="7"/>
  <c r="D107" i="7"/>
  <c r="D115" i="7"/>
  <c r="D123" i="7"/>
  <c r="C18" i="7"/>
  <c r="C26" i="7"/>
  <c r="C34" i="7"/>
  <c r="C42" i="7"/>
  <c r="C50" i="7"/>
  <c r="C58" i="7"/>
  <c r="C66" i="7"/>
  <c r="C74" i="7"/>
  <c r="C82" i="7"/>
  <c r="C90" i="7"/>
  <c r="G21" i="7"/>
  <c r="G30" i="7"/>
  <c r="G39" i="7"/>
  <c r="G48" i="7"/>
  <c r="G58" i="7"/>
  <c r="G67" i="7"/>
  <c r="G76" i="7"/>
  <c r="G85" i="7"/>
  <c r="G94" i="7"/>
  <c r="G103" i="7"/>
  <c r="G112" i="7"/>
  <c r="G122" i="7"/>
  <c r="F18" i="7"/>
  <c r="F27" i="7"/>
  <c r="F36" i="7"/>
  <c r="F45" i="7"/>
  <c r="F54" i="7"/>
  <c r="F63" i="7"/>
  <c r="F73" i="7"/>
  <c r="F82" i="7"/>
  <c r="F91" i="7"/>
  <c r="F100" i="7"/>
  <c r="F109" i="7"/>
  <c r="F118" i="7"/>
  <c r="E14" i="7"/>
  <c r="E24" i="7"/>
  <c r="E33" i="7"/>
  <c r="E42" i="7"/>
  <c r="E51" i="7"/>
  <c r="E60" i="7"/>
  <c r="E69" i="7"/>
  <c r="E78" i="7"/>
  <c r="E88" i="7"/>
  <c r="E97" i="7"/>
  <c r="E106" i="7"/>
  <c r="E115" i="7"/>
  <c r="E124" i="7"/>
  <c r="D20" i="7"/>
  <c r="D28" i="7"/>
  <c r="D36" i="7"/>
  <c r="D44" i="7"/>
  <c r="D52" i="7"/>
  <c r="D60" i="7"/>
  <c r="D68" i="7"/>
  <c r="D76" i="7"/>
  <c r="D84" i="7"/>
  <c r="D92" i="7"/>
  <c r="D100" i="7"/>
  <c r="G13" i="7"/>
  <c r="G24" i="7"/>
  <c r="G36" i="7"/>
  <c r="G50" i="7"/>
  <c r="G61" i="7"/>
  <c r="G72" i="7"/>
  <c r="G86" i="7"/>
  <c r="G98" i="7"/>
  <c r="G109" i="7"/>
  <c r="G123" i="7"/>
  <c r="F21" i="7"/>
  <c r="F33" i="7"/>
  <c r="F46" i="7"/>
  <c r="F58" i="7"/>
  <c r="F69" i="7"/>
  <c r="F83" i="7"/>
  <c r="F94" i="7"/>
  <c r="F106" i="7"/>
  <c r="F119" i="7"/>
  <c r="E18" i="7"/>
  <c r="E29" i="7"/>
  <c r="E43" i="7"/>
  <c r="E54" i="7"/>
  <c r="E66" i="7"/>
  <c r="E80" i="7"/>
  <c r="E91" i="7"/>
  <c r="E102" i="7"/>
  <c r="E116" i="7"/>
  <c r="D15" i="7"/>
  <c r="D25" i="7"/>
  <c r="D37" i="7"/>
  <c r="D47" i="7"/>
  <c r="D57" i="7"/>
  <c r="D69" i="7"/>
  <c r="D79" i="7"/>
  <c r="D89" i="7"/>
  <c r="D101" i="7"/>
  <c r="D110" i="7"/>
  <c r="D119" i="7"/>
  <c r="C15" i="7"/>
  <c r="C24" i="7"/>
  <c r="C33" i="7"/>
  <c r="C43" i="7"/>
  <c r="C52" i="7"/>
  <c r="C61" i="7"/>
  <c r="C70" i="7"/>
  <c r="C79" i="7"/>
  <c r="C88" i="7"/>
  <c r="C97" i="7"/>
  <c r="C105" i="7"/>
  <c r="C113" i="7"/>
  <c r="C121" i="7"/>
  <c r="B16" i="7"/>
  <c r="B24" i="7"/>
  <c r="B32" i="7"/>
  <c r="B40" i="7"/>
  <c r="B48" i="7"/>
  <c r="B56" i="7"/>
  <c r="B64" i="7"/>
  <c r="B72" i="7"/>
  <c r="B80" i="7"/>
  <c r="B88" i="7"/>
  <c r="B96" i="7"/>
  <c r="B104" i="7"/>
  <c r="B112" i="7"/>
  <c r="B120" i="7"/>
  <c r="G27" i="7"/>
  <c r="G52" i="7"/>
  <c r="G77" i="7"/>
  <c r="G100" i="7"/>
  <c r="F85" i="7"/>
  <c r="F110" i="7"/>
  <c r="E20" i="7"/>
  <c r="E45" i="7"/>
  <c r="E70" i="7"/>
  <c r="E93" i="7"/>
  <c r="E118" i="7"/>
  <c r="D29" i="7"/>
  <c r="D49" i="7"/>
  <c r="D71" i="7"/>
  <c r="D93" i="7"/>
  <c r="D112" i="7"/>
  <c r="C17" i="7"/>
  <c r="C36" i="7"/>
  <c r="C54" i="7"/>
  <c r="C72" i="7"/>
  <c r="C91" i="7"/>
  <c r="C107" i="7"/>
  <c r="C123" i="7"/>
  <c r="B26" i="7"/>
  <c r="B42" i="7"/>
  <c r="B58" i="7"/>
  <c r="B74" i="7"/>
  <c r="B90" i="7"/>
  <c r="B106" i="7"/>
  <c r="B122" i="7"/>
  <c r="G28" i="7"/>
  <c r="G53" i="7"/>
  <c r="G78" i="7"/>
  <c r="G101" i="7"/>
  <c r="F13" i="7"/>
  <c r="F38" i="7"/>
  <c r="F61" i="7"/>
  <c r="F86" i="7"/>
  <c r="F111" i="7"/>
  <c r="E21" i="7"/>
  <c r="E46" i="7"/>
  <c r="E58" i="7"/>
  <c r="E72" i="7"/>
  <c r="E120" i="7"/>
  <c r="G14" i="7"/>
  <c r="G26" i="7"/>
  <c r="G37" i="7"/>
  <c r="G51" i="7"/>
  <c r="G62" i="7"/>
  <c r="G74" i="7"/>
  <c r="G87" i="7"/>
  <c r="G99" i="7"/>
  <c r="G110" i="7"/>
  <c r="G124" i="7"/>
  <c r="F22" i="7"/>
  <c r="F34" i="7"/>
  <c r="F47" i="7"/>
  <c r="F59" i="7"/>
  <c r="F70" i="7"/>
  <c r="F84" i="7"/>
  <c r="F95" i="7"/>
  <c r="F107" i="7"/>
  <c r="F121" i="7"/>
  <c r="E19" i="7"/>
  <c r="E30" i="7"/>
  <c r="E44" i="7"/>
  <c r="E56" i="7"/>
  <c r="E67" i="7"/>
  <c r="E81" i="7"/>
  <c r="E92" i="7"/>
  <c r="E104" i="7"/>
  <c r="E117" i="7"/>
  <c r="D16" i="7"/>
  <c r="D26" i="7"/>
  <c r="D38" i="7"/>
  <c r="D48" i="7"/>
  <c r="D58" i="7"/>
  <c r="D70" i="7"/>
  <c r="D80" i="7"/>
  <c r="D90" i="7"/>
  <c r="D102" i="7"/>
  <c r="D111" i="7"/>
  <c r="D120" i="7"/>
  <c r="C16" i="7"/>
  <c r="C25" i="7"/>
  <c r="C35" i="7"/>
  <c r="C44" i="7"/>
  <c r="C53" i="7"/>
  <c r="C62" i="7"/>
  <c r="C71" i="7"/>
  <c r="C80" i="7"/>
  <c r="C89" i="7"/>
  <c r="C98" i="7"/>
  <c r="C106" i="7"/>
  <c r="C114" i="7"/>
  <c r="C122" i="7"/>
  <c r="B17" i="7"/>
  <c r="B25" i="7"/>
  <c r="B33" i="7"/>
  <c r="B41" i="7"/>
  <c r="B49" i="7"/>
  <c r="B57" i="7"/>
  <c r="B65" i="7"/>
  <c r="B73" i="7"/>
  <c r="B81" i="7"/>
  <c r="B89" i="7"/>
  <c r="B97" i="7"/>
  <c r="B105" i="7"/>
  <c r="B113" i="7"/>
  <c r="B121" i="7"/>
  <c r="G15" i="7"/>
  <c r="G40" i="7"/>
  <c r="G63" i="7"/>
  <c r="G88" i="7"/>
  <c r="G114" i="7"/>
  <c r="F23" i="7"/>
  <c r="F37" i="7"/>
  <c r="F49" i="7"/>
  <c r="F60" i="7"/>
  <c r="F74" i="7"/>
  <c r="F97" i="7"/>
  <c r="F122" i="7"/>
  <c r="E34" i="7"/>
  <c r="E57" i="7"/>
  <c r="E82" i="7"/>
  <c r="E107" i="7"/>
  <c r="D17" i="7"/>
  <c r="D39" i="7"/>
  <c r="D61" i="7"/>
  <c r="D81" i="7"/>
  <c r="D103" i="7"/>
  <c r="D121" i="7"/>
  <c r="C27" i="7"/>
  <c r="C45" i="7"/>
  <c r="C63" i="7"/>
  <c r="C81" i="7"/>
  <c r="C99" i="7"/>
  <c r="C115" i="7"/>
  <c r="B18" i="7"/>
  <c r="B34" i="7"/>
  <c r="B50" i="7"/>
  <c r="B66" i="7"/>
  <c r="B82" i="7"/>
  <c r="B98" i="7"/>
  <c r="B114" i="7"/>
  <c r="G16" i="7"/>
  <c r="G42" i="7"/>
  <c r="G64" i="7"/>
  <c r="G90" i="7"/>
  <c r="G115" i="7"/>
  <c r="F25" i="7"/>
  <c r="F50" i="7"/>
  <c r="F75" i="7"/>
  <c r="F98" i="7"/>
  <c r="F123" i="7"/>
  <c r="E35" i="7"/>
  <c r="E83" i="7"/>
  <c r="E94" i="7"/>
  <c r="E108" i="7"/>
  <c r="G32" i="7"/>
  <c r="G55" i="7"/>
  <c r="G80" i="7"/>
  <c r="G106" i="7"/>
  <c r="F15" i="7"/>
  <c r="F41" i="7"/>
  <c r="F66" i="7"/>
  <c r="F89" i="7"/>
  <c r="F114" i="7"/>
  <c r="E26" i="7"/>
  <c r="E49" i="7"/>
  <c r="E74" i="7"/>
  <c r="E99" i="7"/>
  <c r="E122" i="7"/>
  <c r="D30" i="7"/>
  <c r="D45" i="7"/>
  <c r="D63" i="7"/>
  <c r="D78" i="7"/>
  <c r="D96" i="7"/>
  <c r="D113" i="7"/>
  <c r="C13" i="7"/>
  <c r="C29" i="7"/>
  <c r="C41" i="7"/>
  <c r="C57" i="7"/>
  <c r="C73" i="7"/>
  <c r="C86" i="7"/>
  <c r="C101" i="7"/>
  <c r="C112" i="7"/>
  <c r="B13" i="7"/>
  <c r="B27" i="7"/>
  <c r="B38" i="7"/>
  <c r="B52" i="7"/>
  <c r="B63" i="7"/>
  <c r="B77" i="7"/>
  <c r="B91" i="7"/>
  <c r="B102" i="7"/>
  <c r="B116" i="7"/>
  <c r="G60" i="7"/>
  <c r="G108" i="7"/>
  <c r="F43" i="7"/>
  <c r="F93" i="7"/>
  <c r="E28" i="7"/>
  <c r="E76" i="7"/>
  <c r="D13" i="7"/>
  <c r="D50" i="7"/>
  <c r="D85" i="7"/>
  <c r="D116" i="7"/>
  <c r="C31" i="7"/>
  <c r="C60" i="7"/>
  <c r="C92" i="7"/>
  <c r="C117" i="7"/>
  <c r="B29" i="7"/>
  <c r="B54" i="7"/>
  <c r="B79" i="7"/>
  <c r="B107" i="7"/>
  <c r="G43" i="7"/>
  <c r="G91" i="7"/>
  <c r="F28" i="7"/>
  <c r="F76" i="7"/>
  <c r="F124" i="7"/>
  <c r="E61" i="7"/>
  <c r="E109" i="7"/>
  <c r="D53" i="7"/>
  <c r="D86" i="7"/>
  <c r="D117" i="7"/>
  <c r="C32" i="7"/>
  <c r="C64" i="7"/>
  <c r="C93" i="7"/>
  <c r="C118" i="7"/>
  <c r="B30" i="7"/>
  <c r="B55" i="7"/>
  <c r="B83" i="7"/>
  <c r="B108" i="7"/>
  <c r="G19" i="7"/>
  <c r="G69" i="7"/>
  <c r="G117" i="7"/>
  <c r="F52" i="7"/>
  <c r="F102" i="7"/>
  <c r="E37" i="7"/>
  <c r="E62" i="7"/>
  <c r="E110" i="7"/>
  <c r="D21" i="7"/>
  <c r="D54" i="7"/>
  <c r="D87" i="7"/>
  <c r="D118" i="7"/>
  <c r="C37" i="7"/>
  <c r="C65" i="7"/>
  <c r="C94" i="7"/>
  <c r="C119" i="7"/>
  <c r="B31" i="7"/>
  <c r="B59" i="7"/>
  <c r="B84" i="7"/>
  <c r="B109" i="7"/>
  <c r="C38" i="7"/>
  <c r="B21" i="7"/>
  <c r="B60" i="7"/>
  <c r="B85" i="7"/>
  <c r="B110" i="7"/>
  <c r="G46" i="7"/>
  <c r="G96" i="7"/>
  <c r="F31" i="7"/>
  <c r="F79" i="7"/>
  <c r="E17" i="7"/>
  <c r="E65" i="7"/>
  <c r="E113" i="7"/>
  <c r="D41" i="7"/>
  <c r="D74" i="7"/>
  <c r="D108" i="7"/>
  <c r="C23" i="7"/>
  <c r="C55" i="7"/>
  <c r="C84" i="7"/>
  <c r="C110" i="7"/>
  <c r="B22" i="7"/>
  <c r="B47" i="7"/>
  <c r="B75" i="7"/>
  <c r="B100" i="7"/>
  <c r="G34" i="7"/>
  <c r="G59" i="7"/>
  <c r="G82" i="7"/>
  <c r="G107" i="7"/>
  <c r="F19" i="7"/>
  <c r="F42" i="7"/>
  <c r="F67" i="7"/>
  <c r="F92" i="7"/>
  <c r="F115" i="7"/>
  <c r="E27" i="7"/>
  <c r="E52" i="7"/>
  <c r="E75" i="7"/>
  <c r="E100" i="7"/>
  <c r="D31" i="7"/>
  <c r="D46" i="7"/>
  <c r="D64" i="7"/>
  <c r="D82" i="7"/>
  <c r="D97" i="7"/>
  <c r="D114" i="7"/>
  <c r="C14" i="7"/>
  <c r="C30" i="7"/>
  <c r="C46" i="7"/>
  <c r="C59" i="7"/>
  <c r="C75" i="7"/>
  <c r="C87" i="7"/>
  <c r="C102" i="7"/>
  <c r="C116" i="7"/>
  <c r="B14" i="7"/>
  <c r="B28" i="7"/>
  <c r="B39" i="7"/>
  <c r="B53" i="7"/>
  <c r="B67" i="7"/>
  <c r="B78" i="7"/>
  <c r="B92" i="7"/>
  <c r="B103" i="7"/>
  <c r="B117" i="7"/>
  <c r="G35" i="7"/>
  <c r="G83" i="7"/>
  <c r="F20" i="7"/>
  <c r="F68" i="7"/>
  <c r="F116" i="7"/>
  <c r="E53" i="7"/>
  <c r="E101" i="7"/>
  <c r="D32" i="7"/>
  <c r="D65" i="7"/>
  <c r="D98" i="7"/>
  <c r="C19" i="7"/>
  <c r="C47" i="7"/>
  <c r="C76" i="7"/>
  <c r="C103" i="7"/>
  <c r="B15" i="7"/>
  <c r="B43" i="7"/>
  <c r="B68" i="7"/>
  <c r="B93" i="7"/>
  <c r="B118" i="7"/>
  <c r="G18" i="7"/>
  <c r="G68" i="7"/>
  <c r="G116" i="7"/>
  <c r="F51" i="7"/>
  <c r="F101" i="7"/>
  <c r="E36" i="7"/>
  <c r="E84" i="7"/>
  <c r="D18" i="7"/>
  <c r="D33" i="7"/>
  <c r="D66" i="7"/>
  <c r="D104" i="7"/>
  <c r="C20" i="7"/>
  <c r="C48" i="7"/>
  <c r="C77" i="7"/>
  <c r="C104" i="7"/>
  <c r="B19" i="7"/>
  <c r="B44" i="7"/>
  <c r="B69" i="7"/>
  <c r="B94" i="7"/>
  <c r="B119" i="7"/>
  <c r="G44" i="7"/>
  <c r="G92" i="7"/>
  <c r="F29" i="7"/>
  <c r="F77" i="7"/>
  <c r="E85" i="7"/>
  <c r="D34" i="7"/>
  <c r="D72" i="7"/>
  <c r="D105" i="7"/>
  <c r="C21" i="7"/>
  <c r="C49" i="7"/>
  <c r="C78" i="7"/>
  <c r="C108" i="7"/>
  <c r="B20" i="7"/>
  <c r="B45" i="7"/>
  <c r="B70" i="7"/>
  <c r="B95" i="7"/>
  <c r="B123" i="7"/>
  <c r="G22" i="7"/>
  <c r="G45" i="7"/>
  <c r="G70" i="7"/>
  <c r="G95" i="7"/>
  <c r="G118" i="7"/>
  <c r="F30" i="7"/>
  <c r="F55" i="7"/>
  <c r="F78" i="7"/>
  <c r="F103" i="7"/>
  <c r="E16" i="7"/>
  <c r="E38" i="7"/>
  <c r="E64" i="7"/>
  <c r="E89" i="7"/>
  <c r="E112" i="7"/>
  <c r="D22" i="7"/>
  <c r="D40" i="7"/>
  <c r="D55" i="7"/>
  <c r="D73" i="7"/>
  <c r="D88" i="7"/>
  <c r="D106" i="7"/>
  <c r="D122" i="7"/>
  <c r="C22" i="7"/>
  <c r="C51" i="7"/>
  <c r="C67" i="7"/>
  <c r="C83" i="7"/>
  <c r="C95" i="7"/>
  <c r="C109" i="7"/>
  <c r="C120" i="7"/>
  <c r="B35" i="7"/>
  <c r="B46" i="7"/>
  <c r="B71" i="7"/>
  <c r="B99" i="7"/>
  <c r="B124" i="7"/>
  <c r="G23" i="7"/>
  <c r="G71" i="7"/>
  <c r="G119" i="7"/>
  <c r="F57" i="7"/>
  <c r="F105" i="7"/>
  <c r="E40" i="7"/>
  <c r="E90" i="7"/>
  <c r="D23" i="7"/>
  <c r="D56" i="7"/>
  <c r="D94" i="7"/>
  <c r="D124" i="7"/>
  <c r="C39" i="7"/>
  <c r="C68" i="7"/>
  <c r="C96" i="7"/>
  <c r="C124" i="7"/>
  <c r="B36" i="7"/>
  <c r="B61" i="7"/>
  <c r="B86" i="7"/>
  <c r="B111" i="7"/>
  <c r="C28" i="7"/>
  <c r="F39" i="7"/>
  <c r="B115" i="7"/>
  <c r="E98" i="7"/>
  <c r="F14" i="7"/>
  <c r="B87" i="7"/>
  <c r="C100" i="7"/>
  <c r="D95" i="7"/>
  <c r="E48" i="7"/>
  <c r="G79" i="7"/>
  <c r="B76" i="7"/>
  <c r="C85" i="7"/>
  <c r="D77" i="7"/>
  <c r="E25" i="7"/>
  <c r="G54" i="7"/>
  <c r="B62" i="7"/>
  <c r="C69" i="7"/>
  <c r="D62" i="7"/>
  <c r="F113" i="7"/>
  <c r="G31" i="7"/>
  <c r="B51" i="7"/>
  <c r="C56" i="7"/>
  <c r="D42" i="7"/>
  <c r="F87" i="7"/>
  <c r="B37" i="7"/>
  <c r="C40" i="7"/>
  <c r="D24" i="7"/>
  <c r="F65" i="7"/>
  <c r="B23" i="7"/>
  <c r="E121" i="7"/>
  <c r="B101" i="7"/>
  <c r="C111" i="7"/>
  <c r="D109" i="7"/>
  <c r="E73" i="7"/>
  <c r="G104" i="7"/>
  <c r="H55" i="1"/>
  <c r="H65" i="1" l="1"/>
  <c r="J29" i="1"/>
  <c r="H79" i="1"/>
  <c r="J72" i="1"/>
  <c r="H46" i="1"/>
  <c r="I46" i="1" s="1"/>
  <c r="H87" i="1"/>
  <c r="H20" i="1"/>
  <c r="I20" i="1" s="1"/>
  <c r="H84" i="1"/>
  <c r="I84" i="1" s="1"/>
  <c r="J28" i="1"/>
  <c r="H51" i="1"/>
  <c r="I51" i="1" s="1"/>
  <c r="J36" i="1"/>
  <c r="J45" i="1"/>
  <c r="H107" i="1"/>
  <c r="I107" i="1" s="1"/>
  <c r="J39" i="1"/>
  <c r="H70" i="1"/>
  <c r="I70" i="1" s="1"/>
  <c r="J57" i="1"/>
  <c r="J97" i="1"/>
  <c r="H33" i="1"/>
  <c r="I33" i="1" s="1"/>
  <c r="J93" i="1"/>
  <c r="H88" i="1"/>
  <c r="I88" i="1" s="1"/>
  <c r="J99" i="1"/>
  <c r="H100" i="1"/>
  <c r="I100" i="1" s="1"/>
  <c r="J63" i="1"/>
  <c r="H53" i="1"/>
  <c r="I53" i="1" s="1"/>
  <c r="J101" i="1"/>
  <c r="H43" i="1"/>
  <c r="I43" i="1" s="1"/>
  <c r="H89" i="1"/>
  <c r="J25" i="1"/>
  <c r="J114" i="1"/>
  <c r="H109" i="1"/>
  <c r="I109" i="1" s="1"/>
  <c r="J60" i="1"/>
  <c r="J90" i="1"/>
  <c r="J111" i="1"/>
  <c r="J81" i="1"/>
  <c r="J17" i="1"/>
  <c r="H6" i="9"/>
  <c r="I6" i="9" s="1"/>
  <c r="H56" i="1"/>
  <c r="I56" i="1" s="1"/>
  <c r="H113" i="1"/>
  <c r="I113" i="1" s="1"/>
  <c r="J49" i="1"/>
  <c r="I89" i="1"/>
  <c r="H66" i="1"/>
  <c r="I66" i="1" s="1"/>
  <c r="J74" i="1"/>
  <c r="I77" i="1"/>
  <c r="I91" i="1"/>
  <c r="J18" i="1"/>
  <c r="J26" i="1"/>
  <c r="H94" i="1"/>
  <c r="I94" i="1" s="1"/>
  <c r="J21" i="1"/>
  <c r="J117" i="1"/>
  <c r="J110" i="1"/>
  <c r="J38" i="1"/>
  <c r="H69" i="1"/>
  <c r="I69" i="1" s="1"/>
  <c r="H73" i="1"/>
  <c r="I73" i="1" s="1"/>
  <c r="J108" i="1"/>
  <c r="J40" i="1"/>
  <c r="J44" i="1"/>
  <c r="H80" i="1"/>
  <c r="I80" i="1" s="1"/>
  <c r="J34" i="1"/>
  <c r="H102" i="1"/>
  <c r="I102" i="1" s="1"/>
  <c r="J23" i="1"/>
  <c r="H68" i="1"/>
  <c r="I68" i="1" s="1"/>
  <c r="H82" i="1"/>
  <c r="I82" i="1" s="1"/>
  <c r="J115" i="1"/>
  <c r="J92" i="1"/>
  <c r="J84" i="1"/>
  <c r="H42" i="1"/>
  <c r="I42" i="1" s="1"/>
  <c r="H58" i="1"/>
  <c r="I58" i="1" s="1"/>
  <c r="I30" i="1"/>
  <c r="H95" i="1"/>
  <c r="I95" i="1" s="1"/>
  <c r="H15" i="1"/>
  <c r="I15" i="1" s="1"/>
  <c r="I78" i="1"/>
  <c r="H112" i="1"/>
  <c r="I112" i="1" s="1"/>
  <c r="H27" i="1"/>
  <c r="I27" i="1" s="1"/>
  <c r="H86" i="1"/>
  <c r="I86" i="1" s="1"/>
  <c r="J54" i="1"/>
  <c r="J62" i="1"/>
  <c r="I79" i="1"/>
  <c r="H75" i="1"/>
  <c r="I75" i="1" s="1"/>
  <c r="J106" i="1"/>
  <c r="I65" i="1"/>
  <c r="J105" i="1"/>
  <c r="J41" i="1"/>
  <c r="J31" i="3"/>
  <c r="H122" i="3"/>
  <c r="I122" i="3" s="1"/>
  <c r="H107" i="3"/>
  <c r="I107" i="3" s="1"/>
  <c r="H31" i="3"/>
  <c r="I31" i="3" s="1"/>
  <c r="J107" i="3"/>
  <c r="J93" i="3"/>
  <c r="J63" i="3"/>
  <c r="J47" i="3"/>
  <c r="H81" i="3"/>
  <c r="I81" i="3" s="1"/>
  <c r="H93" i="3"/>
  <c r="I93" i="3" s="1"/>
  <c r="J90" i="3"/>
  <c r="H90" i="3"/>
  <c r="I90" i="3" s="1"/>
  <c r="J74" i="3"/>
  <c r="H74" i="3"/>
  <c r="I74" i="3" s="1"/>
  <c r="J121" i="3"/>
  <c r="H121" i="3"/>
  <c r="I121" i="3" s="1"/>
  <c r="J100" i="3"/>
  <c r="H100" i="3"/>
  <c r="I100" i="3" s="1"/>
  <c r="H43" i="3"/>
  <c r="I43" i="3" s="1"/>
  <c r="J43" i="3"/>
  <c r="H65" i="3"/>
  <c r="I65" i="3" s="1"/>
  <c r="J65" i="3"/>
  <c r="H114" i="3"/>
  <c r="I114" i="3" s="1"/>
  <c r="J114" i="3"/>
  <c r="H66" i="3"/>
  <c r="I66" i="3" s="1"/>
  <c r="J66" i="3"/>
  <c r="H103" i="3"/>
  <c r="I103" i="3" s="1"/>
  <c r="J103" i="3"/>
  <c r="J91" i="3"/>
  <c r="H91" i="3"/>
  <c r="I91" i="3" s="1"/>
  <c r="J112" i="3"/>
  <c r="H112" i="3"/>
  <c r="I112" i="3" s="1"/>
  <c r="H113" i="3"/>
  <c r="I113" i="3" s="1"/>
  <c r="J113" i="3"/>
  <c r="H60" i="3"/>
  <c r="I60" i="3" s="1"/>
  <c r="J60" i="3"/>
  <c r="J32" i="3"/>
  <c r="H32" i="3"/>
  <c r="I32" i="3" s="1"/>
  <c r="H102" i="3"/>
  <c r="I102" i="3" s="1"/>
  <c r="J102" i="3"/>
  <c r="J82" i="3"/>
  <c r="H82" i="3"/>
  <c r="I82" i="3" s="1"/>
  <c r="J56" i="3"/>
  <c r="H56" i="3"/>
  <c r="I56" i="3" s="1"/>
  <c r="J104" i="3"/>
  <c r="H104" i="3"/>
  <c r="I104" i="3" s="1"/>
  <c r="H40" i="3"/>
  <c r="I40" i="3" s="1"/>
  <c r="J40" i="3"/>
  <c r="H51" i="3"/>
  <c r="I51" i="3" s="1"/>
  <c r="J51" i="3"/>
  <c r="J96" i="3"/>
  <c r="H96" i="3"/>
  <c r="I96" i="3" s="1"/>
  <c r="H30" i="3"/>
  <c r="I30" i="3" s="1"/>
  <c r="J30" i="3"/>
  <c r="J95" i="3"/>
  <c r="H95" i="3"/>
  <c r="I95" i="3" s="1"/>
  <c r="J117" i="3"/>
  <c r="H117" i="3"/>
  <c r="I117" i="3" s="1"/>
  <c r="J45" i="3"/>
  <c r="H45" i="3"/>
  <c r="I45" i="3" s="1"/>
  <c r="J20" i="3"/>
  <c r="H20" i="3"/>
  <c r="I20" i="3" s="1"/>
  <c r="J120" i="3"/>
  <c r="H120" i="3"/>
  <c r="I120" i="3" s="1"/>
  <c r="J39" i="3"/>
  <c r="H39" i="3"/>
  <c r="I39" i="3" s="1"/>
  <c r="H42" i="3"/>
  <c r="I42" i="3" s="1"/>
  <c r="J42" i="3"/>
  <c r="J87" i="3"/>
  <c r="H87" i="3"/>
  <c r="I87" i="3" s="1"/>
  <c r="D13" i="3"/>
  <c r="F13" i="3"/>
  <c r="G13" i="3"/>
  <c r="E13" i="3"/>
  <c r="B13" i="3"/>
  <c r="C13" i="3"/>
  <c r="J35" i="3"/>
  <c r="H35" i="3"/>
  <c r="I35" i="3" s="1"/>
  <c r="J119" i="3"/>
  <c r="H119" i="3"/>
  <c r="I119" i="3" s="1"/>
  <c r="H25" i="3"/>
  <c r="I25" i="3" s="1"/>
  <c r="J25" i="3"/>
  <c r="J26" i="3"/>
  <c r="H26" i="3"/>
  <c r="I26" i="3" s="1"/>
  <c r="J108" i="3"/>
  <c r="H108" i="3"/>
  <c r="I108" i="3" s="1"/>
  <c r="H16" i="3"/>
  <c r="I16" i="3" s="1"/>
  <c r="J16" i="3"/>
  <c r="H24" i="3"/>
  <c r="I24" i="3" s="1"/>
  <c r="J24" i="3"/>
  <c r="J68" i="3"/>
  <c r="H68" i="3"/>
  <c r="I68" i="3" s="1"/>
  <c r="H70" i="3"/>
  <c r="I70" i="3" s="1"/>
  <c r="J70" i="3"/>
  <c r="H63" i="3"/>
  <c r="I63" i="3" s="1"/>
  <c r="J18" i="3"/>
  <c r="H18" i="3"/>
  <c r="I18" i="3" s="1"/>
  <c r="H115" i="3"/>
  <c r="I115" i="3" s="1"/>
  <c r="J115" i="3"/>
  <c r="J57" i="3"/>
  <c r="H57" i="3"/>
  <c r="I57" i="3" s="1"/>
  <c r="J44" i="3"/>
  <c r="H44" i="3"/>
  <c r="I44" i="3" s="1"/>
  <c r="J92" i="3"/>
  <c r="H92" i="3"/>
  <c r="I92" i="3" s="1"/>
  <c r="J67" i="3"/>
  <c r="H67" i="3"/>
  <c r="I67" i="3" s="1"/>
  <c r="H71" i="3"/>
  <c r="I71" i="3" s="1"/>
  <c r="J71" i="3"/>
  <c r="H89" i="3"/>
  <c r="I89" i="3" s="1"/>
  <c r="J89" i="3"/>
  <c r="H98" i="3"/>
  <c r="I98" i="3" s="1"/>
  <c r="J98" i="3"/>
  <c r="H15" i="3"/>
  <c r="I15" i="3" s="1"/>
  <c r="J15" i="3"/>
  <c r="J59" i="3"/>
  <c r="H59" i="3"/>
  <c r="I59" i="3" s="1"/>
  <c r="H62" i="3"/>
  <c r="I62" i="3" s="1"/>
  <c r="J62" i="3"/>
  <c r="J81" i="3"/>
  <c r="J48" i="3"/>
  <c r="H48" i="3"/>
  <c r="I48" i="3" s="1"/>
  <c r="J21" i="3"/>
  <c r="H21" i="3"/>
  <c r="I21" i="3" s="1"/>
  <c r="H97" i="3"/>
  <c r="I97" i="3" s="1"/>
  <c r="J97" i="3"/>
  <c r="H75" i="3"/>
  <c r="I75" i="3" s="1"/>
  <c r="J75" i="3"/>
  <c r="J69" i="3"/>
  <c r="H69" i="3"/>
  <c r="I69" i="3" s="1"/>
  <c r="H41" i="3"/>
  <c r="I41" i="3" s="1"/>
  <c r="J41" i="3"/>
  <c r="J110" i="3"/>
  <c r="H110" i="3"/>
  <c r="I110" i="3" s="1"/>
  <c r="J46" i="3"/>
  <c r="H46" i="3"/>
  <c r="I46" i="3" s="1"/>
  <c r="J37" i="3"/>
  <c r="H37" i="3"/>
  <c r="I37" i="3" s="1"/>
  <c r="J53" i="3"/>
  <c r="H53" i="3"/>
  <c r="I53" i="3" s="1"/>
  <c r="J64" i="3"/>
  <c r="H64" i="3"/>
  <c r="I64" i="3" s="1"/>
  <c r="J105" i="3"/>
  <c r="H105" i="3"/>
  <c r="I105" i="3" s="1"/>
  <c r="H38" i="3"/>
  <c r="I38" i="3" s="1"/>
  <c r="J38" i="3"/>
  <c r="H116" i="3"/>
  <c r="I116" i="3" s="1"/>
  <c r="J116" i="3"/>
  <c r="J29" i="3"/>
  <c r="H29" i="3"/>
  <c r="I29" i="3" s="1"/>
  <c r="H52" i="3"/>
  <c r="I52" i="3" s="1"/>
  <c r="J52" i="3"/>
  <c r="J23" i="3"/>
  <c r="H23" i="3"/>
  <c r="I23" i="3" s="1"/>
  <c r="J94" i="3"/>
  <c r="H94" i="3"/>
  <c r="I94" i="3" s="1"/>
  <c r="J72" i="3"/>
  <c r="H72" i="3"/>
  <c r="I72" i="3" s="1"/>
  <c r="J19" i="3"/>
  <c r="H19" i="3"/>
  <c r="I19" i="3" s="1"/>
  <c r="H28" i="3"/>
  <c r="I28" i="3" s="1"/>
  <c r="J28" i="3"/>
  <c r="J86" i="3"/>
  <c r="H86" i="3"/>
  <c r="I86" i="3" s="1"/>
  <c r="J22" i="3"/>
  <c r="H22" i="3"/>
  <c r="I22" i="3" s="1"/>
  <c r="H47" i="3"/>
  <c r="I47" i="3" s="1"/>
  <c r="J111" i="3"/>
  <c r="H111" i="3"/>
  <c r="I111" i="3" s="1"/>
  <c r="J85" i="3"/>
  <c r="H85" i="3"/>
  <c r="I85" i="3" s="1"/>
  <c r="J61" i="3"/>
  <c r="H61" i="3"/>
  <c r="I61" i="3" s="1"/>
  <c r="J36" i="3"/>
  <c r="H36" i="3"/>
  <c r="I36" i="3" s="1"/>
  <c r="J109" i="3"/>
  <c r="H109" i="3"/>
  <c r="I109" i="3" s="1"/>
  <c r="J17" i="3"/>
  <c r="H17" i="3"/>
  <c r="I17" i="3" s="1"/>
  <c r="J27" i="3"/>
  <c r="H27" i="3"/>
  <c r="I27" i="3" s="1"/>
  <c r="H33" i="3"/>
  <c r="I33" i="3" s="1"/>
  <c r="J33" i="3"/>
  <c r="J77" i="3"/>
  <c r="H77" i="3"/>
  <c r="I77" i="3" s="1"/>
  <c r="H78" i="3"/>
  <c r="I78" i="3" s="1"/>
  <c r="J78" i="3"/>
  <c r="J14" i="3"/>
  <c r="H14" i="3"/>
  <c r="I14" i="3" s="1"/>
  <c r="J101" i="3"/>
  <c r="H101" i="3"/>
  <c r="I101" i="3" s="1"/>
  <c r="H80" i="3"/>
  <c r="I80" i="3" s="1"/>
  <c r="J80" i="3"/>
  <c r="J49" i="3"/>
  <c r="H49" i="3"/>
  <c r="I49" i="3" s="1"/>
  <c r="J55" i="3"/>
  <c r="H55" i="3"/>
  <c r="I55" i="3" s="1"/>
  <c r="J99" i="3"/>
  <c r="H99" i="3"/>
  <c r="I99" i="3" s="1"/>
  <c r="H34" i="3"/>
  <c r="I34" i="3" s="1"/>
  <c r="J34" i="3"/>
  <c r="J73" i="3"/>
  <c r="H73" i="3"/>
  <c r="I73" i="3" s="1"/>
  <c r="J58" i="3"/>
  <c r="H58" i="3"/>
  <c r="I58" i="3" s="1"/>
  <c r="H106" i="3"/>
  <c r="I106" i="3" s="1"/>
  <c r="J106" i="3"/>
  <c r="H83" i="3"/>
  <c r="I83" i="3" s="1"/>
  <c r="J83" i="3"/>
  <c r="J84" i="3"/>
  <c r="H84" i="3"/>
  <c r="I84" i="3" s="1"/>
  <c r="H76" i="3"/>
  <c r="I76" i="3" s="1"/>
  <c r="J76" i="3"/>
  <c r="H88" i="3"/>
  <c r="I88" i="3" s="1"/>
  <c r="J88" i="3"/>
  <c r="H79" i="3"/>
  <c r="I79" i="3" s="1"/>
  <c r="J79" i="3"/>
  <c r="H123" i="3"/>
  <c r="I123" i="3" s="1"/>
  <c r="J123" i="3"/>
  <c r="H50" i="3"/>
  <c r="I50" i="3" s="1"/>
  <c r="J50" i="3"/>
  <c r="J118" i="3"/>
  <c r="H118" i="3"/>
  <c r="I118" i="3" s="1"/>
  <c r="J54" i="3"/>
  <c r="H54" i="3"/>
  <c r="I54" i="3" s="1"/>
  <c r="H22" i="1"/>
  <c r="I22" i="1" s="1"/>
  <c r="J84" i="2"/>
  <c r="H84" i="2"/>
  <c r="I84" i="2" s="1"/>
  <c r="H67" i="2"/>
  <c r="I67" i="2" s="1"/>
  <c r="J67" i="2"/>
  <c r="H57" i="2"/>
  <c r="I57" i="2" s="1"/>
  <c r="J57" i="2"/>
  <c r="H23" i="2"/>
  <c r="I23" i="2" s="1"/>
  <c r="J23" i="2"/>
  <c r="H33" i="2"/>
  <c r="I33" i="2" s="1"/>
  <c r="J33" i="2"/>
  <c r="H44" i="2"/>
  <c r="I44" i="2" s="1"/>
  <c r="J44" i="2"/>
  <c r="J30" i="2"/>
  <c r="H30" i="2"/>
  <c r="I30" i="2" s="1"/>
  <c r="H55" i="2"/>
  <c r="I55" i="2" s="1"/>
  <c r="J55" i="2"/>
  <c r="H85" i="2"/>
  <c r="I85" i="2" s="1"/>
  <c r="J85" i="2"/>
  <c r="J24" i="2"/>
  <c r="H24" i="2"/>
  <c r="I24" i="2" s="1"/>
  <c r="J52" i="2"/>
  <c r="H52" i="2"/>
  <c r="I52" i="2" s="1"/>
  <c r="H77" i="2"/>
  <c r="I77" i="2" s="1"/>
  <c r="J77" i="2"/>
  <c r="J88" i="2"/>
  <c r="H88" i="2"/>
  <c r="I88" i="2" s="1"/>
  <c r="J74" i="2"/>
  <c r="H74" i="2"/>
  <c r="I74" i="2" s="1"/>
  <c r="J80" i="2"/>
  <c r="H80" i="2"/>
  <c r="I80" i="2" s="1"/>
  <c r="H90" i="2"/>
  <c r="I90" i="2" s="1"/>
  <c r="H35" i="2"/>
  <c r="I35" i="2" s="1"/>
  <c r="J35" i="2"/>
  <c r="H89" i="2"/>
  <c r="I89" i="2" s="1"/>
  <c r="J89" i="2"/>
  <c r="J25" i="2"/>
  <c r="H25" i="2"/>
  <c r="I25" i="2" s="1"/>
  <c r="H53" i="2"/>
  <c r="I53" i="2" s="1"/>
  <c r="J53" i="2"/>
  <c r="H34" i="2"/>
  <c r="I34" i="2" s="1"/>
  <c r="J34" i="2"/>
  <c r="J48" i="2"/>
  <c r="H48" i="2"/>
  <c r="I48" i="2" s="1"/>
  <c r="H58" i="2"/>
  <c r="I58" i="2" s="1"/>
  <c r="J58" i="2"/>
  <c r="H75" i="2"/>
  <c r="I75" i="2" s="1"/>
  <c r="J75" i="2"/>
  <c r="H29" i="2"/>
  <c r="I29" i="2" s="1"/>
  <c r="J29" i="2"/>
  <c r="J56" i="2"/>
  <c r="H56" i="2"/>
  <c r="I56" i="2" s="1"/>
  <c r="J39" i="2"/>
  <c r="H39" i="2"/>
  <c r="I39" i="2" s="1"/>
  <c r="H21" i="2"/>
  <c r="I21" i="2" s="1"/>
  <c r="J21" i="2"/>
  <c r="H47" i="2"/>
  <c r="I47" i="2" s="1"/>
  <c r="J47" i="2"/>
  <c r="J68" i="2"/>
  <c r="H68" i="2"/>
  <c r="I68" i="2" s="1"/>
  <c r="J94" i="2"/>
  <c r="H94" i="2"/>
  <c r="I94" i="2" s="1"/>
  <c r="J62" i="2"/>
  <c r="H62" i="2"/>
  <c r="I62" i="2" s="1"/>
  <c r="H49" i="2"/>
  <c r="I49" i="2" s="1"/>
  <c r="J49" i="2"/>
  <c r="J54" i="2"/>
  <c r="H54" i="2"/>
  <c r="I54" i="2" s="1"/>
  <c r="J78" i="2"/>
  <c r="H78" i="2"/>
  <c r="I78" i="2" s="1"/>
  <c r="J46" i="2"/>
  <c r="H46" i="2"/>
  <c r="I46" i="2" s="1"/>
  <c r="J16" i="2"/>
  <c r="H16" i="2"/>
  <c r="I16" i="2" s="1"/>
  <c r="J26" i="2"/>
  <c r="H26" i="2"/>
  <c r="I26" i="2" s="1"/>
  <c r="H51" i="2"/>
  <c r="I51" i="2" s="1"/>
  <c r="J51" i="2"/>
  <c r="H41" i="2"/>
  <c r="I41" i="2" s="1"/>
  <c r="J41" i="2"/>
  <c r="J40" i="2"/>
  <c r="H40" i="2"/>
  <c r="I40" i="2" s="1"/>
  <c r="J64" i="2"/>
  <c r="H64" i="2"/>
  <c r="I64" i="2" s="1"/>
  <c r="H93" i="2"/>
  <c r="I93" i="2" s="1"/>
  <c r="J93" i="2"/>
  <c r="J32" i="2"/>
  <c r="H32" i="2"/>
  <c r="I32" i="2" s="1"/>
  <c r="H87" i="2"/>
  <c r="I87" i="2" s="1"/>
  <c r="J87" i="2"/>
  <c r="H92" i="2"/>
  <c r="I92" i="2" s="1"/>
  <c r="J92" i="2"/>
  <c r="J36" i="2"/>
  <c r="H36" i="2"/>
  <c r="I36" i="2" s="1"/>
  <c r="J63" i="2"/>
  <c r="H63" i="2"/>
  <c r="I63" i="2" s="1"/>
  <c r="H76" i="2"/>
  <c r="I76" i="2" s="1"/>
  <c r="J76" i="2"/>
  <c r="H61" i="2"/>
  <c r="I61" i="2" s="1"/>
  <c r="J61" i="2"/>
  <c r="J70" i="2"/>
  <c r="H70" i="2"/>
  <c r="I70" i="2" s="1"/>
  <c r="H79" i="2"/>
  <c r="I79" i="2" s="1"/>
  <c r="J79" i="2"/>
  <c r="H91" i="2"/>
  <c r="I91" i="2" s="1"/>
  <c r="J91" i="2"/>
  <c r="H27" i="2"/>
  <c r="I27" i="2" s="1"/>
  <c r="J27" i="2"/>
  <c r="J81" i="2"/>
  <c r="H81" i="2"/>
  <c r="I81" i="2" s="1"/>
  <c r="J17" i="2"/>
  <c r="H17" i="2"/>
  <c r="I17" i="2" s="1"/>
  <c r="J31" i="2"/>
  <c r="H31" i="2"/>
  <c r="I31" i="2" s="1"/>
  <c r="H65" i="2"/>
  <c r="I65" i="2" s="1"/>
  <c r="J65" i="2"/>
  <c r="J18" i="2"/>
  <c r="H18" i="2"/>
  <c r="I18" i="2" s="1"/>
  <c r="J38" i="2"/>
  <c r="H38" i="2"/>
  <c r="I38" i="2" s="1"/>
  <c r="F13" i="2"/>
  <c r="B13" i="2"/>
  <c r="C13" i="2"/>
  <c r="G13" i="2"/>
  <c r="D13" i="2"/>
  <c r="E13" i="2"/>
  <c r="J72" i="2"/>
  <c r="H72" i="2"/>
  <c r="I72" i="2" s="1"/>
  <c r="H28" i="2"/>
  <c r="I28" i="2" s="1"/>
  <c r="J28" i="2"/>
  <c r="H37" i="2"/>
  <c r="I37" i="2" s="1"/>
  <c r="J37" i="2"/>
  <c r="H59" i="2"/>
  <c r="I59" i="2" s="1"/>
  <c r="J59" i="2"/>
  <c r="H15" i="2"/>
  <c r="I15" i="2" s="1"/>
  <c r="J15" i="2"/>
  <c r="H43" i="2"/>
  <c r="I43" i="2" s="1"/>
  <c r="J43" i="2"/>
  <c r="J86" i="2"/>
  <c r="H86" i="2"/>
  <c r="I86" i="2" s="1"/>
  <c r="J82" i="2"/>
  <c r="H82" i="2"/>
  <c r="I82" i="2" s="1"/>
  <c r="H71" i="2"/>
  <c r="I71" i="2" s="1"/>
  <c r="J71" i="2"/>
  <c r="J14" i="2"/>
  <c r="H14" i="2"/>
  <c r="I14" i="2" s="1"/>
  <c r="H66" i="2"/>
  <c r="I66" i="2" s="1"/>
  <c r="J66" i="2"/>
  <c r="J22" i="2"/>
  <c r="H22" i="2"/>
  <c r="I22" i="2" s="1"/>
  <c r="J50" i="2"/>
  <c r="H50" i="2"/>
  <c r="I50" i="2" s="1"/>
  <c r="J20" i="2"/>
  <c r="H20" i="2"/>
  <c r="I20" i="2" s="1"/>
  <c r="H45" i="2"/>
  <c r="I45" i="2" s="1"/>
  <c r="J45" i="2"/>
  <c r="H60" i="2"/>
  <c r="I60" i="2" s="1"/>
  <c r="J60" i="2"/>
  <c r="H69" i="2"/>
  <c r="I69" i="2" s="1"/>
  <c r="J69" i="2"/>
  <c r="H83" i="2"/>
  <c r="I83" i="2" s="1"/>
  <c r="J83" i="2"/>
  <c r="H19" i="2"/>
  <c r="I19" i="2" s="1"/>
  <c r="J19" i="2"/>
  <c r="H73" i="2"/>
  <c r="I73" i="2" s="1"/>
  <c r="J73" i="2"/>
  <c r="H115" i="1"/>
  <c r="I115" i="1" s="1"/>
  <c r="H83" i="1"/>
  <c r="I83" i="1" s="1"/>
  <c r="H117" i="1"/>
  <c r="I117" i="1" s="1"/>
  <c r="H60" i="1"/>
  <c r="I60" i="1" s="1"/>
  <c r="H114" i="1"/>
  <c r="I114" i="1" s="1"/>
  <c r="J67" i="1"/>
  <c r="J102" i="1"/>
  <c r="H37" i="1"/>
  <c r="I37" i="1" s="1"/>
  <c r="H18" i="1"/>
  <c r="I18" i="1" s="1"/>
  <c r="J94" i="1"/>
  <c r="J43" i="1"/>
  <c r="H26" i="1"/>
  <c r="I26" i="1" s="1"/>
  <c r="H25" i="1"/>
  <c r="I25" i="1" s="1"/>
  <c r="H71" i="1"/>
  <c r="I71" i="1" s="1"/>
  <c r="H63" i="1"/>
  <c r="I63" i="1" s="1"/>
  <c r="H34" i="1"/>
  <c r="I34" i="1" s="1"/>
  <c r="J46" i="1"/>
  <c r="J59" i="1"/>
  <c r="H98" i="1"/>
  <c r="I98" i="1" s="1"/>
  <c r="J58" i="1"/>
  <c r="H59" i="1"/>
  <c r="I59" i="1" s="1"/>
  <c r="J83" i="1"/>
  <c r="H54" i="1"/>
  <c r="I54" i="1" s="1"/>
  <c r="J19" i="1"/>
  <c r="J78" i="1"/>
  <c r="J87" i="1"/>
  <c r="H97" i="1"/>
  <c r="I97" i="1" s="1"/>
  <c r="J32" i="1"/>
  <c r="H36" i="1"/>
  <c r="I36" i="1" s="1"/>
  <c r="H48" i="1"/>
  <c r="I48" i="1" s="1"/>
  <c r="H93" i="1"/>
  <c r="I93" i="1" s="1"/>
  <c r="J37" i="1"/>
  <c r="J61" i="1"/>
  <c r="I87" i="1"/>
  <c r="E13" i="1"/>
  <c r="J52" i="1"/>
  <c r="I29" i="1"/>
  <c r="J75" i="1"/>
  <c r="H116" i="1"/>
  <c r="I116" i="1" s="1"/>
  <c r="H38" i="1"/>
  <c r="I38" i="1" s="1"/>
  <c r="J77" i="1"/>
  <c r="J53" i="1"/>
  <c r="H35" i="1"/>
  <c r="I35" i="1" s="1"/>
  <c r="H21" i="1"/>
  <c r="I21" i="1" s="1"/>
  <c r="H74" i="1"/>
  <c r="I74" i="1" s="1"/>
  <c r="J70" i="1"/>
  <c r="H40" i="1"/>
  <c r="I40" i="1" s="1"/>
  <c r="I52" i="1"/>
  <c r="J16" i="1"/>
  <c r="H16" i="1"/>
  <c r="I16" i="1" s="1"/>
  <c r="I14" i="1"/>
  <c r="H72" i="1"/>
  <c r="I72" i="1" s="1"/>
  <c r="J86" i="1"/>
  <c r="H90" i="1"/>
  <c r="I90" i="1" s="1"/>
  <c r="H49" i="1"/>
  <c r="I49" i="1" s="1"/>
  <c r="H57" i="1"/>
  <c r="I57" i="1" s="1"/>
  <c r="J73" i="1"/>
  <c r="H61" i="1"/>
  <c r="I61" i="1" s="1"/>
  <c r="H39" i="1"/>
  <c r="I39" i="1" s="1"/>
  <c r="H103" i="1"/>
  <c r="I103" i="1" s="1"/>
  <c r="J48" i="1"/>
  <c r="J112" i="1"/>
  <c r="J88" i="1"/>
  <c r="I92" i="1"/>
  <c r="I67" i="1"/>
  <c r="H99" i="1"/>
  <c r="I99" i="1" s="1"/>
  <c r="H104" i="1"/>
  <c r="I104" i="1" s="1"/>
  <c r="J104" i="1"/>
  <c r="J98" i="1"/>
  <c r="H24" i="1"/>
  <c r="I24" i="1" s="1"/>
  <c r="J24" i="1"/>
  <c r="J107" i="1"/>
  <c r="J95" i="1"/>
  <c r="H106" i="1"/>
  <c r="I106" i="1" s="1"/>
  <c r="J96" i="1"/>
  <c r="H96" i="1"/>
  <c r="I96" i="1" s="1"/>
  <c r="H62" i="1"/>
  <c r="I62" i="1" s="1"/>
  <c r="J51" i="1"/>
  <c r="J100" i="1"/>
  <c r="H23" i="1"/>
  <c r="I23" i="1" s="1"/>
  <c r="H41" i="1"/>
  <c r="I41" i="1" s="1"/>
  <c r="H105" i="1"/>
  <c r="I105" i="1" s="1"/>
  <c r="H47" i="1"/>
  <c r="I47" i="1" s="1"/>
  <c r="J15" i="1"/>
  <c r="J79" i="1"/>
  <c r="H13" i="1"/>
  <c r="J30" i="1"/>
  <c r="H101" i="1"/>
  <c r="I101" i="1" s="1"/>
  <c r="G13" i="1"/>
  <c r="H111" i="1"/>
  <c r="I111" i="1" s="1"/>
  <c r="J31" i="1"/>
  <c r="H32" i="1"/>
  <c r="I32" i="1" s="1"/>
  <c r="J109" i="1"/>
  <c r="J56" i="1"/>
  <c r="J64" i="1"/>
  <c r="H64" i="1"/>
  <c r="I64" i="1" s="1"/>
  <c r="J33" i="1"/>
  <c r="H19" i="1"/>
  <c r="I19" i="1" s="1"/>
  <c r="H110" i="1"/>
  <c r="I110" i="1" s="1"/>
  <c r="H45" i="1"/>
  <c r="I45" i="1" s="1"/>
  <c r="H76" i="1"/>
  <c r="I76" i="1" s="1"/>
  <c r="J89" i="1"/>
  <c r="J65" i="1"/>
  <c r="H50" i="1"/>
  <c r="I50" i="1" s="1"/>
  <c r="J68" i="1"/>
  <c r="J69" i="1"/>
  <c r="J22" i="1"/>
  <c r="J27" i="1"/>
  <c r="J91" i="1"/>
  <c r="H17" i="1"/>
  <c r="I17" i="1" s="1"/>
  <c r="H81" i="1"/>
  <c r="I81" i="1" s="1"/>
  <c r="H85" i="1"/>
  <c r="I85" i="1" s="1"/>
  <c r="I55" i="1"/>
  <c r="H108" i="1"/>
  <c r="I108" i="1" s="1"/>
  <c r="J82" i="1"/>
  <c r="J66" i="1"/>
  <c r="J80" i="1"/>
  <c r="H28" i="1"/>
  <c r="I28" i="1" s="1"/>
  <c r="H44" i="1"/>
  <c r="I44" i="1" s="1"/>
  <c r="J42" i="1"/>
  <c r="J113" i="1"/>
  <c r="J31" i="7"/>
  <c r="H31" i="7"/>
  <c r="I31" i="7" s="1"/>
  <c r="J37" i="7"/>
  <c r="H37" i="7"/>
  <c r="I37" i="7" s="1"/>
  <c r="J94" i="7"/>
  <c r="H94" i="7"/>
  <c r="I94" i="7" s="1"/>
  <c r="J21" i="7"/>
  <c r="H21" i="7"/>
  <c r="I21" i="7" s="1"/>
  <c r="H66" i="7"/>
  <c r="I66" i="7" s="1"/>
  <c r="J66" i="7"/>
  <c r="J104" i="7"/>
  <c r="H104" i="7"/>
  <c r="I104" i="7" s="1"/>
  <c r="H82" i="7"/>
  <c r="I82" i="7" s="1"/>
  <c r="J82" i="7"/>
  <c r="H115" i="7"/>
  <c r="I115" i="7" s="1"/>
  <c r="J115" i="7"/>
  <c r="H124" i="7"/>
  <c r="I124" i="7" s="1"/>
  <c r="J124" i="7"/>
  <c r="H26" i="7"/>
  <c r="I26" i="7" s="1"/>
  <c r="J26" i="7"/>
  <c r="H98" i="7"/>
  <c r="I98" i="7" s="1"/>
  <c r="J98" i="7"/>
  <c r="J73" i="7"/>
  <c r="H73" i="7"/>
  <c r="I73" i="7" s="1"/>
  <c r="G12" i="7"/>
  <c r="B12" i="7"/>
  <c r="E12" i="7"/>
  <c r="F12" i="7"/>
  <c r="D12" i="7"/>
  <c r="C12" i="7"/>
  <c r="H60" i="7"/>
  <c r="I60" i="7" s="1"/>
  <c r="J60" i="7"/>
  <c r="J110" i="7"/>
  <c r="H110" i="7"/>
  <c r="I110" i="7" s="1"/>
  <c r="H65" i="7"/>
  <c r="I65" i="7" s="1"/>
  <c r="J65" i="7"/>
  <c r="J118" i="7"/>
  <c r="H118" i="7"/>
  <c r="I118" i="7" s="1"/>
  <c r="J68" i="7"/>
  <c r="H68" i="7"/>
  <c r="I68" i="7" s="1"/>
  <c r="H34" i="7"/>
  <c r="I34" i="7" s="1"/>
  <c r="J34" i="7"/>
  <c r="H67" i="7"/>
  <c r="I67" i="7" s="1"/>
  <c r="J67" i="7"/>
  <c r="J121" i="7"/>
  <c r="H121" i="7"/>
  <c r="I121" i="7" s="1"/>
  <c r="J57" i="7"/>
  <c r="H57" i="7"/>
  <c r="I57" i="7" s="1"/>
  <c r="J95" i="7"/>
  <c r="H95" i="7"/>
  <c r="I95" i="7" s="1"/>
  <c r="H18" i="7"/>
  <c r="I18" i="7" s="1"/>
  <c r="J18" i="7"/>
  <c r="H96" i="7"/>
  <c r="I96" i="7" s="1"/>
  <c r="J96" i="7"/>
  <c r="J117" i="7"/>
  <c r="H117" i="7"/>
  <c r="I117" i="7" s="1"/>
  <c r="H106" i="7"/>
  <c r="I106" i="7" s="1"/>
  <c r="J106" i="7"/>
  <c r="J87" i="7"/>
  <c r="H87" i="7"/>
  <c r="I87" i="7" s="1"/>
  <c r="H58" i="7"/>
  <c r="I58" i="7" s="1"/>
  <c r="J58" i="7"/>
  <c r="J29" i="7"/>
  <c r="H29" i="7"/>
  <c r="I29" i="7" s="1"/>
  <c r="J54" i="7"/>
  <c r="H54" i="7"/>
  <c r="I54" i="7" s="1"/>
  <c r="J71" i="7"/>
  <c r="H71" i="7"/>
  <c r="I71" i="7" s="1"/>
  <c r="J70" i="7"/>
  <c r="H70" i="7"/>
  <c r="I70" i="7" s="1"/>
  <c r="J80" i="7"/>
  <c r="H80" i="7"/>
  <c r="I80" i="7" s="1"/>
  <c r="H88" i="7"/>
  <c r="I88" i="7" s="1"/>
  <c r="J88" i="7"/>
  <c r="H74" i="7"/>
  <c r="I74" i="7" s="1"/>
  <c r="J74" i="7"/>
  <c r="H50" i="7"/>
  <c r="I50" i="7" s="1"/>
  <c r="J50" i="7"/>
  <c r="J93" i="7"/>
  <c r="H93" i="7"/>
  <c r="I93" i="7" s="1"/>
  <c r="H20" i="7"/>
  <c r="I20" i="7" s="1"/>
  <c r="J20" i="7"/>
  <c r="J23" i="7"/>
  <c r="H23" i="7"/>
  <c r="I23" i="7" s="1"/>
  <c r="J45" i="7"/>
  <c r="H45" i="7"/>
  <c r="I45" i="7" s="1"/>
  <c r="J83" i="7"/>
  <c r="H83" i="7"/>
  <c r="I83" i="7" s="1"/>
  <c r="H19" i="7"/>
  <c r="I19" i="7" s="1"/>
  <c r="J19" i="7"/>
  <c r="J55" i="7"/>
  <c r="H55" i="7"/>
  <c r="I55" i="7" s="1"/>
  <c r="J63" i="7"/>
  <c r="H63" i="7"/>
  <c r="I63" i="7" s="1"/>
  <c r="J62" i="7"/>
  <c r="H62" i="7"/>
  <c r="I62" i="7" s="1"/>
  <c r="H78" i="7"/>
  <c r="I78" i="7" s="1"/>
  <c r="J78" i="7"/>
  <c r="H27" i="7"/>
  <c r="I27" i="7" s="1"/>
  <c r="J27" i="7"/>
  <c r="J36" i="7"/>
  <c r="H36" i="7"/>
  <c r="I36" i="7" s="1"/>
  <c r="H112" i="7"/>
  <c r="I112" i="7" s="1"/>
  <c r="J112" i="7"/>
  <c r="J39" i="7"/>
  <c r="H39" i="7"/>
  <c r="I39" i="7" s="1"/>
  <c r="H84" i="7"/>
  <c r="I84" i="7" s="1"/>
  <c r="J84" i="7"/>
  <c r="H97" i="7"/>
  <c r="I97" i="7" s="1"/>
  <c r="J97" i="7"/>
  <c r="H33" i="7"/>
  <c r="I33" i="7" s="1"/>
  <c r="J33" i="7"/>
  <c r="J44" i="7"/>
  <c r="H44" i="7"/>
  <c r="I44" i="7" s="1"/>
  <c r="J107" i="7"/>
  <c r="H107" i="7"/>
  <c r="I107" i="7" s="1"/>
  <c r="J43" i="7"/>
  <c r="H43" i="7"/>
  <c r="I43" i="7" s="1"/>
  <c r="J15" i="7"/>
  <c r="H15" i="7"/>
  <c r="I15" i="7" s="1"/>
  <c r="H28" i="7"/>
  <c r="I28" i="7" s="1"/>
  <c r="J28" i="7"/>
  <c r="J109" i="7"/>
  <c r="H109" i="7"/>
  <c r="I109" i="7" s="1"/>
  <c r="H13" i="7"/>
  <c r="I13" i="7" s="1"/>
  <c r="J13" i="7"/>
  <c r="J81" i="7"/>
  <c r="H81" i="7"/>
  <c r="I81" i="7" s="1"/>
  <c r="J17" i="7"/>
  <c r="H17" i="7"/>
  <c r="I17" i="7" s="1"/>
  <c r="J108" i="7"/>
  <c r="H108" i="7"/>
  <c r="I108" i="7" s="1"/>
  <c r="J85" i="7"/>
  <c r="H85" i="7"/>
  <c r="I85" i="7" s="1"/>
  <c r="J56" i="7"/>
  <c r="H56" i="7"/>
  <c r="I56" i="7" s="1"/>
  <c r="J79" i="7"/>
  <c r="H79" i="7"/>
  <c r="I79" i="7" s="1"/>
  <c r="J116" i="7"/>
  <c r="H116" i="7"/>
  <c r="I116" i="7" s="1"/>
  <c r="J59" i="7"/>
  <c r="H59" i="7"/>
  <c r="I59" i="7" s="1"/>
  <c r="H90" i="7"/>
  <c r="I90" i="7" s="1"/>
  <c r="J90" i="7"/>
  <c r="H14" i="7"/>
  <c r="I14" i="7" s="1"/>
  <c r="J14" i="7"/>
  <c r="J86" i="7"/>
  <c r="H86" i="7"/>
  <c r="I86" i="7" s="1"/>
  <c r="H76" i="7"/>
  <c r="I76" i="7" s="1"/>
  <c r="J76" i="7"/>
  <c r="J120" i="7"/>
  <c r="H120" i="7"/>
  <c r="I120" i="7" s="1"/>
  <c r="J47" i="7"/>
  <c r="H47" i="7"/>
  <c r="I47" i="7" s="1"/>
  <c r="H64" i="7"/>
  <c r="I64" i="7" s="1"/>
  <c r="J64" i="7"/>
  <c r="J99" i="7"/>
  <c r="H99" i="7"/>
  <c r="I99" i="7" s="1"/>
  <c r="J100" i="7"/>
  <c r="H100" i="7"/>
  <c r="I100" i="7" s="1"/>
  <c r="J72" i="7"/>
  <c r="H72" i="7"/>
  <c r="I72" i="7" s="1"/>
  <c r="J111" i="7"/>
  <c r="H111" i="7"/>
  <c r="I111" i="7" s="1"/>
  <c r="J38" i="7"/>
  <c r="H38" i="7"/>
  <c r="I38" i="7" s="1"/>
  <c r="J119" i="7"/>
  <c r="H119" i="7"/>
  <c r="I119" i="7" s="1"/>
  <c r="H42" i="7"/>
  <c r="I42" i="7" s="1"/>
  <c r="J42" i="7"/>
  <c r="H114" i="7"/>
  <c r="I114" i="7" s="1"/>
  <c r="J114" i="7"/>
  <c r="J77" i="7"/>
  <c r="H77" i="7"/>
  <c r="I77" i="7" s="1"/>
  <c r="J61" i="7"/>
  <c r="H61" i="7"/>
  <c r="I61" i="7" s="1"/>
  <c r="J102" i="7"/>
  <c r="H102" i="7"/>
  <c r="I102" i="7" s="1"/>
  <c r="H113" i="7"/>
  <c r="I113" i="7" s="1"/>
  <c r="J113" i="7"/>
  <c r="J49" i="7"/>
  <c r="H49" i="7"/>
  <c r="I49" i="7" s="1"/>
  <c r="J46" i="7"/>
  <c r="H46" i="7"/>
  <c r="I46" i="7" s="1"/>
  <c r="H69" i="7"/>
  <c r="I69" i="7" s="1"/>
  <c r="J69" i="7"/>
  <c r="J16" i="7"/>
  <c r="H16" i="7"/>
  <c r="I16" i="7" s="1"/>
  <c r="H101" i="7"/>
  <c r="I101" i="7" s="1"/>
  <c r="J101" i="7"/>
  <c r="J52" i="7"/>
  <c r="H52" i="7"/>
  <c r="I52" i="7" s="1"/>
  <c r="H122" i="7"/>
  <c r="I122" i="7" s="1"/>
  <c r="J122" i="7"/>
  <c r="J48" i="7"/>
  <c r="H48" i="7"/>
  <c r="I48" i="7" s="1"/>
  <c r="H105" i="7"/>
  <c r="I105" i="7" s="1"/>
  <c r="J105" i="7"/>
  <c r="H41" i="7"/>
  <c r="I41" i="7" s="1"/>
  <c r="J41" i="7"/>
  <c r="J22" i="7"/>
  <c r="H22" i="7"/>
  <c r="I22" i="7" s="1"/>
  <c r="H92" i="7"/>
  <c r="I92" i="7" s="1"/>
  <c r="J92" i="7"/>
  <c r="J35" i="7"/>
  <c r="H35" i="7"/>
  <c r="I35" i="7" s="1"/>
  <c r="J91" i="7"/>
  <c r="H91" i="7"/>
  <c r="I91" i="7" s="1"/>
  <c r="H32" i="7"/>
  <c r="I32" i="7" s="1"/>
  <c r="J32" i="7"/>
  <c r="H40" i="7"/>
  <c r="I40" i="7" s="1"/>
  <c r="J40" i="7"/>
  <c r="H51" i="7"/>
  <c r="I51" i="7" s="1"/>
  <c r="J51" i="7"/>
  <c r="J53" i="7"/>
  <c r="H53" i="7"/>
  <c r="I53" i="7" s="1"/>
  <c r="J123" i="7"/>
  <c r="H123" i="7"/>
  <c r="I123" i="7" s="1"/>
  <c r="H24" i="7"/>
  <c r="I24" i="7" s="1"/>
  <c r="J24" i="7"/>
  <c r="J103" i="7"/>
  <c r="H103" i="7"/>
  <c r="I103" i="7" s="1"/>
  <c r="J30" i="7"/>
  <c r="H30" i="7"/>
  <c r="I30" i="7" s="1"/>
  <c r="J75" i="7"/>
  <c r="H75" i="7"/>
  <c r="I75" i="7" s="1"/>
  <c r="J89" i="7"/>
  <c r="H89" i="7"/>
  <c r="I89" i="7" s="1"/>
  <c r="J25" i="7"/>
  <c r="H25" i="7"/>
  <c r="I25" i="7" s="1"/>
  <c r="J7" i="1" l="1"/>
  <c r="F5" i="1"/>
  <c r="J5" i="1"/>
  <c r="F6" i="1"/>
  <c r="J6" i="1"/>
  <c r="J9" i="1"/>
  <c r="F7" i="1"/>
  <c r="J8" i="1"/>
  <c r="F8" i="1"/>
  <c r="F9" i="1"/>
  <c r="H13" i="3"/>
  <c r="I13" i="3" s="1"/>
  <c r="J13" i="3"/>
  <c r="I13" i="1"/>
  <c r="J13" i="2"/>
  <c r="H13" i="2"/>
  <c r="I13" i="2" s="1"/>
  <c r="H12" i="7"/>
  <c r="I12" i="7" s="1"/>
  <c r="J12" i="7"/>
  <c r="I7" i="1" l="1" a="1"/>
  <c r="I7" i="1" s="1"/>
  <c r="E8" i="1"/>
  <c r="D8" i="1"/>
  <c r="H8" i="1" a="1"/>
  <c r="H8" i="1" s="1"/>
  <c r="I8" i="1" a="1"/>
  <c r="I8" i="1" s="1"/>
  <c r="I9" i="1" a="1"/>
  <c r="I9" i="1" s="1"/>
  <c r="H9" i="1" a="1"/>
  <c r="H9" i="1" s="1"/>
  <c r="H7" i="1" a="1"/>
  <c r="H7" i="1" s="1"/>
  <c r="I6" i="1" a="1"/>
  <c r="I6" i="1" s="1"/>
  <c r="H6" i="1" a="1"/>
  <c r="H6" i="1" s="1"/>
  <c r="E6" i="1"/>
  <c r="D6" i="1"/>
  <c r="D7" i="1"/>
  <c r="E7" i="1"/>
  <c r="I5" i="1" a="1"/>
  <c r="I5" i="1" s="1"/>
  <c r="H5" i="1" a="1"/>
  <c r="H5" i="1" s="1"/>
  <c r="E9" i="1"/>
  <c r="D9" i="1"/>
  <c r="D5" i="1"/>
  <c r="E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<sst xmlns="http://schemas.openxmlformats.org/spreadsheetml/2006/main" count="23116" uniqueCount="1279">
  <si>
    <t>LEZAT TIADA TARA</t>
  </si>
  <si>
    <t>Adjustment_Out</t>
  </si>
  <si>
    <t>CECM00013</t>
  </si>
  <si>
    <t>DAIA 800 GR</t>
  </si>
  <si>
    <t>CLEANING CHEMICAL</t>
  </si>
  <si>
    <t>pack</t>
  </si>
  <si>
    <t>AC12-AC27</t>
  </si>
  <si>
    <t>CECM0006</t>
  </si>
  <si>
    <t>XYZ GREASE CLEANER 5 LTR</t>
  </si>
  <si>
    <t>gln</t>
  </si>
  <si>
    <t>Ref No</t>
  </si>
  <si>
    <t xml:space="preserve">: </t>
  </si>
  <si>
    <t>CG0101/AD/2407/001</t>
  </si>
  <si>
    <t>CECM0008</t>
  </si>
  <si>
    <t>XYZ ANTI BACTERIAL HANDSOAP 5 L</t>
  </si>
  <si>
    <t>jerrycan</t>
  </si>
  <si>
    <t>Date</t>
  </si>
  <si>
    <t>31-07-2024</t>
  </si>
  <si>
    <t>CECM0009</t>
  </si>
  <si>
    <t>HAND SANITIZER 5 L</t>
  </si>
  <si>
    <t>pcs</t>
  </si>
  <si>
    <t>Location</t>
  </si>
  <si>
    <t>CGGLC</t>
  </si>
  <si>
    <t>CECM0012</t>
  </si>
  <si>
    <t>NOBLA LIQUID 20 L</t>
  </si>
  <si>
    <t>ltr</t>
  </si>
  <si>
    <t>Download At</t>
  </si>
  <si>
    <t>26-08-2024 21:48:59</t>
  </si>
  <si>
    <t>CECM0014</t>
  </si>
  <si>
    <t>XYZ KARBOL LEMONGRASS 5 L</t>
  </si>
  <si>
    <t>liter</t>
  </si>
  <si>
    <t>Reason</t>
  </si>
  <si>
    <t>INTERNAL USAGE CE</t>
  </si>
  <si>
    <t>CECM0018</t>
  </si>
  <si>
    <t>XYZ GENERAL CLEANER  (CUCI PIRING LIME)</t>
  </si>
  <si>
    <t>Note</t>
  </si>
  <si>
    <t>IU CLEANING CGGLC 31 JULI 2024- DONA</t>
  </si>
  <si>
    <t>CECM0022</t>
  </si>
  <si>
    <t>RACUN LALAT</t>
  </si>
  <si>
    <t>CETS0001</t>
  </si>
  <si>
    <t>TOWEL ANJOLY BIRU-KECIL</t>
  </si>
  <si>
    <t>CLEANING TOOLS AND SUPPLIES</t>
  </si>
  <si>
    <t>No</t>
  </si>
  <si>
    <t>Item Code</t>
  </si>
  <si>
    <t>Item Name</t>
  </si>
  <si>
    <t>Category Name</t>
  </si>
  <si>
    <t>Qty</t>
  </si>
  <si>
    <t>Unit</t>
  </si>
  <si>
    <t>Unit Price</t>
  </si>
  <si>
    <t>Amount</t>
  </si>
  <si>
    <t>CETS00028</t>
  </si>
  <si>
    <t>GLUE PAD</t>
  </si>
  <si>
    <t>lembar</t>
  </si>
  <si>
    <t>CETS0006</t>
  </si>
  <si>
    <t>SPONGE BUSA</t>
  </si>
  <si>
    <t>CETS0007</t>
  </si>
  <si>
    <t>SIKAT KUKU/MINI BRUSH FINGER</t>
  </si>
  <si>
    <t>CETS0025</t>
  </si>
  <si>
    <t>PLASTIK SAMPAH 60 x 100 (10 LEMBAR)</t>
  </si>
  <si>
    <t>CETS0026</t>
  </si>
  <si>
    <t>PLASTIK SAMPAH 90 x 120 (5 LEMBAR)</t>
  </si>
  <si>
    <t>CETS0027</t>
  </si>
  <si>
    <t>PLASTIK KRESEK HITAM 35 (Utk Tong Sampah)</t>
  </si>
  <si>
    <t>CETS0043</t>
  </si>
  <si>
    <t>BOTOL PUMP HANDSOAP DAN HAND SANITIZER</t>
  </si>
  <si>
    <t>STA00003</t>
  </si>
  <si>
    <t>AMPLOP COKLAT</t>
  </si>
  <si>
    <t>STATIONARY AND OFFICE SUPPLIES</t>
  </si>
  <si>
    <t>STA00009</t>
  </si>
  <si>
    <t>AMPLOP PUTIH 104</t>
  </si>
  <si>
    <t>STA00019</t>
  </si>
  <si>
    <t>BATERAI AAA</t>
  </si>
  <si>
    <t>STA00028</t>
  </si>
  <si>
    <t>SOLATIP KECIL 12 MM</t>
  </si>
  <si>
    <t>roll</t>
  </si>
  <si>
    <t>STA00029</t>
  </si>
  <si>
    <t>SOLATIP SEDANG</t>
  </si>
  <si>
    <t>STA00032</t>
  </si>
  <si>
    <t>SPIDOL SNOWMAN (NON PERMANENT)</t>
  </si>
  <si>
    <t>STA00033</t>
  </si>
  <si>
    <t>SPIDOL HACCP</t>
  </si>
  <si>
    <t>STA00041</t>
  </si>
  <si>
    <t>STAPLER</t>
  </si>
  <si>
    <t>STA00050</t>
  </si>
  <si>
    <t>MINYAK KAYU PUTIH</t>
  </si>
  <si>
    <t>STA00051</t>
  </si>
  <si>
    <t>PANADOL HIJAU</t>
  </si>
  <si>
    <t>str</t>
  </si>
  <si>
    <t>STA00073</t>
  </si>
  <si>
    <t>PAPER CLIP NO.3</t>
  </si>
  <si>
    <t>STA00075</t>
  </si>
  <si>
    <t>LABEL/STICKER TOM &amp; JERRY 109</t>
  </si>
  <si>
    <t>STA00080</t>
  </si>
  <si>
    <t>KERTAS THERMAL 80 X 80</t>
  </si>
  <si>
    <t>ROLL</t>
  </si>
  <si>
    <t>AC40-AC59</t>
  </si>
  <si>
    <t>STA00092</t>
  </si>
  <si>
    <t>BUKU KAS (EKSPEDISI)</t>
  </si>
  <si>
    <t>buku</t>
  </si>
  <si>
    <t>CG0101/AD/2407/003</t>
  </si>
  <si>
    <t>STA00094</t>
  </si>
  <si>
    <t>OBAT PROMAG</t>
  </si>
  <si>
    <t>STA00095</t>
  </si>
  <si>
    <t>OBAT ENTROSTOP</t>
  </si>
  <si>
    <t>STA00107</t>
  </si>
  <si>
    <t>LABEL/STICKER TOM &amp; JERRY 105</t>
  </si>
  <si>
    <t>26-08-2024 21:51:11</t>
  </si>
  <si>
    <t>STA00109</t>
  </si>
  <si>
    <t>STOCK CARD</t>
  </si>
  <si>
    <t>INTERNAL USAGE PRINTING</t>
  </si>
  <si>
    <t>STA00111</t>
  </si>
  <si>
    <t>DOUBLE TAPE FOAM HITAM</t>
  </si>
  <si>
    <t>IU STATIONARY 31.07.24 DONA</t>
  </si>
  <si>
    <t>STA00183</t>
  </si>
  <si>
    <t>STICKER TANGGAL EXP WATERPROOF@500PCS</t>
  </si>
  <si>
    <t>MKT00032</t>
  </si>
  <si>
    <t>FLYER A5</t>
  </si>
  <si>
    <t>MARKETING</t>
  </si>
  <si>
    <t>MRP00043</t>
  </si>
  <si>
    <t>SEDIMENT FILTER CARTRIDGE 1 MIKRON 20 INCH D10,7CM</t>
  </si>
  <si>
    <t>IT GA AND MRP STOCK</t>
  </si>
  <si>
    <t>NCG00018</t>
  </si>
  <si>
    <t>SARUNG TANGAN PELASTIK</t>
  </si>
  <si>
    <t>NCG</t>
  </si>
  <si>
    <t>NCGK0001</t>
  </si>
  <si>
    <t>PLASTIK PE 2 KG 20 x 35 (Kitchen)</t>
  </si>
  <si>
    <t>NCGK0003</t>
  </si>
  <si>
    <t>PLASTIK PE 1 KG 15 x 30</t>
  </si>
  <si>
    <t>NCGK0005</t>
  </si>
  <si>
    <t>CLING WRAP 45 x 50 @ 6 ROLL</t>
  </si>
  <si>
    <t>NCGK0006</t>
  </si>
  <si>
    <t>TISSUE SEE-U HANDTOWELS @ 20 PACK</t>
  </si>
  <si>
    <t>NCGK0007</t>
  </si>
  <si>
    <t>GAS BUTANE PORTABLE PURITY 230G @24 CAN</t>
  </si>
  <si>
    <t>can</t>
  </si>
  <si>
    <t>NCGK0008</t>
  </si>
  <si>
    <t>PLASTIK PE 1/4 KG 10x20</t>
  </si>
  <si>
    <t>NCGK0009</t>
  </si>
  <si>
    <t>PLASTIK PE 10 KG 40 x 60</t>
  </si>
  <si>
    <t>NCGK0011</t>
  </si>
  <si>
    <t>HAND GLOVES NITRILE SIZE M</t>
  </si>
  <si>
    <t>NCGK0012</t>
  </si>
  <si>
    <t>HAND GLOVES NITRILE SIZE L</t>
  </si>
  <si>
    <t>NCGK0016</t>
  </si>
  <si>
    <t>HAIR NET @100 PCS</t>
  </si>
  <si>
    <t>NCGS0001</t>
  </si>
  <si>
    <t>TISSUE COCKTAIL NAPKIN 11x11 (48 PACK)</t>
  </si>
  <si>
    <t>NCGS0002</t>
  </si>
  <si>
    <t>TUSUK GIGI ION @ 500 PCS</t>
  </si>
  <si>
    <t>OTH00020</t>
  </si>
  <si>
    <t>GELAS PLASTIK 5002 7,6 X 11CM</t>
  </si>
  <si>
    <t>OTHERS</t>
  </si>
  <si>
    <t>OTH00061</t>
  </si>
  <si>
    <t>OBENG BB USA</t>
  </si>
  <si>
    <t>OTH00064</t>
  </si>
  <si>
    <t>LILIN MEJA / TEALIGHT</t>
  </si>
  <si>
    <t>OTH00073</t>
  </si>
  <si>
    <t>MASKER</t>
  </si>
  <si>
    <t>OTH00121</t>
  </si>
  <si>
    <t>KARDUS ROKOK</t>
  </si>
  <si>
    <t>box</t>
  </si>
  <si>
    <t>OTH00151</t>
  </si>
  <si>
    <t>LILIN ULANG TAHUN</t>
  </si>
  <si>
    <t>KW000003</t>
  </si>
  <si>
    <t>KERANJANG SAYUR</t>
  </si>
  <si>
    <t>KITCHENWARE TOOLS</t>
  </si>
  <si>
    <t>KW000025</t>
  </si>
  <si>
    <t>GUNTING DAPUR</t>
  </si>
  <si>
    <t>KW000049</t>
  </si>
  <si>
    <t>GAS TORCH 8612</t>
  </si>
  <si>
    <t>KW00066</t>
  </si>
  <si>
    <t>SPATULA SILIKON - HITAM</t>
  </si>
  <si>
    <t>AC72-AC92</t>
  </si>
  <si>
    <t>KW00069</t>
  </si>
  <si>
    <t>SAUCE BOTTLE</t>
  </si>
  <si>
    <t>CG0101/AD/2407/004</t>
  </si>
  <si>
    <t>KW00089</t>
  </si>
  <si>
    <t>DRAWER ORGANIZER 26X8.5X4</t>
  </si>
  <si>
    <t>KW00095</t>
  </si>
  <si>
    <t>SEALWARE B 47 PERSEGI</t>
  </si>
  <si>
    <t>TCT00003</t>
  </si>
  <si>
    <t>KOREA CUP WINEGELAS STAINLESS STEEL SUS304 500ML</t>
  </si>
  <si>
    <t>CUTELERIES</t>
  </si>
  <si>
    <t>26-08-2024 21:53:29</t>
  </si>
  <si>
    <t>TCT00004</t>
  </si>
  <si>
    <t>MTE SUMPIT STAINLESS SUS304</t>
  </si>
  <si>
    <t>INTERNAL USAGE OTHER SUPPLIES</t>
  </si>
  <si>
    <t>TCT00008</t>
  </si>
  <si>
    <t>SENDOK KOREA STAINLESS SUJEO SUS304</t>
  </si>
  <si>
    <t>IU INTERNAL USAGE OTHER SUPPLIER, DONA</t>
  </si>
  <si>
    <t>TGW00003</t>
  </si>
  <si>
    <t>MANGKOK KERAMIK/ KOREAN CERAMIK BOWL 14 CM</t>
  </si>
  <si>
    <t>TABLEWARE</t>
  </si>
  <si>
    <t>TGW00007</t>
  </si>
  <si>
    <t>MANGKOK HMP 206 PUTIH D 7CM T 2,8CM</t>
  </si>
  <si>
    <t>AC105-AC116</t>
  </si>
  <si>
    <t>CG0101/AD/2407/005</t>
  </si>
  <si>
    <t>26-08-2024 21:55:15</t>
  </si>
  <si>
    <t>INTERNAL USAGE KITCHENWARE</t>
  </si>
  <si>
    <t>IU KITCHENWARE 31.07.24 - DONA</t>
  </si>
  <si>
    <t>ITEM_CODE</t>
  </si>
  <si>
    <t>ITEM_NAME</t>
  </si>
  <si>
    <t>CATEGORY_NAME</t>
  </si>
  <si>
    <t>UNIT</t>
  </si>
  <si>
    <t>UNIT PRICE</t>
  </si>
  <si>
    <t>QTY JUNI</t>
  </si>
  <si>
    <t>QTY JULI</t>
  </si>
  <si>
    <t>SELISIH</t>
  </si>
  <si>
    <t>SELISIH HARGA</t>
  </si>
  <si>
    <t>KETERANGAN</t>
  </si>
  <si>
    <t>CG0101/AD/2408/005</t>
  </si>
  <si>
    <t>31-08-2024</t>
  </si>
  <si>
    <t>06-09-2024 16:25:56</t>
  </si>
  <si>
    <t>IU INTERNAL USAGE CE DONA</t>
  </si>
  <si>
    <t>CECM0001</t>
  </si>
  <si>
    <t>XYZ KARBOL PINUS 5 L</t>
  </si>
  <si>
    <t>btl</t>
  </si>
  <si>
    <t>CECM0005</t>
  </si>
  <si>
    <t>XYZ GLASS CLEANER 5 LTR</t>
  </si>
  <si>
    <t>CECM0010</t>
  </si>
  <si>
    <t>SUMA CRYSTAL 5 L</t>
  </si>
  <si>
    <t>CECM0011</t>
  </si>
  <si>
    <t>SUMA NOVA 5 L</t>
  </si>
  <si>
    <t/>
  </si>
  <si>
    <t>TOTAL</t>
  </si>
  <si>
    <t>CG0101/AD/2408/006</t>
  </si>
  <si>
    <t>06-09-2024 16:28:15</t>
  </si>
  <si>
    <t>IU STATIONARY -DONA</t>
  </si>
  <si>
    <t>STA00014</t>
  </si>
  <si>
    <t>TINTA STAMPEL BLUE - BIRU</t>
  </si>
  <si>
    <t>STA00020</t>
  </si>
  <si>
    <t>BATERAI AA</t>
  </si>
  <si>
    <t>STA00025</t>
  </si>
  <si>
    <t>DOUBLE TAPE</t>
  </si>
  <si>
    <t>STA00031</t>
  </si>
  <si>
    <t>TIPEX</t>
  </si>
  <si>
    <t>STA00035</t>
  </si>
  <si>
    <t>LAKBAN BENING</t>
  </si>
  <si>
    <t>STA00048</t>
  </si>
  <si>
    <t>HANSAPLAST ROLL</t>
  </si>
  <si>
    <t>STA00049</t>
  </si>
  <si>
    <t>TAPE DISPENSER</t>
  </si>
  <si>
    <t>STA00052</t>
  </si>
  <si>
    <t>PANADOL MERAH</t>
  </si>
  <si>
    <t>STA00055</t>
  </si>
  <si>
    <t>SPIDOL SNOWMAN - HITAM</t>
  </si>
  <si>
    <t>STA00057</t>
  </si>
  <si>
    <t>ISI STAPLER</t>
  </si>
  <si>
    <t>STA00059</t>
  </si>
  <si>
    <t>KWITANSI</t>
  </si>
  <si>
    <t>STA00060</t>
  </si>
  <si>
    <t>STABILO</t>
  </si>
  <si>
    <t>STA00079</t>
  </si>
  <si>
    <t>BATERAI LR44 (1 PACK 5 PCS)</t>
  </si>
  <si>
    <t>STA00096</t>
  </si>
  <si>
    <t>HANSAPLAS</t>
  </si>
  <si>
    <t>STA00099</t>
  </si>
  <si>
    <t>BUSINESS FILE</t>
  </si>
  <si>
    <t>STA00121</t>
  </si>
  <si>
    <t>KERTAS BURAM A4</t>
  </si>
  <si>
    <t>STA00125</t>
  </si>
  <si>
    <t>PAPER CLIP NO. 1</t>
  </si>
  <si>
    <t>CG0101/AD/2408/010</t>
  </si>
  <si>
    <t>06-09-2024 16:29:06</t>
  </si>
  <si>
    <t>IU OTHER SUPPLIER DONA</t>
  </si>
  <si>
    <t>OTH00023</t>
  </si>
  <si>
    <t>TANK HOLEDER/DUDUKAN TABUNG GAS HI-COOKED</t>
  </si>
  <si>
    <t>unit</t>
  </si>
  <si>
    <t>OTH00060</t>
  </si>
  <si>
    <t>BODREX</t>
  </si>
  <si>
    <t>OTH00071</t>
  </si>
  <si>
    <t>BOX STYROFOAM 75 X 42 X 33 CM</t>
  </si>
  <si>
    <t>OTH00092</t>
  </si>
  <si>
    <t>KABEL TIES 10 CM</t>
  </si>
  <si>
    <t>OTH00105</t>
  </si>
  <si>
    <t>MASKER MEDIS</t>
  </si>
  <si>
    <t>OTH00208</t>
  </si>
  <si>
    <t>STICKER PIPI MERAH PUTIH</t>
  </si>
  <si>
    <t>06-09-2024 16:30:00</t>
  </si>
  <si>
    <t>CG0101/AD/2408/011</t>
  </si>
  <si>
    <t>06-09-2024 16:30:39</t>
  </si>
  <si>
    <t>IU KITCHENWARE</t>
  </si>
  <si>
    <t>KW000009</t>
  </si>
  <si>
    <t>WAJAN/FRYPAN ANTI LENGKET</t>
  </si>
  <si>
    <t>KW000019</t>
  </si>
  <si>
    <t>FOOD TONG/CAPITAN MAKANAN LUBANG STAINLESS9 INCH</t>
  </si>
  <si>
    <t>KW000054</t>
  </si>
  <si>
    <t>PRAXIS KEEPER 302 10 LITER</t>
  </si>
  <si>
    <t>KW00065</t>
  </si>
  <si>
    <t>PAPPER SHAKER/TEMPAT BUMBU</t>
  </si>
  <si>
    <t>KW00094</t>
  </si>
  <si>
    <t>PRAXIS KEEPER 102 1,9 LITER</t>
  </si>
  <si>
    <t>KW00131</t>
  </si>
  <si>
    <t>KITCHEN DIGITAL TIMER</t>
  </si>
  <si>
    <t>KW00137</t>
  </si>
  <si>
    <t>SPATULA SILIKON GAGANG KAYU</t>
  </si>
  <si>
    <t>KW00138</t>
  </si>
  <si>
    <t>BOTOL BUMBU TUTUP BUNGA</t>
  </si>
  <si>
    <t>TGW00011</t>
  </si>
  <si>
    <t>TEMPAT SAMBAL ACRYLIC - KECIL</t>
  </si>
  <si>
    <t>CG0201/AD/2407/002</t>
  </si>
  <si>
    <t>CGAPJ</t>
  </si>
  <si>
    <t>27-08-2024 15:22:31</t>
  </si>
  <si>
    <t xml:space="preserve">IU CE CGAPJ 31 JULI 2024 </t>
  </si>
  <si>
    <t>CETS0002</t>
  </si>
  <si>
    <t>TOWEL ANJOLY MERAH-KECIL</t>
  </si>
  <si>
    <t>CETS0004</t>
  </si>
  <si>
    <t>TOWEL ANJOLY HITAM-KECIL</t>
  </si>
  <si>
    <t>CETS0005</t>
  </si>
  <si>
    <t>TOWEL ANJOLY HIJAU -KECIL</t>
  </si>
  <si>
    <t>CETS0021</t>
  </si>
  <si>
    <t>LAP MICRO 40 X 40 320 GSM BIRU MUDA</t>
  </si>
  <si>
    <t>CETS0037</t>
  </si>
  <si>
    <t>PEL SUMBU NAG 702</t>
  </si>
  <si>
    <t>CETS0048</t>
  </si>
  <si>
    <t>SEDOTAN LALAT</t>
  </si>
  <si>
    <t>MKT00035</t>
  </si>
  <si>
    <t>LIGHT BOX</t>
  </si>
  <si>
    <t>MKT00051</t>
  </si>
  <si>
    <t>VOUCHER FREE RAPOKKI CHADOL</t>
  </si>
  <si>
    <t>CG0201/AD/2407/003</t>
  </si>
  <si>
    <t>27-08-2024 15:27:10</t>
  </si>
  <si>
    <t>STA00010</t>
  </si>
  <si>
    <t>BINDER CLIP 260</t>
  </si>
  <si>
    <t>IU OTHER SUPPLIES CGAPJ 31 JULI 2024</t>
  </si>
  <si>
    <t>STA00037</t>
  </si>
  <si>
    <t>KERTAS HVS A4</t>
  </si>
  <si>
    <t>STA00074</t>
  </si>
  <si>
    <t>LABEL/STICKER TOM &amp; JERRY 103</t>
  </si>
  <si>
    <t>KW000030</t>
  </si>
  <si>
    <t>CETAKAN ES BATU BULAT 33 - BIRU</t>
  </si>
  <si>
    <t>KW00113</t>
  </si>
  <si>
    <t>CAN OPENER MANUAL</t>
  </si>
  <si>
    <t>TGW00012</t>
  </si>
  <si>
    <t>SAUCER SAUCE MANGKUK SAUS P3</t>
  </si>
  <si>
    <t>CG0201/AD/2407/004</t>
  </si>
  <si>
    <t>27-08-2024 15:28:17</t>
  </si>
  <si>
    <t>IU ATK CGAPJ 31 JULI 2024</t>
  </si>
  <si>
    <t>CG0201/AD/2407/005</t>
  </si>
  <si>
    <t>27-08-2024 15:29:03</t>
  </si>
  <si>
    <t>IU LNB CGAPJ 31 JULI 2024</t>
  </si>
  <si>
    <t>CG0201/AD/2407/006</t>
  </si>
  <si>
    <t>27-08-2024 15:29:48</t>
  </si>
  <si>
    <t>IU ATK CGAPJ 31 JULI 2024 - 2</t>
  </si>
  <si>
    <t>CG0201/AD/2408/003</t>
  </si>
  <si>
    <t>06-09-2024 16:38:36</t>
  </si>
  <si>
    <t>IU CE CGAPJ 31 AGUSTUS 2024</t>
  </si>
  <si>
    <t>CG0201/AD/2408/004</t>
  </si>
  <si>
    <t>06-09-2024 16:39:30</t>
  </si>
  <si>
    <t>IU OTHER SUPPLIES CGAPJ 31 AGUSTUS 2024</t>
  </si>
  <si>
    <t>MKT00042</t>
  </si>
  <si>
    <t>MATERI PROMOSI LIGHT BOX</t>
  </si>
  <si>
    <t>CG0201/AD/2408/005</t>
  </si>
  <si>
    <t>06-09-2024 16:40:36</t>
  </si>
  <si>
    <t>IU PRINTING CGAPJ 31 AGUSTUS 2024</t>
  </si>
  <si>
    <t>STA00011</t>
  </si>
  <si>
    <t>BINDER CLIP 111</t>
  </si>
  <si>
    <t>STA00042</t>
  </si>
  <si>
    <t>KARET GELANG</t>
  </si>
  <si>
    <t>STA00047</t>
  </si>
  <si>
    <t>BETADINE</t>
  </si>
  <si>
    <t>STA00098</t>
  </si>
  <si>
    <t>KAPAS</t>
  </si>
  <si>
    <t>gr</t>
  </si>
  <si>
    <t>STA00115</t>
  </si>
  <si>
    <t>STICKER SAUCE</t>
  </si>
  <si>
    <t>STA00116</t>
  </si>
  <si>
    <t>KERTAS STICKER LABEL HARGA</t>
  </si>
  <si>
    <t>STA00153</t>
  </si>
  <si>
    <t>STICKEY NOTED</t>
  </si>
  <si>
    <t>STA00157</t>
  </si>
  <si>
    <t>TINTA HP GT 52</t>
  </si>
  <si>
    <t>CG0201/AD/2408/006</t>
  </si>
  <si>
    <t>06-09-2024 16:41:49</t>
  </si>
  <si>
    <t>WASTE LNB CGAPJ 31 AGUSTUS 2024</t>
  </si>
  <si>
    <t>KW000057</t>
  </si>
  <si>
    <t>SEALWARE B 48 PERSEGI</t>
  </si>
  <si>
    <t>KW00112</t>
  </si>
  <si>
    <t>BATU ASAHAN</t>
  </si>
  <si>
    <t>KWCK0146</t>
  </si>
  <si>
    <t>ALAT PEMBUKA KALENG</t>
  </si>
  <si>
    <t>TCT00002</t>
  </si>
  <si>
    <t>KOREAN RICE BOWL STAINLESS BK-01</t>
  </si>
  <si>
    <t>TCT00021</t>
  </si>
  <si>
    <t>HANDLE KAYU MATERIAL</t>
  </si>
  <si>
    <t>CG0501/AD/2407/006</t>
  </si>
  <si>
    <t>STA00015</t>
  </si>
  <si>
    <t>POST IT 654</t>
  </si>
  <si>
    <t>STA00027</t>
  </si>
  <si>
    <t>BALLPOINT</t>
  </si>
  <si>
    <t>CGMKG</t>
  </si>
  <si>
    <t>27-08-2024 15:35:16</t>
  </si>
  <si>
    <t>Internal Usage Printing Juli 2024 - Fajar</t>
  </si>
  <si>
    <t>STA00034</t>
  </si>
  <si>
    <t>LAKBAN HITAM</t>
  </si>
  <si>
    <t>STA00046</t>
  </si>
  <si>
    <t>ALKOHOL</t>
  </si>
  <si>
    <t>STA00108</t>
  </si>
  <si>
    <t>SERUTAN</t>
  </si>
  <si>
    <t>STA00131</t>
  </si>
  <si>
    <t>LABEL HARGA K DRINK</t>
  </si>
  <si>
    <t>STA00170</t>
  </si>
  <si>
    <t>STICKER BUKU MENU</t>
  </si>
  <si>
    <t>CECM0007</t>
  </si>
  <si>
    <t>XYZ DISINFEKTAN 5 LTR</t>
  </si>
  <si>
    <t>CETS0003</t>
  </si>
  <si>
    <t>TOWEL ANJOLY COKLAT-KECIL</t>
  </si>
  <si>
    <t>CETS0010</t>
  </si>
  <si>
    <t>SAPU 8517KW</t>
  </si>
  <si>
    <t>CG0501/AD/2407/007</t>
  </si>
  <si>
    <t>CETS0018</t>
  </si>
  <si>
    <t>LAP MICRO 40 X 40 320 GSM ORANGE</t>
  </si>
  <si>
    <t>27-08-2024 15:38:11</t>
  </si>
  <si>
    <t>Internal Usage Cleaning Juli 2024 - Fajar</t>
  </si>
  <si>
    <t>MRP00030</t>
  </si>
  <si>
    <t>PP SEDIMENT FILTER CARTRIDGE 5 MIKRON 20 INCH D10,7CM</t>
  </si>
  <si>
    <t>MRP00079</t>
  </si>
  <si>
    <t>RODA TROLLY</t>
  </si>
  <si>
    <t>OTH00018</t>
  </si>
  <si>
    <t>BOTOL SPRAY 500 ML</t>
  </si>
  <si>
    <t>pca</t>
  </si>
  <si>
    <t>OTH00041</t>
  </si>
  <si>
    <t>ANTI SLIP DASH MAT</t>
  </si>
  <si>
    <t>OTH00098</t>
  </si>
  <si>
    <t>TEMPAT LILIN KRISTAL BENING</t>
  </si>
  <si>
    <t>KW000043</t>
  </si>
  <si>
    <t>GELAS UKUR 500ML</t>
  </si>
  <si>
    <t>KW000051</t>
  </si>
  <si>
    <t>SUSHI MAT 3481</t>
  </si>
  <si>
    <t>CG0501/AD/2407/008</t>
  </si>
  <si>
    <t>27-08-2024 15:39:25</t>
  </si>
  <si>
    <t>KW00096</t>
  </si>
  <si>
    <t>BOX / SEALWARE DONAT</t>
  </si>
  <si>
    <t>KW00119</t>
  </si>
  <si>
    <t>SENDOK KITCHEN</t>
  </si>
  <si>
    <t>Internal Usage Other Supplies Juli 2024 - Fajar</t>
  </si>
  <si>
    <t>KW00380</t>
  </si>
  <si>
    <t>SENDOK PUDING (UNTUK SAUCE SAMJANG) PACK@50PCS</t>
  </si>
  <si>
    <t>TCT00009</t>
  </si>
  <si>
    <t>GARPU KOREA STAINLES SUJEO SUS 304</t>
  </si>
  <si>
    <t>TCT00013</t>
  </si>
  <si>
    <t>KERANJANG SAJI OVAL</t>
  </si>
  <si>
    <t>TGW00009</t>
  </si>
  <si>
    <t>IGIGLORI M6003 GELAS HITAM KOREA</t>
  </si>
  <si>
    <t>CG0501/AD/2407/010</t>
  </si>
  <si>
    <t>27-08-2024 15:40:26</t>
  </si>
  <si>
    <t>Internal Usage Kitchenware 2024 - Fajar</t>
  </si>
  <si>
    <t>CG0501/AD/2407/012</t>
  </si>
  <si>
    <t>27-08-2024 15:41:32</t>
  </si>
  <si>
    <t>WASTE TABLEWARE CGMKG 31 JULI 2024</t>
  </si>
  <si>
    <t>CG0501/AD/2408/008</t>
  </si>
  <si>
    <t>06-09-2024 16:48:13</t>
  </si>
  <si>
    <t>IU CE CGMKG 31 AGUSTUS 2024</t>
  </si>
  <si>
    <t>CETS0009</t>
  </si>
  <si>
    <t>REFIL KAIN PEL/REFIL MOP PEL OBOR</t>
  </si>
  <si>
    <t>CETS0011</t>
  </si>
  <si>
    <t>KANEBO</t>
  </si>
  <si>
    <t>CG0501/AD/2408/009</t>
  </si>
  <si>
    <t>06-09-2024 16:49:18</t>
  </si>
  <si>
    <t>IU OTHER SUPPLIES CGMKG 31 AGUSTUS 2024</t>
  </si>
  <si>
    <t>MKT00004</t>
  </si>
  <si>
    <t>FOAMBOARD</t>
  </si>
  <si>
    <t>MRP00027</t>
  </si>
  <si>
    <t>FILTER AIR CTO 20 INCH</t>
  </si>
  <si>
    <t>OTH00070</t>
  </si>
  <si>
    <t>STICKER FREEZER</t>
  </si>
  <si>
    <t>OTH00101</t>
  </si>
  <si>
    <t>TATAKAN INDUCTION/TATAKAN KUALI</t>
  </si>
  <si>
    <t>OTH00190</t>
  </si>
  <si>
    <t>SUMBU LILIN PELAMPUNG SERAT KAYU</t>
  </si>
  <si>
    <t>QTY AGUSTUS</t>
  </si>
  <si>
    <t>CG0501/AD/2408/010</t>
  </si>
  <si>
    <t>06-09-2024 18:17:50</t>
  </si>
  <si>
    <t>WASTE LNB CGMKG 31 AGUSTUS 2024</t>
  </si>
  <si>
    <t>TGW00001</t>
  </si>
  <si>
    <t>SAUCER KIMCHI MANGKOK SAUS KECIL 9 CM SC1001</t>
  </si>
  <si>
    <t>CG0501/AD/2408/011</t>
  </si>
  <si>
    <t>06-09-2024 18:18:39</t>
  </si>
  <si>
    <t>IU ATK CGMKG 31 AGUSTUS 2024</t>
  </si>
  <si>
    <t>STA00016</t>
  </si>
  <si>
    <t>BOX FILE/BINDEX</t>
  </si>
  <si>
    <t>CG0701/AD/2407/003</t>
  </si>
  <si>
    <t>CGATB</t>
  </si>
  <si>
    <t>27-08-2024 18:42:29</t>
  </si>
  <si>
    <t>STA00040</t>
  </si>
  <si>
    <t>BUKU TULIS HARDCOVER</t>
  </si>
  <si>
    <t>bk</t>
  </si>
  <si>
    <t>IU CE CGATB 31 JULI 2024 - 2</t>
  </si>
  <si>
    <t>TCT00015</t>
  </si>
  <si>
    <t>PREMIUM STAINLESS  PIRING ANAK</t>
  </si>
  <si>
    <t>CG0701/AD/2407/004</t>
  </si>
  <si>
    <t>27-08-2024 18:43:24</t>
  </si>
  <si>
    <t>IU OTHER SUPPLIES CGATB 31 JULI 2024</t>
  </si>
  <si>
    <t>CETS0055</t>
  </si>
  <si>
    <t>SIKAT BOTOL</t>
  </si>
  <si>
    <t>CG0701/AD/2407/005</t>
  </si>
  <si>
    <t>27-08-2024 18:44:10</t>
  </si>
  <si>
    <t>IU ATK CGATB 31 JULI 2024 - 2</t>
  </si>
  <si>
    <t>OTH00068</t>
  </si>
  <si>
    <t>POM POM PITA PERESMIAN</t>
  </si>
  <si>
    <t>CG0701/AD/2407/006</t>
  </si>
  <si>
    <t>OTH00099</t>
  </si>
  <si>
    <t>GELAS KARYAWAN</t>
  </si>
  <si>
    <t>27-08-2024 18:47:56</t>
  </si>
  <si>
    <t>WASTE LNB CGATB 31 JULI 2024 - 2</t>
  </si>
  <si>
    <t>STA00002</t>
  </si>
  <si>
    <t>TUSUKAN KERTAS JOYKO PS-1</t>
  </si>
  <si>
    <t>STA00023</t>
  </si>
  <si>
    <t>TOM&amp;JERRY 100</t>
  </si>
  <si>
    <t>STA00024</t>
  </si>
  <si>
    <t>TOM&amp;JERRY 112</t>
  </si>
  <si>
    <t>CG0701/AD/2408/001</t>
  </si>
  <si>
    <t>STA00039</t>
  </si>
  <si>
    <t>BUKU FOLIO 200 LBR</t>
  </si>
  <si>
    <t>27-08-2024 18:54:38</t>
  </si>
  <si>
    <t>INTERNAL USAGE CLEANING CGATB PERIODE 31 JULI 24 -DENI</t>
  </si>
  <si>
    <t>STA00076</t>
  </si>
  <si>
    <t>STICKER TOM &amp; JERRY BULAT - HIJAU</t>
  </si>
  <si>
    <t>STA00091</t>
  </si>
  <si>
    <t>BUKU LOG FOLIO BERGARIS</t>
  </si>
  <si>
    <t>STA00093</t>
  </si>
  <si>
    <t>STICKER/LABEL TOM&amp;JERRY BULAT - ORANGE</t>
  </si>
  <si>
    <t>STA00105</t>
  </si>
  <si>
    <t>BINDER CLIP NO.200</t>
  </si>
  <si>
    <t>STA00122</t>
  </si>
  <si>
    <t>BINDEX ORDNER</t>
  </si>
  <si>
    <t>STA00129</t>
  </si>
  <si>
    <t>KERTAS WARNING SIGN</t>
  </si>
  <si>
    <t>KW000044</t>
  </si>
  <si>
    <t>GELAS UKUR 1 L</t>
  </si>
  <si>
    <t>KW000046</t>
  </si>
  <si>
    <t>SPATULA KAYU / WOODEN SPATULA</t>
  </si>
  <si>
    <t>KW00088</t>
  </si>
  <si>
    <t>DRAWER ORGANIZER 18X13X4</t>
  </si>
  <si>
    <t>KW00097</t>
  </si>
  <si>
    <t>GELAS UKUR 250 ML</t>
  </si>
  <si>
    <t>KW00121</t>
  </si>
  <si>
    <t>DISWASHER APRON</t>
  </si>
  <si>
    <t>CG0701/AD/2408/002</t>
  </si>
  <si>
    <t>KW00132</t>
  </si>
  <si>
    <t>BOTOL SAUS 16OZ</t>
  </si>
  <si>
    <t>27-08-2024 18:55:33</t>
  </si>
  <si>
    <t>KW00158</t>
  </si>
  <si>
    <t>CENTONG STAINLESS</t>
  </si>
  <si>
    <t>KW00317</t>
  </si>
  <si>
    <t>SPATULA SILIKON - ABU</t>
  </si>
  <si>
    <t>INTERNAL USAGE IT,MKT,MRP,NCG DAN OTHER - DENI</t>
  </si>
  <si>
    <t>KW00322</t>
  </si>
  <si>
    <t>PEMATIK GAS</t>
  </si>
  <si>
    <t>TCT00007</t>
  </si>
  <si>
    <t>TEKO STAINLESS EMAS + FILTER TEH 1 L</t>
  </si>
  <si>
    <t>TCT00020</t>
  </si>
  <si>
    <t>TEKO SILVER STAINLESS 1.8 L</t>
  </si>
  <si>
    <t>TCT00022</t>
  </si>
  <si>
    <t>SHARING PLATE  STAINLESS 12 CM</t>
  </si>
  <si>
    <t>TGW00010</t>
  </si>
  <si>
    <t>TEMPAT SAMBAL ACRYLIC - BESAR</t>
  </si>
  <si>
    <t>TWCK0008</t>
  </si>
  <si>
    <t>GELAS STAINLESS ROSH 7.5 X 10 CM (BERSALUR)</t>
  </si>
  <si>
    <t>CG0701/AD/2408/003</t>
  </si>
  <si>
    <t>27-08-2024 18:56:34</t>
  </si>
  <si>
    <t>INTERNAL USAGE STATIONARY CGATB- DENI</t>
  </si>
  <si>
    <t>CG0701/AD/2408/004</t>
  </si>
  <si>
    <t>27-08-2024 19:01:10</t>
  </si>
  <si>
    <t>INTERNAL USAGE KITCHENWHARE CGATB-DENI</t>
  </si>
  <si>
    <t>MKT00019</t>
  </si>
  <si>
    <t>WALL POSTER</t>
  </si>
  <si>
    <t>CG0601/AD/2407/001</t>
  </si>
  <si>
    <t>MKT00020</t>
  </si>
  <si>
    <t>POSTER MEDIA PROMO</t>
  </si>
  <si>
    <t>29-07-2024</t>
  </si>
  <si>
    <t>MKT00026</t>
  </si>
  <si>
    <t>MENU K-DRINK</t>
  </si>
  <si>
    <t>CGJGC</t>
  </si>
  <si>
    <t>27-08-2024 17:57:42</t>
  </si>
  <si>
    <t>IU NON FOOD(MKT) CGJGC JULI 20224</t>
  </si>
  <si>
    <t>MRP00026</t>
  </si>
  <si>
    <t>FILTER AIR SEDIMEN NANO 5 MIKRON</t>
  </si>
  <si>
    <t>MRP00029</t>
  </si>
  <si>
    <t>LAMPU UV PERANGKAP SERANGGA</t>
  </si>
  <si>
    <t>OTH00016</t>
  </si>
  <si>
    <t>SMARTSENSOR THERMOMETER TEMBAK INFRARED</t>
  </si>
  <si>
    <t>CG0601/AD/2407/003</t>
  </si>
  <si>
    <t>27-08-2024 18:01:19</t>
  </si>
  <si>
    <t>IU NON FOOD OPNAME CGJGC 31 JULI 2024</t>
  </si>
  <si>
    <t>CG0601/AD/2407/004</t>
  </si>
  <si>
    <t>27-08-2024 18:02:07</t>
  </si>
  <si>
    <t>STA00140</t>
  </si>
  <si>
    <t>LABEL/STICKER TOM &amp; JERRY 121</t>
  </si>
  <si>
    <t>STA00171</t>
  </si>
  <si>
    <t>TAPE KACA 3 M</t>
  </si>
  <si>
    <t>CG0601/AD/2407/005</t>
  </si>
  <si>
    <t>27-08-2024 18:04:36</t>
  </si>
  <si>
    <t xml:space="preserve"> IU ATK OPNAME ATK  31 JULI 024</t>
  </si>
  <si>
    <t>TCT00006</t>
  </si>
  <si>
    <t>FOOD TONG/CAPITAN DAGING STAINLESS</t>
  </si>
  <si>
    <t>TGW00008</t>
  </si>
  <si>
    <t>IGIGLORI 2710 PIRING HITAM GIMBAP</t>
  </si>
  <si>
    <t>TGW00076</t>
  </si>
  <si>
    <t>PIRING IGI GLORY YA04</t>
  </si>
  <si>
    <t>CG0601/AD/2407/007</t>
  </si>
  <si>
    <t>27-08-2024 18:05:28</t>
  </si>
  <si>
    <t>IU CLEANING OPNAME CGJGC 31 JULI 2024</t>
  </si>
  <si>
    <t>CG0601/AD/2407/008</t>
  </si>
  <si>
    <t>27-08-2024 18:06:21</t>
  </si>
  <si>
    <t>CG0601/AD/2407/009</t>
  </si>
  <si>
    <t>27-08-2024 18:07:10</t>
  </si>
  <si>
    <t>IU KW  OPNAME CGJGC 31 JULI 2024</t>
  </si>
  <si>
    <t>IU CG-SMS  BULAN JULI DAN AGUSTUS</t>
  </si>
  <si>
    <t>CG1101/AD/2407/001</t>
  </si>
  <si>
    <t>CGSMS</t>
  </si>
  <si>
    <t>27-08-2024 19:39:25</t>
  </si>
  <si>
    <t>IU CE CGSMS 31 JULI 2024</t>
  </si>
  <si>
    <t>CETS0017</t>
  </si>
  <si>
    <t>DEERMA WATER SPRAY MOP 360/PEL SEMPROT LANTAI</t>
  </si>
  <si>
    <t>MKT00039</t>
  </si>
  <si>
    <t>TULISAN CARDLESS</t>
  </si>
  <si>
    <t>MRP00025</t>
  </si>
  <si>
    <t>FILTER AIR GAC 20 INCH</t>
  </si>
  <si>
    <t>CG1101/AD/2407/002</t>
  </si>
  <si>
    <t>OTH00062</t>
  </si>
  <si>
    <t>RAKET NYAMUK</t>
  </si>
  <si>
    <t>27-08-2024 19:40:19</t>
  </si>
  <si>
    <t>IU OTHER SUPPLIES CGSMS 31 JULI 2024</t>
  </si>
  <si>
    <t>STA00045</t>
  </si>
  <si>
    <t>KAIN KASA</t>
  </si>
  <si>
    <t>STA00090</t>
  </si>
  <si>
    <t>LABELER/LABEL HARGA JOYKO MX-5500</t>
  </si>
  <si>
    <t>STA00097</t>
  </si>
  <si>
    <t>BIOPLACENTON</t>
  </si>
  <si>
    <t>STA00114</t>
  </si>
  <si>
    <t>LABEL HARGA</t>
  </si>
  <si>
    <t>CG1101/AD/2407/003</t>
  </si>
  <si>
    <t>27-08-2024 19:41:11</t>
  </si>
  <si>
    <t>IU ATK CGSMS 31 JULI 2024</t>
  </si>
  <si>
    <t>CG1101/AD/2407/004</t>
  </si>
  <si>
    <t>27-08-2024 19:41:55</t>
  </si>
  <si>
    <t>WASTE LNB CGSMS 31 JULI 2024</t>
  </si>
  <si>
    <t>IU CG-BXC  BULAN JULI DAN AGUSTUS</t>
  </si>
  <si>
    <t>CG0801/AD/2407/003</t>
  </si>
  <si>
    <t>CGBXC</t>
  </si>
  <si>
    <t>27-08-2024 19:26:33</t>
  </si>
  <si>
    <t xml:space="preserve">IU CE 31 JULI 2024 - FAISAL </t>
  </si>
  <si>
    <t>CETS0020</t>
  </si>
  <si>
    <t>LAP MICRO 40 X 40 320 GSM KUNING</t>
  </si>
  <si>
    <t>CG0801/AD/2407/004</t>
  </si>
  <si>
    <t>27-08-2024 19:28:29</t>
  </si>
  <si>
    <t xml:space="preserve">stationari 31 juli 2024 - faisal </t>
  </si>
  <si>
    <t>KW00067</t>
  </si>
  <si>
    <t>SPATULA SILIKON - MERAH</t>
  </si>
  <si>
    <t>KW00120</t>
  </si>
  <si>
    <t>CHOPSTICK HEXAGONAL</t>
  </si>
  <si>
    <t>CG0801/AD/2407/005</t>
  </si>
  <si>
    <t>27-08-2024 19:29:52</t>
  </si>
  <si>
    <t xml:space="preserve">Kitchenware, tableware 31 juli 2024 - faisal </t>
  </si>
  <si>
    <t>OTH00120</t>
  </si>
  <si>
    <t>ALUMUNIUM FOIL</t>
  </si>
  <si>
    <t>OTH00198</t>
  </si>
  <si>
    <t>SODA API</t>
  </si>
  <si>
    <t>CG0801/AD/2408/001</t>
  </si>
  <si>
    <t>27-08-2024 19:30:40</t>
  </si>
  <si>
    <t xml:space="preserve">NCG,MRP,IT, OTHER 31 JULI 2024 - FAISAL </t>
  </si>
  <si>
    <t>IU HG-GLC  BULAN JULI DAN AGUSTUS</t>
  </si>
  <si>
    <t>HG0101/AD/2407/007</t>
  </si>
  <si>
    <t>HGGLC</t>
  </si>
  <si>
    <t>05-09-2024 17:48:29</t>
  </si>
  <si>
    <t>IU CE HGGLC 31 JULI 2024 - Dimas</t>
  </si>
  <si>
    <t>CETS0014</t>
  </si>
  <si>
    <t>SIKAT BAJU 834 NAGATA</t>
  </si>
  <si>
    <t>MKT00043</t>
  </si>
  <si>
    <t>STICKER HARGA CORN TEA</t>
  </si>
  <si>
    <t>NCG00023</t>
  </si>
  <si>
    <t>TISSUE SEE-U ROLL ECO VALUE</t>
  </si>
  <si>
    <t>OTH00001</t>
  </si>
  <si>
    <t>GAS 12 KG</t>
  </si>
  <si>
    <t>OTH00011</t>
  </si>
  <si>
    <t>APAR ABC 3 KG PREMIUM POWDER</t>
  </si>
  <si>
    <t>tbng</t>
  </si>
  <si>
    <t>HG0101/AD/2407/008</t>
  </si>
  <si>
    <t>05-09-2024 17:51:35</t>
  </si>
  <si>
    <t>IU OUTHER SUPLIES HGGLC 31 JULI 2024- DIMAS</t>
  </si>
  <si>
    <t>STA00177</t>
  </si>
  <si>
    <t>STICKER TISSUE &amp; SOAP</t>
  </si>
  <si>
    <t>HG0101/AD/2407/009</t>
  </si>
  <si>
    <t>TCT00019</t>
  </si>
  <si>
    <t>MANGKOK RAMEN PUTIH B119-7.5</t>
  </si>
  <si>
    <t>05-09-2024 17:52:18</t>
  </si>
  <si>
    <t>IU PRINTING HGGLC 31 JULI 2024 - DIMAS</t>
  </si>
  <si>
    <t>TGW00077</t>
  </si>
  <si>
    <t>DUCK SPOON HOOVER S005 HITAM</t>
  </si>
  <si>
    <t>TGW00082</t>
  </si>
  <si>
    <t>SHARING BOWL IGI GLORI Y245</t>
  </si>
  <si>
    <t>TGW00087</t>
  </si>
  <si>
    <t>GELAS CORN TEA ONYX 380 ML</t>
  </si>
  <si>
    <t>HG0101/AD/2407/010</t>
  </si>
  <si>
    <t>05-09-2024 17:53:02</t>
  </si>
  <si>
    <t>IU KITCHENWARE HGGLC 31 JULI 2024 - DIMAS</t>
  </si>
  <si>
    <t>HG0301/AD/2407/006</t>
  </si>
  <si>
    <t>HG0301/AD/2408/002</t>
  </si>
  <si>
    <t>HGBXC</t>
  </si>
  <si>
    <t>06-09-2024 00:54:17</t>
  </si>
  <si>
    <t>06-09-2024 01:02:26</t>
  </si>
  <si>
    <t>IU CE HGBXC 31 JULI 2024</t>
  </si>
  <si>
    <t>IU CEMICAL HGBXC - TAJUL</t>
  </si>
  <si>
    <t>MKT00030</t>
  </si>
  <si>
    <t>STICKER LOGO HANGUKSU</t>
  </si>
  <si>
    <t>MKT00048</t>
  </si>
  <si>
    <t>VOUCHER 50000 HANGUKSU</t>
  </si>
  <si>
    <t>HG0301/AD/2407/007</t>
  </si>
  <si>
    <t>STA00005</t>
  </si>
  <si>
    <t>GUNTING KANTOR</t>
  </si>
  <si>
    <t>06-09-2024 00:56:18</t>
  </si>
  <si>
    <t>HG0301/AD/2408/003</t>
  </si>
  <si>
    <t>IU OTHER SUPPLIES HGBXC 31 JULI 2024</t>
  </si>
  <si>
    <t>06-09-2024 01:03:15</t>
  </si>
  <si>
    <t>IU STATIONARY HGBXC - TAJUL</t>
  </si>
  <si>
    <t>KW00082</t>
  </si>
  <si>
    <t>SAPU KUALI</t>
  </si>
  <si>
    <t>KW00109</t>
  </si>
  <si>
    <t>MIXING BOWL SIZE  20 cm</t>
  </si>
  <si>
    <t>OTH00111</t>
  </si>
  <si>
    <t>BUKU MENU</t>
  </si>
  <si>
    <t>OTH00143</t>
  </si>
  <si>
    <t>ACRYLIC STANDING A5</t>
  </si>
  <si>
    <t>HG0301/AD/2407/008</t>
  </si>
  <si>
    <t>06-09-2024 00:57:17</t>
  </si>
  <si>
    <t>IU ATK HGBXC 31 JULI 2024</t>
  </si>
  <si>
    <t>HG0301/AD/2408/004</t>
  </si>
  <si>
    <t>06-09-2024 01:04:08</t>
  </si>
  <si>
    <t>IU kitchenware HGBXC - TAJUL</t>
  </si>
  <si>
    <t>HG0301/AD/2409/001</t>
  </si>
  <si>
    <t>06-09-2024 01:04:48</t>
  </si>
  <si>
    <t>IU NCG &amp; OTHER HGBXC - TAJUL</t>
  </si>
  <si>
    <t>HG0301/AD/2407/009</t>
  </si>
  <si>
    <t>06-09-2024 00:58:07</t>
  </si>
  <si>
    <t>WASTE LNB HGBXC 31 JULI 2024</t>
  </si>
  <si>
    <t>IU HOTTEOK-KOKAS  BULAN JUNI DAN JULI</t>
  </si>
  <si>
    <t>HT0201/AD/2408/001</t>
  </si>
  <si>
    <t>HT0201/AD/2407/002</t>
  </si>
  <si>
    <t>HOTOK KOKAS</t>
  </si>
  <si>
    <t>06-09-2024 01:08:52</t>
  </si>
  <si>
    <t>06-09-2024 01:13:40</t>
  </si>
  <si>
    <t>IU PRINTING HTKKM 31 AGUSTUS 2024-HERDA</t>
  </si>
  <si>
    <t>IU CE HTKKM 31 JULI 2024</t>
  </si>
  <si>
    <t>STA00149</t>
  </si>
  <si>
    <t>STICKER CUP HOTOK</t>
  </si>
  <si>
    <t>NCG00021</t>
  </si>
  <si>
    <t>PLASTIK SEGITIGA</t>
  </si>
  <si>
    <t>OTH00091</t>
  </si>
  <si>
    <t>LE MINERALE GALON</t>
  </si>
  <si>
    <t>HT0201/AD/2407/003</t>
  </si>
  <si>
    <t>06-09-2024 01:14:23</t>
  </si>
  <si>
    <t>OTH00124</t>
  </si>
  <si>
    <t>SARUNG TANGAN KAIN</t>
  </si>
  <si>
    <t>HT0201/AD/2408/002</t>
  </si>
  <si>
    <t>IU OTHER SUPPLIES HTKKM 31 JULI 2024</t>
  </si>
  <si>
    <t>06-09-2024 01:09:45</t>
  </si>
  <si>
    <t>IU CLEANING HTKKM 31 AGUSTUS 2024-HERDA</t>
  </si>
  <si>
    <t>HT0201/AD/2407/004</t>
  </si>
  <si>
    <t>HT0201/AD/2408/003</t>
  </si>
  <si>
    <t>06-09-2024 01:15:02</t>
  </si>
  <si>
    <t>06-09-2024 01:10:18</t>
  </si>
  <si>
    <t>IU ATK HTKKM 31 JULI 2024</t>
  </si>
  <si>
    <t>IU MATERI LIGHT BOX HTKKM AGUSTUS 2024</t>
  </si>
  <si>
    <t>HT0201/AD/2409/001</t>
  </si>
  <si>
    <t>06-09-2024 01:11:06</t>
  </si>
  <si>
    <t>IU OTHER SUPPLIES HTKKM 31 AGUSTUS 2024-HERDA</t>
  </si>
  <si>
    <t>HT0101/AD/2407/003</t>
  </si>
  <si>
    <t>HT0101/AD/2408/001</t>
  </si>
  <si>
    <t>HOTOK BLOK M</t>
  </si>
  <si>
    <t>06-09-2024 01:17:41</t>
  </si>
  <si>
    <t>06-09-2024 01:26:49</t>
  </si>
  <si>
    <t>IU CE HTBMP 31 JULI 2024</t>
  </si>
  <si>
    <t xml:space="preserve">IU CE HTBMP 31 AGUSTUS 2024 </t>
  </si>
  <si>
    <t>KW00221</t>
  </si>
  <si>
    <t>PUDDING GLASS JAR</t>
  </si>
  <si>
    <t>HT0101/AD/2407/004</t>
  </si>
  <si>
    <t>HT0101/AD/2408/002</t>
  </si>
  <si>
    <t>06-09-2024 01:18:26</t>
  </si>
  <si>
    <t>06-09-2024 01:29:59</t>
  </si>
  <si>
    <t>IU OTHER SUPPLIES HTBMP 31 JULI 2024</t>
  </si>
  <si>
    <t>IU OTHER SUPPLIES HTBMP 31 AGUSTUS 2024</t>
  </si>
  <si>
    <t>HT0101/AD/2408/005</t>
  </si>
  <si>
    <t>HT0101/AD/2407/005</t>
  </si>
  <si>
    <t>06-09-2024 01:31:16</t>
  </si>
  <si>
    <t>06-09-2024 01:19:17</t>
  </si>
  <si>
    <t>IU ATK 31 AGUSTUS 2024</t>
  </si>
  <si>
    <t>IU LNB HTBMP 31 JULI 2024</t>
  </si>
  <si>
    <t>HT0101/AD/2407/006</t>
  </si>
  <si>
    <t>06-09-2024 01:24:37</t>
  </si>
  <si>
    <t>HT0101/AD/2408/007</t>
  </si>
  <si>
    <t>IU ATK HTBMP 31 JULI 2024</t>
  </si>
  <si>
    <t>06-09-2024 01:31:48</t>
  </si>
  <si>
    <t>IU CE HTBMP 31 AGUSTUS 2024</t>
  </si>
  <si>
    <t>HT0101/AD/2408/008</t>
  </si>
  <si>
    <t>06-09-2024 01:32:35</t>
  </si>
  <si>
    <t>IU STATIONARY HTBMP 31 AGUSTUS 2024</t>
  </si>
  <si>
    <t>HC0101/AD/2407/003</t>
  </si>
  <si>
    <t>HC ADM</t>
  </si>
  <si>
    <t>06-09-2024 16:04:51</t>
  </si>
  <si>
    <t>IU CE HCADM 31 JULI 2024</t>
  </si>
  <si>
    <t>CETS0019</t>
  </si>
  <si>
    <t>LAP MICRO 40 X 40 320 GSM HIJAU</t>
  </si>
  <si>
    <t>STA00118</t>
  </si>
  <si>
    <t>LEM KERTAS JOYKO</t>
  </si>
  <si>
    <t>CETS0058</t>
  </si>
  <si>
    <t>TEMPAT SAMPAH  GREEN LEAF 35 L</t>
  </si>
  <si>
    <t>STA00119</t>
  </si>
  <si>
    <t>SPIDOL PERMANENT JUMBO - HITAM</t>
  </si>
  <si>
    <t>HC0101/AD/2407/004</t>
  </si>
  <si>
    <t>TCT00005</t>
  </si>
  <si>
    <t>TUSUK GIGI ION KERTAS (NON ACTIVE)</t>
  </si>
  <si>
    <t>06-09-2024 16:05:50</t>
  </si>
  <si>
    <t>IU OTHER SUPPLIES HCADM 31 JULI 2024</t>
  </si>
  <si>
    <t>MRP00065</t>
  </si>
  <si>
    <t>LEM PVC</t>
  </si>
  <si>
    <t>HC0101/AD/2407/005</t>
  </si>
  <si>
    <t>06-09-2024 16:06:26</t>
  </si>
  <si>
    <t>WASTE LNB HCADM 31 JULI 2024</t>
  </si>
  <si>
    <t>HC0101/AD/2407/006</t>
  </si>
  <si>
    <t>06-09-2024 16:07:12</t>
  </si>
  <si>
    <t>IU ATK HCADM 31 JULI 2024</t>
  </si>
  <si>
    <t>QTY JULY</t>
  </si>
  <si>
    <t>CG0601/AD/2408/002</t>
  </si>
  <si>
    <t>06-09-2024 19:11:51</t>
  </si>
  <si>
    <t>IU ATK OPNAME CGJGC 31 AGUSTUS 2024</t>
  </si>
  <si>
    <t>CG0601/AD/2408/003</t>
  </si>
  <si>
    <t>06-09-2024 19:12:33</t>
  </si>
  <si>
    <t>IU CLEANING OPNAME CGJGC 31 AGUSTUS 2024</t>
  </si>
  <si>
    <t>CG0601/AD/2408/004</t>
  </si>
  <si>
    <t>06-09-2024 19:13:10</t>
  </si>
  <si>
    <t>IU NON FOOD OPNAME CGJGC 31 AGUSTUS 2024</t>
  </si>
  <si>
    <t>CG0601/AD/2408/005</t>
  </si>
  <si>
    <t>06-09-2024 19:14:22</t>
  </si>
  <si>
    <t>IU KITCHENWARE OPNAME CGJGC 31 AGUSTUS 2024</t>
  </si>
  <si>
    <t>CG0601/AD/2408/006</t>
  </si>
  <si>
    <t>06-09-2024 19:14:58</t>
  </si>
  <si>
    <t>CG0601/AD/2408/007</t>
  </si>
  <si>
    <t>06-09-2024 19:15:32</t>
  </si>
  <si>
    <t>IU NON FOOD CG-GLC  BULAN JULI VS AGUSTUS</t>
  </si>
  <si>
    <t>IU NON FOOD CG-AMPLAZ  BULAN JULI VS AGUSTUS</t>
  </si>
  <si>
    <t>IU NON FOOD CG-MKG  BULAN JULI DAN AGUSTUS</t>
  </si>
  <si>
    <t>IU  NON FOOD CG-ATB  BULAN JULI DAN AGUSTUS</t>
  </si>
  <si>
    <t>IU NON FOOD CG-JGC  BULAN JULI DAN AGUSTUS</t>
  </si>
  <si>
    <t>CG0801/AD/2409/001</t>
  </si>
  <si>
    <t>06-09-2024 23:10:11</t>
  </si>
  <si>
    <t>IU KITCHENWERE DAN TABLEWARE</t>
  </si>
  <si>
    <t>KW00115</t>
  </si>
  <si>
    <t>SUMPIT JP / SUMPIT BAMBU</t>
  </si>
  <si>
    <t>CG0801/AD/2408/006</t>
  </si>
  <si>
    <t>06-09-2024 23:11:38</t>
  </si>
  <si>
    <t>IU ATK CGBXC - Kris</t>
  </si>
  <si>
    <t>STA00190</t>
  </si>
  <si>
    <t>TINTA LABELER</t>
  </si>
  <si>
    <t>CG0801/AD/2408/005</t>
  </si>
  <si>
    <t>06-09-2024 23:12:39</t>
  </si>
  <si>
    <t>IU NCG DAN OTHER CGBXC - KRIS</t>
  </si>
  <si>
    <t>CG0801/AD/2408/004</t>
  </si>
  <si>
    <t>06-09-2024 23:13:24</t>
  </si>
  <si>
    <t xml:space="preserve">IU CEMICAL 30 AGUSTUS 2024- KRIS </t>
  </si>
  <si>
    <t xml:space="preserve">Penjelasan </t>
  </si>
  <si>
    <t>Penjelasan</t>
  </si>
  <si>
    <t>PENJELASAN</t>
  </si>
  <si>
    <t>top 5 kenaikan IU</t>
  </si>
  <si>
    <t>item code</t>
  </si>
  <si>
    <t>item name</t>
  </si>
  <si>
    <t>selisih</t>
  </si>
  <si>
    <t>IU HG-BXC  BULAN JULI DAN AGUSTUS</t>
  </si>
  <si>
    <t>IU HOTTEOK BLOK-M  BULAN JULI DAN AGUSTUS</t>
  </si>
  <si>
    <t>top 5 penurunan IU</t>
  </si>
  <si>
    <t>CG1101/AD/2408/007</t>
  </si>
  <si>
    <t>11-09-2024 18:57:22</t>
  </si>
  <si>
    <t>IU PRINTING CGSMS 31 AGUSTUS 2024 - INTAN</t>
  </si>
  <si>
    <t>CG1101/AD/2408/006</t>
  </si>
  <si>
    <t>11-09-2024 18:58:43</t>
  </si>
  <si>
    <t>IU KITCHENWARE CGSMS RINALDY</t>
  </si>
  <si>
    <t>KW000011</t>
  </si>
  <si>
    <t>CETAKAN ES BATU</t>
  </si>
  <si>
    <t>KW00327</t>
  </si>
  <si>
    <t>SENDOK NASI KECIL</t>
  </si>
  <si>
    <t>CG1101/AD/2408/005</t>
  </si>
  <si>
    <t>11-09-2024 18:59:23</t>
  </si>
  <si>
    <t>iu other supplies cgsms 31 agustus 2024 - pasa</t>
  </si>
  <si>
    <t>MKT00037</t>
  </si>
  <si>
    <t>GIANT BANNER</t>
  </si>
  <si>
    <t>CG1101/AD/2408/004</t>
  </si>
  <si>
    <t>11-09-2024 19:01:33</t>
  </si>
  <si>
    <t>IU CE CGSMS 31 AGUSTUS 2024 - JUNE</t>
  </si>
  <si>
    <t>CG1101/AD/2408/003</t>
  </si>
  <si>
    <t>11-09-2024 19:02:25</t>
  </si>
  <si>
    <t>ADJ ASSET FUNITURE</t>
  </si>
  <si>
    <t>IU ASSET CGSMS 31 AGUSTUS 2024 - JUNE</t>
  </si>
  <si>
    <t>AMC00003</t>
  </si>
  <si>
    <t>KOMPOR INDUKSI IC-1100</t>
  </si>
  <si>
    <t>MACHINERY</t>
  </si>
  <si>
    <t>CG1101/AD/2408/002</t>
  </si>
  <si>
    <t>30-08-2024</t>
  </si>
  <si>
    <t>11-09-2024 19:02:58</t>
  </si>
  <si>
    <t>IU  CGSMS FOAMBOARD MKT -RIYANA</t>
  </si>
  <si>
    <t>HC0101/AD/2408/009</t>
  </si>
  <si>
    <t>11-09-2024 19:06:46</t>
  </si>
  <si>
    <t>IU ATK HCADM 31 AGUSTUS 2024</t>
  </si>
  <si>
    <t>HC0101/AD/2408/008</t>
  </si>
  <si>
    <t>11-09-2024 19:07:31</t>
  </si>
  <si>
    <t>IU OTHER SUPPLIES HCADM 31 AGUSTUS 2024</t>
  </si>
  <si>
    <t>NCGK0017</t>
  </si>
  <si>
    <t>REFILL PEMANTIK GAS KITCHEN</t>
  </si>
  <si>
    <t>HC0101/AD/2408/007</t>
  </si>
  <si>
    <t>11-09-2024 19:08:12</t>
  </si>
  <si>
    <t>IU ASSET HCADM 31 AGUSTUS 2024</t>
  </si>
  <si>
    <t>AMC00021</t>
  </si>
  <si>
    <t>KOMPOR INDUKSI GEA IC-2000</t>
  </si>
  <si>
    <t>HC0101/AD/2408/006</t>
  </si>
  <si>
    <t>11-09-2024 19:08:46</t>
  </si>
  <si>
    <t>IU KITCHENWARE 31 AGUSTUS GUNAWAN</t>
  </si>
  <si>
    <t>KW00092</t>
  </si>
  <si>
    <t>GELAS UKUR 5 L</t>
  </si>
  <si>
    <t>KW00114</t>
  </si>
  <si>
    <t>PEELER VICTORINOX</t>
  </si>
  <si>
    <t>KW00159</t>
  </si>
  <si>
    <t>RICE NET</t>
  </si>
  <si>
    <t>HC0101/AD/2408/005</t>
  </si>
  <si>
    <t>11-09-2024 19:09:24</t>
  </si>
  <si>
    <t>IU OTHER 31 AGUSTUS GUNAWAN</t>
  </si>
  <si>
    <t>HC0101/AD/2408/004</t>
  </si>
  <si>
    <t>11-09-2024 19:10:04</t>
  </si>
  <si>
    <t>IU CLEANING 31 AGUSTUS GUNAWAN</t>
  </si>
  <si>
    <t>HC0101/AD/2408/001</t>
  </si>
  <si>
    <t>23-08-2024</t>
  </si>
  <si>
    <t>11-09-2024 19:10:43</t>
  </si>
  <si>
    <t>IU FOAM BOARD MKT GUNAWAN</t>
  </si>
  <si>
    <t>IU HC_ADM  BULAN JULI DAN AGUSTUS</t>
  </si>
  <si>
    <t>CG0701/AD/2408/008</t>
  </si>
  <si>
    <t>14-09-2024 12:44:08</t>
  </si>
  <si>
    <t>INTERNAL USAGE CLEANING CGATB AGUSTUS- DENI</t>
  </si>
  <si>
    <t>CG0701/AD/2408/009</t>
  </si>
  <si>
    <t>14-09-2024 12:44:47</t>
  </si>
  <si>
    <t>INTERNAL USAGE STATIONARY CGATB AGUSTUS- DENI</t>
  </si>
  <si>
    <t>STA00007</t>
  </si>
  <si>
    <t>ISI CUTTER</t>
  </si>
  <si>
    <t>CG0701/AD/2408/010</t>
  </si>
  <si>
    <t>14-09-2024 12:45:55</t>
  </si>
  <si>
    <t>INTERNAL USAGE IT,MKT,MRP,NCG DAN OTHER AGUSTUS- DENI</t>
  </si>
  <si>
    <t>OTH00211</t>
  </si>
  <si>
    <t>STICKER SAMPAH ORGANIK ANORGANIK</t>
  </si>
  <si>
    <t>CG0701/AD/2408/011</t>
  </si>
  <si>
    <t>14-09-2024 12:46:35</t>
  </si>
  <si>
    <t>INTERNAL USAGE KITCHENWHARE CGATB AGUSTUS-DENI</t>
  </si>
  <si>
    <t>di karenakan belum  pernah Iu dari bulan april - juli</t>
  </si>
  <si>
    <t>pic lupa order daya pada bulan agustus sehingga  ada penuruna di bln agustus</t>
  </si>
  <si>
    <t>tidak iu bulan juni dan juli sehingga kenaikan di bulan agustus</t>
  </si>
  <si>
    <t>penurunan iu bulan agustus pic lebih mengontrol  pengeluaran grease cleaner</t>
  </si>
  <si>
    <t>dikarenakan kesalahan perhitungan bulan bulan juli</t>
  </si>
  <si>
    <t>di karenakan juli tidak ada IU sehingga kenaikan di bulan agustus</t>
  </si>
  <si>
    <t>tidak ada iu bulan  juli sehingga kenaikan di bulan agustus</t>
  </si>
  <si>
    <t>salah perhitungan di bulan juli</t>
  </si>
  <si>
    <t>penurunan di bulan agustus pic lebih mengontrol pengeluran</t>
  </si>
  <si>
    <t>pemkaian oprasional</t>
  </si>
  <si>
    <t>untuk penuruan di bulan agustus di karenkan bulan juni salah perhitungan</t>
  </si>
  <si>
    <t>untuk bulan sekarang pemakaian pelastik di pantau perharinya pengeluaran berapa pcs</t>
  </si>
  <si>
    <t>dikarenakan pemakain pada saat cetring dan pemkaian oprasional staf</t>
  </si>
  <si>
    <t>pemakaian oprasional</t>
  </si>
  <si>
    <t>pemakain</t>
  </si>
  <si>
    <t>ada kenaikan di bulan juli dikarenkan pergantian batrai lebih banyak di bulan juli sehingga bulan agustus ada penurunan</t>
  </si>
  <si>
    <t>dikarenkan ada pemakaian di bulan juli tetapi tidak ter IU</t>
  </si>
  <si>
    <t>tidak terIU  dari bulan februari</t>
  </si>
  <si>
    <t>di karenakan sales bulan agustus lebih tinggi sehingga pemakaian lebih banyak</t>
  </si>
  <si>
    <t>pemkaian  oprasional</t>
  </si>
  <si>
    <t>di karenakan pemakaian</t>
  </si>
  <si>
    <t>dikarenkan di bulan agustus ada cetring dan menggunakan lakban bening</t>
  </si>
  <si>
    <t xml:space="preserve">di karenkan pemakaian </t>
  </si>
  <si>
    <t xml:space="preserve">dikarenakan rusak  </t>
  </si>
  <si>
    <t xml:space="preserve">dikarenakn pemakaian </t>
  </si>
  <si>
    <t>tidak terIU dari bulan mei sehingga pemakain bulan agusrus meningakat</t>
  </si>
  <si>
    <t xml:space="preserve">pemakian staf </t>
  </si>
  <si>
    <t>salah perhitungan bulan juli</t>
  </si>
  <si>
    <t xml:space="preserve">pemakian  </t>
  </si>
  <si>
    <t>pemakaina</t>
  </si>
  <si>
    <t>pegantian batrai</t>
  </si>
  <si>
    <t>dikarenkan bulan agustus sales naik dan mesin printer sering eror sehinga termal boros</t>
  </si>
  <si>
    <t>pemakian</t>
  </si>
  <si>
    <t>di karenkan ada staf yang tergores mesin slecer dan salah perhitungan bulan juli</t>
  </si>
  <si>
    <t>sudah rusak tidak layak pakai</t>
  </si>
  <si>
    <t>untuk menamkna menu orderan cetring</t>
  </si>
  <si>
    <t>salah perhitungan bulan juli dan dingunkan untuk CO dan sayuran</t>
  </si>
  <si>
    <t xml:space="preserve">pemakian </t>
  </si>
  <si>
    <t xml:space="preserve">salah perhitungan di bulan juli </t>
  </si>
  <si>
    <t>mengontrol oprasional</t>
  </si>
  <si>
    <t>dikarankan untuk sekarang chicken garlic mini di packin 175gr jadi banyank menggunkan pelastik tersebut</t>
  </si>
  <si>
    <t>di gunakan untuk cetring</t>
  </si>
  <si>
    <t xml:space="preserve">dikarenakan pemkaian </t>
  </si>
  <si>
    <t xml:space="preserve">dikaeenkan kenaikan sales bulan agustus lebih besar </t>
  </si>
  <si>
    <t>dikarenakan sekarang all saus rapoki, all soup, sayuran japchae di packing dan ada promo fyp sehingga pengeluaran bulan ini lebih banyak</t>
  </si>
  <si>
    <t xml:space="preserve">terjadi kenaikan dikarenkan untuk kdrink menggunakan plastik 10kg </t>
  </si>
  <si>
    <t>di karenkan pemakian dan bulan agustus sales lebih besar dari juli</t>
  </si>
  <si>
    <t>dikarenkan hanglove L jarang di pakai di bulan agustus karen staf lebih banyak menggunkan henglove M dan lebihnyaman menggunkan gengglove m</t>
  </si>
  <si>
    <t>pemakaian dikarenkan sales lebih besar</t>
  </si>
  <si>
    <t>permintaan customer lebih banyak di bulan agustus</t>
  </si>
  <si>
    <t>di karenkan patah dan tidak bisa di gunakan</t>
  </si>
  <si>
    <t>pemakaian</t>
  </si>
  <si>
    <t>di karenkan bulan agustus tidak banyak serangga dan lalat sehingga pemkian lilin lebih sedikit</t>
  </si>
  <si>
    <t xml:space="preserve">di karenkan untuk cetring </t>
  </si>
  <si>
    <t>tidak terIU dan salah perhitungan di bulan JULi</t>
  </si>
  <si>
    <t xml:space="preserve">salah perhitungan </t>
  </si>
  <si>
    <t>di pakai untuk cetring</t>
  </si>
  <si>
    <t>bulsn agustus customer lebih sedikit yang ulangtahun</t>
  </si>
  <si>
    <t xml:space="preserve">di karenkan anti lenketnya sudah  hilang dan tidak bisa di gunakan </t>
  </si>
  <si>
    <t xml:space="preserve">di karenkan hilang dan patah </t>
  </si>
  <si>
    <t>ada yang tidak terhitung</t>
  </si>
  <si>
    <t>di karenkan pepper shaker  pengok l&amp;B tidak dapat digunakan lagi</t>
  </si>
  <si>
    <t>dikarenkan retak dan patah</t>
  </si>
  <si>
    <t xml:space="preserve">dikarenkan retak sehingga tidak bisa di gunakan </t>
  </si>
  <si>
    <t>sudah eror dan tidak bisa pakai</t>
  </si>
  <si>
    <t>di karenkan kayunya kropos dan tidak bisa di gunakan lagi</t>
  </si>
  <si>
    <t>dikarenkan  ada yg terbakar dan sudah tidak layak pakai</t>
  </si>
  <si>
    <t>staf tidak hati-hati sehingga terbuang</t>
  </si>
  <si>
    <t>di karenkan pecah tidak layak pakai sehingga L&amp;B</t>
  </si>
  <si>
    <t>pic telah mengontrol pengeluaran sebelumnya</t>
  </si>
  <si>
    <t>pic telah mengontrol pengeluaran sebelumnya ( bulan Juli )</t>
  </si>
  <si>
    <t>dikarenkan bulan agustus tidak ada pemakian spidol</t>
  </si>
  <si>
    <t>salah perhitungan</t>
  </si>
  <si>
    <t xml:space="preserve">pemakaian lebih banyak di bulan juli dikarenkan pergantian buku lebihbanyak </t>
  </si>
  <si>
    <t>tidak ada pemakian di bulan agustus</t>
  </si>
  <si>
    <t>tidak ada pemakian di bulan agustus dikarenkan untuk jumeokbap lebih banyak di kepal di kitchen</t>
  </si>
  <si>
    <t>tidak ada yang rusak di bulan agustus</t>
  </si>
  <si>
    <t>stock sudah tidak ada</t>
  </si>
  <si>
    <t>di bulan agustus tiadak ada yang rusak</t>
  </si>
  <si>
    <t xml:space="preserve">tidak ada yang rusak di bulan agustus </t>
  </si>
  <si>
    <t>peningkatan di bulan juli dikarenakan bulan sebelumnya ada yang di transfer barang tersebut tetapi tida ada surat SRnya ( pic sebelumnya)</t>
  </si>
  <si>
    <t>tiadak ada yang hilang di bulan agustus</t>
  </si>
  <si>
    <t>SUDAH MENJADI COMBO</t>
  </si>
  <si>
    <t>BANYAK PROMO BERJALAN</t>
  </si>
  <si>
    <t>PEMBUNGKUSAN ITEM MENU</t>
  </si>
  <si>
    <t>RATA RATA TERPAKAI</t>
  </si>
  <si>
    <t>MENYESUAIKAN PEMAKAIAN</t>
  </si>
  <si>
    <t>TERPAKAI KARYAWAN</t>
  </si>
  <si>
    <t xml:space="preserve">TERPAKAI </t>
  </si>
  <si>
    <t>BARU ORDER KEMARI 1 PCS, YANG LAMA NYA SUDAH LNB</t>
  </si>
  <si>
    <t>TERPAKAI</t>
  </si>
  <si>
    <t>KESEHATAN TERJAGA</t>
  </si>
  <si>
    <t>SUDAH SEDIKIT LALAT</t>
  </si>
  <si>
    <t>JARANG TERPAKAI</t>
  </si>
  <si>
    <t>HARI KEMERDEKAAN</t>
  </si>
  <si>
    <t>CLEANLINES TERJAGA</t>
  </si>
  <si>
    <t>KEBERSIHAN TERJAGA</t>
  </si>
  <si>
    <t>SAAT CLEANLINES/GC</t>
  </si>
  <si>
    <t>PEMAKAIAN KURANG DI ATUR NEXT LEBIH DI PERHATIKAN</t>
  </si>
  <si>
    <t>PEMAKAIAN SUDAH MULAI DI KONTROL NEXT AKAN DI PERTAHANKAN</t>
  </si>
  <si>
    <t>ROBEK KARNA PEMAKAIAN</t>
  </si>
  <si>
    <t>KARNA BANYAK LALAT DI OUTLET JADI PEMAKAIAN LUMAYAN</t>
  </si>
  <si>
    <t>JARANG TERPAKAI DAN BELUM ADA PEMBELIAN</t>
  </si>
  <si>
    <t>STOCK MASIH AMAN</t>
  </si>
  <si>
    <t>BELUM ADA PEMBELIAN DAN STOCK MASIH CUKUP</t>
  </si>
  <si>
    <t>MEMINIMALISIR  PEMAKAIAN SEHINGGA PEMAKAIANYA SEDIKIT</t>
  </si>
  <si>
    <t xml:space="preserve">KARENA TERLALU SERING DIGUNAKAN </t>
  </si>
  <si>
    <t xml:space="preserve">BANYAK TERPAKAI UNTUK MENCUCI ALAT SAJI YANG TIDAK PERNAH DIGUNAKAN AGAR BERSIH </t>
  </si>
  <si>
    <t xml:space="preserve">BARU ADA KEDATANGAN BARANG LAGI DI BULAN AGUSTUS PADA 15 AGUSTUS 2024 </t>
  </si>
  <si>
    <t xml:space="preserve">MENCOBA UNTUK LEBIH HEMAT PENGGUNAANNYA </t>
  </si>
  <si>
    <t xml:space="preserve">KARENA TERPAKAI SETIAP HARI </t>
  </si>
  <si>
    <t xml:space="preserve">KERTAS MATERI PROMO SUDAH HABIS DIBAGIKAN </t>
  </si>
  <si>
    <t xml:space="preserve">IU 2 MATERI PROMO YANG SUDAH TIDAK BERLAKU </t>
  </si>
  <si>
    <t xml:space="preserve">MENCOBA UNTUK TIDAK MEMAKAI SECARA BERLEBIHAN </t>
  </si>
  <si>
    <t>KARENA JARANG TERPAKAI DIBULAN AGUSTUS</t>
  </si>
  <si>
    <t xml:space="preserve">PENGUNAANNYA DI BULAN AGUSTUS LEBIH SEDIKIT </t>
  </si>
  <si>
    <t xml:space="preserve">MEMINIMALISIR PENGGUNAAN BERLEBIHAN </t>
  </si>
  <si>
    <t xml:space="preserve">KARENA DI BULAN SEBELUMNYA JARANG TERPAKAI </t>
  </si>
  <si>
    <t>KARENA SERING MEMAKAI HANDGLOVES PLASTIK</t>
  </si>
  <si>
    <t>KARENA MEMBAGI DUA TISU AGAR LEBIH HEMAT PEMAKAIANNYA</t>
  </si>
  <si>
    <t xml:space="preserve">ADANYA CREW YANG SERING MEMBAWA AIR MINUM DARI RUMAH </t>
  </si>
  <si>
    <t xml:space="preserve">MASIH MEMAKAI BALL POINT YANG DI KELUARKAN BULAN LALU </t>
  </si>
  <si>
    <t xml:space="preserve">ADA BEBERAPA KECELAKAAN DI DALAM PEKERJAAN </t>
  </si>
  <si>
    <t xml:space="preserve">JARANG TERPAKAI DI BULAN AGUSTUS </t>
  </si>
  <si>
    <t xml:space="preserve">KARENA TIDAK LAGI MENGGUNAKAN KERTAS ROLL UNTUK PENCATATAN </t>
  </si>
  <si>
    <t xml:space="preserve">KARENA DI BULAN LALU TIDAK ADA KECELAKAAN KERJA </t>
  </si>
  <si>
    <t xml:space="preserve">DI GUNAKAN UNTUK PENCATATAN BEBERAPA PRODUK </t>
  </si>
  <si>
    <t>ADA BEBERAPA CREW YANG MENGALAMI SAKIT LAMBUNG</t>
  </si>
  <si>
    <t xml:space="preserve">ADA BEBERAPA CREW YANG TERJANGKIT BAB TERUS MENERUS </t>
  </si>
  <si>
    <t xml:space="preserve">PEMAKAIAN UNTUK GELAS CUP </t>
  </si>
  <si>
    <t>TERPAKAI UNTUK PERGANTIAN BATERAI TIMER KITCHEN</t>
  </si>
  <si>
    <t xml:space="preserve">KARENA TIDAK ADA KERUSAKAN DI BULAN AGUSTUS </t>
  </si>
  <si>
    <t xml:space="preserve">PEMAKAIN LEBIH SEDIKIT DI BULAN AGUSTUS </t>
  </si>
  <si>
    <t xml:space="preserve">KARENA TIDAK ADA YANG TERJANGKIT BATUK DAN FLU </t>
  </si>
  <si>
    <t xml:space="preserve">DI BULAN AGUSTUS BEBERAPA CREW SEHAT DAN FIT </t>
  </si>
  <si>
    <t xml:space="preserve">KARENA SUDAH JARANG TERPAKAI DI BULAN AGUSTUS </t>
  </si>
  <si>
    <t>DI BULAN SEBELUMNYA SALAH SATU ADA YG RUSAK</t>
  </si>
  <si>
    <t xml:space="preserve">PENGGUNAANNYA MENCOBA UNTUK LEBIH SEDIKIT </t>
  </si>
  <si>
    <t>KARENA SUDAH TIDAK MEMAKAI HANDGLOVE NITRIL SIZE L DIBULAN AGUSTUS</t>
  </si>
  <si>
    <t xml:space="preserve">KARENA DI BULAN JULI SATU GELAS RUSAK </t>
  </si>
  <si>
    <t>Untuk ganti thermometer suhu</t>
  </si>
  <si>
    <t>Untuk operasional</t>
  </si>
  <si>
    <t>Gunakan untuk Gelas Kdrink</t>
  </si>
  <si>
    <t>Kita bagikan karena promo berjalan</t>
  </si>
  <si>
    <t>Kita gunakan untuk kirim bill dan Take away kdrink</t>
  </si>
  <si>
    <t xml:space="preserve">Kita gunakan untuk lap kaca dan tiriskan hotok </t>
  </si>
  <si>
    <t>Untuk operasiaonal memasak japchae</t>
  </si>
  <si>
    <t>Untuk operasianal saat mengolah hotok</t>
  </si>
  <si>
    <t>Terkadang customer suka meminta tissue lebih saat kita sudah kasih</t>
  </si>
  <si>
    <t xml:space="preserve">Untuk operasiaonal </t>
  </si>
  <si>
    <t>Untuk mencuci lap2</t>
  </si>
  <si>
    <t>Diganti karena sponge busa lama sudah hancur</t>
  </si>
  <si>
    <t>Diganti karena refil kain lama sudah tidak layak pakai</t>
  </si>
  <si>
    <t>kelebihan IU dibulan juli, jadi beban agustus masuk ke juli, karena salah hitung</t>
  </si>
  <si>
    <t xml:space="preserve">untuk pemakaian sudah di kontrol agar tidak terlalu banyak menggunakan dan tidak sembarangan </t>
  </si>
  <si>
    <t xml:space="preserve">saat idle time sering digunakan untuk bersih" kaca </t>
  </si>
  <si>
    <t>digunakan lebih banyak di bulan agustus untuk shoking equipment kitchen dan service</t>
  </si>
  <si>
    <t xml:space="preserve">digunakan sebagai penggati karbol dibulan agustus, karena kehabisan stock </t>
  </si>
  <si>
    <t xml:space="preserve">jarang digunakan karena hanya di gunakan oleh staff </t>
  </si>
  <si>
    <t>jarang digunakan</t>
  </si>
  <si>
    <t xml:space="preserve">salah hitung di bulan juli dan bebaan jadi masuk ke bulan agustus </t>
  </si>
  <si>
    <t xml:space="preserve">ada penurunan sales di bulan agustus, jadi lebih berkurang untuk penggunaan nya </t>
  </si>
  <si>
    <t>karena penggunaan lebih sering untuk menimalisir dateng nya lalat di area dine in</t>
  </si>
  <si>
    <t xml:space="preserve">untuk item ini normal </t>
  </si>
  <si>
    <t xml:space="preserve">untuk item ini sudaj diperpanjang masa penggunaan nya yang tadi nya setiap hari diganti penggunaan nya, berubah menjadi 2 hari sekali baru di ganti, karena tangkapan lalat tidak terlalu banyak </t>
  </si>
  <si>
    <t xml:space="preserve">pemusnahan item ini karena sudah tidak layak pakai </t>
  </si>
  <si>
    <t xml:space="preserve">normal </t>
  </si>
  <si>
    <t xml:space="preserve">item masih bagus jadi tidak ada pemusnahan </t>
  </si>
  <si>
    <t xml:space="preserve">untuk item ini hanya digunakan jika dibutuhkan, lebih sering digunakan untuk menu nasi kepal korea </t>
  </si>
  <si>
    <t xml:space="preserve">ada pergantian penggunaan item untuk priparean menjadi plastik pe 1 kg, jadi penggunaan lebih sedikit </t>
  </si>
  <si>
    <t xml:space="preserve">Ada pergantian kenggunaan item untuk priparean menjadi plastik 2 kg dan ada penggunaan pripare untuk menu baru, jadi penggunaan lebih  banyak </t>
  </si>
  <si>
    <t xml:space="preserve">lebih sering digunakan dibulan agustus </t>
  </si>
  <si>
    <t xml:space="preserve">untuk item ini normal, karena naik turun nya penggunaan atas dasar permintaan customer </t>
  </si>
  <si>
    <t xml:space="preserve">lebih banyak digunakan dibulan agustus, karena ada bahan" menu baru untuk di pripare menggunakan item ini </t>
  </si>
  <si>
    <t xml:space="preserve">sudah ada pengontrolan dilapangan untuk item ini </t>
  </si>
  <si>
    <t>normal</t>
  </si>
  <si>
    <t xml:space="preserve">sudah jarang digunakan karena sudah memakai lilin sumbu </t>
  </si>
  <si>
    <t xml:space="preserve">karena ada kerusakan jadi ada pemusnahan lebih banyak </t>
  </si>
  <si>
    <t>karena pengalihan dari lilin meja ke lilin sumbu, di gunakan jika dibutuhkan karena untuk mengusir lalat di area dine in</t>
  </si>
  <si>
    <t>dipakai untuk hari tertentu (kemerdekaan)</t>
  </si>
  <si>
    <t xml:space="preserve">digunakan jika dibutuhakan </t>
  </si>
  <si>
    <t xml:space="preserve">ada pergantian baterai karena sudah habis baterai sebelum nya </t>
  </si>
  <si>
    <t xml:space="preserve">lebih banyak penggunaan karena untuk membuat tanggal kedatangan di item k-drink, karena label harga outlet sempet rusak dan tidak bisa digunakan </t>
  </si>
  <si>
    <t xml:space="preserve">kurang kontrol untuk penggunaan item ini </t>
  </si>
  <si>
    <t xml:space="preserve">sudah habis dan di ganti baru </t>
  </si>
  <si>
    <t xml:space="preserve">digunakan saat dibutuhkan </t>
  </si>
  <si>
    <t xml:space="preserve">salah hitung di bulan juli jadi masuk beban dibulan agustus </t>
  </si>
  <si>
    <t>karena sempat rusak dan di ganti menggunakan tom &amp; jerry untuk menandai tanggal dateng produk bahan baku dan k-drink</t>
  </si>
  <si>
    <t xml:space="preserve">karena ada pergantian sticker yang sudah rusak di tempat sambal </t>
  </si>
  <si>
    <t xml:space="preserve">jarang digunakan karena sudah di support tab untuk pengorderan ke tamu </t>
  </si>
  <si>
    <t>karena habis nya dibulan agustus jadi di IU dibulan agustus</t>
  </si>
  <si>
    <t xml:space="preserve">karena ada kerusakan pada item ini </t>
  </si>
  <si>
    <t>sudah dikontrol untuk penggunaan item ini, agar tidak hilang terlalu banyak disetiap bulan nya</t>
  </si>
  <si>
    <t xml:space="preserve">salah hitung jadi beban agustus masuk ke juli </t>
  </si>
  <si>
    <t xml:space="preserve">tidak ada yang rusak jadi tidak ada pemusnahan </t>
  </si>
  <si>
    <t xml:space="preserve">sudah tidak menggunakan item ini di outlet karena dilarang oleh pihak mall </t>
  </si>
  <si>
    <t xml:space="preserve">karena jarang digunakan </t>
  </si>
  <si>
    <t xml:space="preserve">jarang di gunakan </t>
  </si>
  <si>
    <t xml:space="preserve">tidak ada yang rusak dan belum habis penggunaan </t>
  </si>
  <si>
    <t xml:space="preserve">tidak ada yang rusak </t>
  </si>
  <si>
    <t xml:space="preserve">digunakan jika dibutuhkan </t>
  </si>
  <si>
    <t xml:space="preserve">tidak ada kerusakan jadi tidak ada pemusnahan </t>
  </si>
  <si>
    <t>tidak ada penggunaan di bulan agustus</t>
  </si>
  <si>
    <t xml:space="preserve">penggunaan lebih sedikit di bulan agustus karena hanya untuk orderan grab dan TA </t>
  </si>
  <si>
    <t>sudah tidak ada penggunaan dibulan agustus</t>
  </si>
  <si>
    <t xml:space="preserve">Perendaman towel dan kain pel setiap closing </t>
  </si>
  <si>
    <t>Stock Awal Agustus 5,3 actual  5,2 terpakai pada bulan agustus sebanyak 0,1 ( Terlewat input pada saat SO)</t>
  </si>
  <si>
    <t>Pemakaian sesuai actual tidak berlebihan ketika cuci tangan all staff</t>
  </si>
  <si>
    <t>Pemakaian tidak banyak terhadap customer</t>
  </si>
  <si>
    <t xml:space="preserve">Jumlah customer lebih banyak untuk clean up table </t>
  </si>
  <si>
    <t xml:space="preserve">pemakaian 2,5 Stock Kerbol Lemongrass sudah habis di bulan agustus </t>
  </si>
  <si>
    <t xml:space="preserve">Meminimalisir penggunaaan sudah dibantu dengan dishwasher </t>
  </si>
  <si>
    <t>Minim towel tidak layak pakai pada bulan agustus</t>
  </si>
  <si>
    <t>Pengunaan untuk cuci table saat closing</t>
  </si>
  <si>
    <t>Item Rusak dan sudah di LnB</t>
  </si>
  <si>
    <t xml:space="preserve">total customer lebih banyak di banding bulan lalu pergantian trashbag lebih sering </t>
  </si>
  <si>
    <t>Pergantian trashbag tong sampah kecil hanya saat pergantian shift</t>
  </si>
  <si>
    <t>Penyebaran flayer kurang masksimal</t>
  </si>
  <si>
    <t>Item tersebut masih ada</t>
  </si>
  <si>
    <t>Voucher fisik actual sudah tidak ada</t>
  </si>
  <si>
    <t xml:space="preserve">Pergantian filter air hanya sekali </t>
  </si>
  <si>
    <t>Di pakai seperlu nya saja untuk menu Jumeokbap penjualan menurun</t>
  </si>
  <si>
    <t>Tidak terlalu over preparation gramasi</t>
  </si>
  <si>
    <t>Untuk preparation all sauce</t>
  </si>
  <si>
    <t>Pemakian setiap bulan hanya 2 roll</t>
  </si>
  <si>
    <t>Penggunaan handtowel tidak terlalu berlebihan</t>
  </si>
  <si>
    <t xml:space="preserve">Di maksimalkan penggunaan per tabung </t>
  </si>
  <si>
    <t xml:space="preserve">Lebih banyak preparation mengikuti kenaikan sales </t>
  </si>
  <si>
    <t>Actual stock sesuai dengan fisik</t>
  </si>
  <si>
    <t>Jumlah total customer lebih banyak</t>
  </si>
  <si>
    <t>Tidak adanya staff yang sakit saat bekerja</t>
  </si>
  <si>
    <t>Item rusak tidak berfungsi sudah di LnB</t>
  </si>
  <si>
    <t>Sisa stock sesuai actual SO</t>
  </si>
  <si>
    <t>Item tersebut pecah dan sudah di LnB</t>
  </si>
  <si>
    <t>Minim penggunaan masker</t>
  </si>
  <si>
    <t>Promo HBD hari H menurun</t>
  </si>
  <si>
    <t>Minim penggunaan item tersebut</t>
  </si>
  <si>
    <t>Terpakai untuk kebutuhan ATK</t>
  </si>
  <si>
    <t>Diperlukan hanya untuk administrasi kasir</t>
  </si>
  <si>
    <t>Pemakain sama seperti bulan lalu</t>
  </si>
  <si>
    <t xml:space="preserve">Tidak ada yg di LnB </t>
  </si>
  <si>
    <t xml:space="preserve">Di gunakan pada bulan agustus </t>
  </si>
  <si>
    <t>Stock fisik tidak sesuai pada saat opname</t>
  </si>
  <si>
    <t>Actual bulan sebelumnya tidak ter opname actual sudah tidak bisa di pakai sebanyak 1 pcs</t>
  </si>
  <si>
    <t>Terpakai sebagai Log book waiting list</t>
  </si>
  <si>
    <t>Stockard untuk item K - Drink</t>
  </si>
  <si>
    <t xml:space="preserve">Stock sesuai actual </t>
  </si>
  <si>
    <t xml:space="preserve">Pergantian sticker sauce yang sudah pudar </t>
  </si>
  <si>
    <t>Rusak sebanyak 2 pcs dan sudah Di Adjusment out</t>
  </si>
  <si>
    <t>Terpakai untuk tanda di label produk</t>
  </si>
  <si>
    <t xml:space="preserve">Rusak dan sudah di LnB </t>
  </si>
  <si>
    <t xml:space="preserve">Terpakai sebagai tempat persediaan Grooming box outlet </t>
  </si>
  <si>
    <t xml:space="preserve">Stock fisik tidak sesuai actual nya ter case hilang terbuang di area steward, sudah di adjusment out </t>
  </si>
  <si>
    <t>Actual bulan sebelumnya tidak ter opname item tersebut sudah tidak ada</t>
  </si>
  <si>
    <t>Actual bulan sebelumnya tidak ter opname</t>
  </si>
  <si>
    <t>Kedatangan lampu order ukuran datang tidak sesuai 6,60 namun ukuran pas dengan Lampu UV perangkap serangga cembung untuk stock</t>
  </si>
  <si>
    <t>Rusak sebanyak 1 pcs dan sudah Di Adjusment out</t>
  </si>
  <si>
    <t>Penjualan Take Away Online lebih banyak</t>
  </si>
  <si>
    <t>Penjualan menu dengan wok lebih banyak</t>
  </si>
  <si>
    <t>Kedatangan item barang pada bulan agustus</t>
  </si>
  <si>
    <t>Kesalahan input qty tidak adaIU KOMPOR INDUKSI</t>
  </si>
  <si>
    <t>UNTUK PERGANTIAN ALAT SUHU RUANG</t>
  </si>
  <si>
    <t>PENGGUNAAN STAFF UNTUK OPS</t>
  </si>
  <si>
    <t>PENGGUNAAN OPS KE GOFOOD DAN GRAB</t>
  </si>
  <si>
    <t>PENGGUNAAN OPS</t>
  </si>
  <si>
    <t>LEBIH BANYAK MENGGUNAKAN LABEL HARGA</t>
  </si>
  <si>
    <t>KESALAHAN HITUNG OPNAME PADA BULAN JULI YANG MENYEBABKAN PENURUAN IU PADA BULAN AGUSTUS</t>
  </si>
  <si>
    <t>PENGGUNAAN UNTUK BARANG DATANG, LABEL KDRINK, LABEL SAUS</t>
  </si>
  <si>
    <t>PENGUNAAN OPS UNTUK TAKING ORDER</t>
  </si>
  <si>
    <t>PENGUNAAN OPS</t>
  </si>
  <si>
    <t>SEMPAT KERUSAKAN PADA MESIN DIVERSEY</t>
  </si>
  <si>
    <t>OPERASIONAL BANYAK LALAT DAN PENGGUNAAN EFEKTIF UNTUK USIR LALAT PADA SAAT NGEPEL</t>
  </si>
  <si>
    <t>LEBIH BANYAK MENGGUNAKAN LIME DARI PADA NOBLA</t>
  </si>
  <si>
    <t>PENGGUNAAN KITCHEN</t>
  </si>
  <si>
    <t>GLUE PAD DIGANTI 5 HARI SEKALI SAAT SUDAH FULL LALAT</t>
  </si>
  <si>
    <t>PERGANTIAN BULAN AGUSTUS HANYA 1 PCS UNTUK PEL KITCHEN</t>
  </si>
  <si>
    <t>KERUSAKAN PADA BULAN AGUSTUS</t>
  </si>
  <si>
    <t>KENAIKAN PENGGUNAAN OPS</t>
  </si>
  <si>
    <t>SISA STOCK BULAN SEBELUMNYA</t>
  </si>
  <si>
    <t>FLYER PROMO FYP WAGYU PAYDAY</t>
  </si>
  <si>
    <t>IU PROMO BULAN AGUSTUS</t>
  </si>
  <si>
    <t>PENGUNAAN CUMAN 1 PADA BULAN AGUSTUS</t>
  </si>
  <si>
    <t>PENURUNAN ORDERAN JUMEOKBAP YG MENGGUNAKAN SARUNG TANGAN UNTUK PENGEPALAN</t>
  </si>
  <si>
    <t>UNTUK PREPARE KITCHEN</t>
  </si>
  <si>
    <t>PENURUNAN PENGGUNAAN</t>
  </si>
  <si>
    <t>PENURUNAN SALES</t>
  </si>
  <si>
    <t>PENGGUNAAN LEBIH BANYAK MENGGUNAKAN HANDGLOVE L</t>
  </si>
  <si>
    <t>PERMINTAAN CUSTOMER</t>
  </si>
  <si>
    <t>PATAH ADA 2</t>
  </si>
  <si>
    <t>PERMINTAAN LILIN MENURUN KARENA SERING DIPEL PENGGUNAKAN LEMONGRASS</t>
  </si>
  <si>
    <t xml:space="preserve">ORDERAN GRAB GOJEK DAN GRAB MENINGKAT </t>
  </si>
  <si>
    <t>PECAH</t>
  </si>
  <si>
    <t>PENGUNAAN OPS BULAN AGUSTUS</t>
  </si>
  <si>
    <t>UNTUK 17 AGUSTUS</t>
  </si>
  <si>
    <t>KERUSAKAN HANYA 1 PADA BULAN AGUSTUS</t>
  </si>
  <si>
    <t>PATAH</t>
  </si>
  <si>
    <t>LNB 1 PADA BULAN AGUSTUS</t>
  </si>
  <si>
    <t>PECAH DAN INTRUKSI PAK JUN UNTUK IU</t>
  </si>
  <si>
    <t>STOCK TIDAK ADA</t>
  </si>
  <si>
    <t>TIDAK ADA KERUSAKAN ATAU LNB</t>
  </si>
  <si>
    <t>TERPAKAI OLEH STAFF</t>
  </si>
  <si>
    <t>SISA STOCK DIKASIR TIDAK TERHITUNG PADA SAAT OPNAME BULAN JULI</t>
  </si>
  <si>
    <t>TIDAK ADA PENGGUNAAN BUKU BARU</t>
  </si>
  <si>
    <t>ADA SISA STOCK DIKASIR YG TIDAK DIHITUNG SAAT OPNAME BULAN JULI</t>
  </si>
  <si>
    <t>TIDAK ADA PENGUNAAN BULAN AGUSTUS</t>
  </si>
  <si>
    <t>BANYAK PENGGUNAAN LABEL HARGA</t>
  </si>
  <si>
    <t>TIDAK ADA PENGGUNAAN  BULAN AGUSTUS</t>
  </si>
  <si>
    <t>TIDAK ADA STOCK</t>
  </si>
  <si>
    <t>TIDAK ADA PENGGUNAAN BULAN AGUSTUS</t>
  </si>
  <si>
    <t>STOCK KOSONG</t>
  </si>
  <si>
    <t>PERMINTAAN SEDIKIT DARI CS</t>
  </si>
  <si>
    <t>IU Pemakain bulanan</t>
  </si>
  <si>
    <t xml:space="preserve">stock refil gas nya sudah Habis </t>
  </si>
  <si>
    <t xml:space="preserve">sticker sudah gunakan pada tempat sampah </t>
  </si>
  <si>
    <t xml:space="preserve">patah atau L &amp;B </t>
  </si>
  <si>
    <t xml:space="preserve">L &amp; B rusak pada saat digunakan </t>
  </si>
  <si>
    <t xml:space="preserve">L &amp; B atau hilang </t>
  </si>
  <si>
    <t xml:space="preserve">rusak atau patah </t>
  </si>
  <si>
    <t xml:space="preserve">barang sudah tidak layak karena warna sudah kuning </t>
  </si>
  <si>
    <t xml:space="preserve">pergantian filter </t>
  </si>
  <si>
    <t>TIDAK ADA L N B/KEHILANGAN</t>
  </si>
  <si>
    <t>TIDAK ADA PEMAKAIAN</t>
  </si>
  <si>
    <t>Digunakan untuk operasional kebersihan outlet</t>
  </si>
  <si>
    <t>dimaksimalkan dalam penggunaan</t>
  </si>
  <si>
    <t>mesin belum tersetting maksimal oleh diversy</t>
  </si>
  <si>
    <t>digunakan untuk operasional, sedang musim lalat</t>
  </si>
  <si>
    <t>digunakan untuk operasional</t>
  </si>
  <si>
    <t>dimaksimalkan untuk operasional</t>
  </si>
  <si>
    <t>banyak customer yang ulang tahun di bulan Agustus</t>
  </si>
  <si>
    <t>digunakan untuk opeasional</t>
  </si>
  <si>
    <t>dimaksimalkan dalam operasional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</si>
</sst>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Rp&quot;#,##0.00;\-&quot;Rp&quot;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rgb="FF000000"/>
      </right>
      <top/>
      <bottom/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4" xfId="0" applyBorder="1"/>
    <xf numFmtId="0" fontId="0" fillId="0" borderId="0" xfId="0"/>
    <xf numFmtId="0" fontId="0" fillId="0" borderId="1" xfId="0" applyBorder="1"/>
    <xf numFmtId="39" fontId="0" fillId="0" borderId="2" xfId="0" applyNumberFormat="1" applyBorder="1"/>
    <xf numFmtId="0" fontId="0" fillId="2" borderId="0" xfId="0" applyFill="1"/>
    <xf numFmtId="39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0" xfId="0" applyFont="1"/>
    <xf numFmtId="0" fontId="1" fillId="2" borderId="0" xfId="0" applyFont="1" applyFill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0" xfId="0" applyBorder="1"/>
    <xf numFmtId="0" fontId="0" fillId="0" borderId="13" xfId="0" applyBorder="1"/>
    <xf numFmtId="0" fontId="0" fillId="0" borderId="12" xfId="0" applyBorder="1"/>
    <xf numFmtId="39" fontId="0" fillId="0" borderId="0" xfId="0" applyNumberFormat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9" xfId="0" applyBorder="1"/>
    <xf numFmtId="39" fontId="0" fillId="0" borderId="10" xfId="0" applyNumberFormat="1" applyBorder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0" borderId="0" xfId="0" applyFont="1" applyBorder="1"/>
    <xf numFmtId="0" fontId="1" fillId="0" borderId="7" xfId="0" applyFont="1" applyBorder="1"/>
    <xf numFmtId="0" fontId="1" fillId="2" borderId="21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2" fontId="1" fillId="2" borderId="17" xfId="0" applyNumberFormat="1" applyFont="1" applyFill="1" applyBorder="1" applyAlignment="1">
      <alignment horizontal="center" vertical="center"/>
    </xf>
    <xf numFmtId="0" fontId="1" fillId="0" borderId="4" xfId="0" applyFont="1" applyBorder="1"/>
    <xf numFmtId="0" fontId="1" fillId="0" borderId="0" xfId="0" applyFont="1" applyBorder="1" applyAlignment="1">
      <alignment horizontal="center"/>
    </xf>
    <xf numFmtId="7" fontId="1" fillId="0" borderId="0" xfId="0" applyNumberFormat="1" applyFont="1" applyBorder="1" applyAlignment="1">
      <alignment horizontal="center"/>
    </xf>
    <xf numFmtId="2" fontId="1" fillId="0" borderId="19" xfId="0" applyNumberFormat="1" applyFont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NumberFormat="1" applyFont="1" applyBorder="1" applyAlignment="1">
      <alignment horizontal="center"/>
    </xf>
    <xf numFmtId="0" fontId="1" fillId="0" borderId="20" xfId="0" applyNumberFormat="1" applyFont="1" applyBorder="1" applyAlignment="1">
      <alignment horizontal="center"/>
    </xf>
    <xf numFmtId="0" fontId="1" fillId="0" borderId="8" xfId="0" applyFont="1" applyBorder="1"/>
    <xf numFmtId="7" fontId="1" fillId="0" borderId="0" xfId="0" applyNumberFormat="1" applyFont="1" applyBorder="1"/>
    <xf numFmtId="0" fontId="1" fillId="0" borderId="19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7" fontId="1" fillId="0" borderId="7" xfId="0" applyNumberFormat="1" applyFont="1" applyBorder="1"/>
    <xf numFmtId="0" fontId="1" fillId="0" borderId="20" xfId="0" applyFont="1" applyBorder="1" applyAlignment="1">
      <alignment horizontal="center"/>
    </xf>
    <xf numFmtId="7" fontId="1" fillId="0" borderId="7" xfId="0" applyNumberFormat="1" applyFont="1" applyBorder="1" applyAlignment="1">
      <alignment horizontal="center"/>
    </xf>
    <xf numFmtId="4" fontId="1" fillId="0" borderId="0" xfId="0" applyNumberFormat="1" applyFont="1" applyBorder="1" applyAlignment="1">
      <alignment horizontal="center"/>
    </xf>
    <xf numFmtId="0" fontId="1" fillId="0" borderId="19" xfId="0" applyFont="1" applyBorder="1" applyAlignment="1">
      <alignment horizontal="center" vertical="center"/>
    </xf>
    <xf numFmtId="4" fontId="1" fillId="0" borderId="7" xfId="0" applyNumberFormat="1" applyFon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2" borderId="18" xfId="0" applyNumberFormat="1" applyFont="1" applyFill="1" applyBorder="1" applyAlignment="1">
      <alignment horizontal="center" vertical="center"/>
    </xf>
    <xf numFmtId="0" fontId="1" fillId="0" borderId="19" xfId="0" applyNumberFormat="1" applyFont="1" applyBorder="1" applyAlignment="1">
      <alignment horizontal="center"/>
    </xf>
    <xf numFmtId="7" fontId="1" fillId="0" borderId="6" xfId="0" applyNumberFormat="1" applyFont="1" applyBorder="1" applyAlignment="1">
      <alignment horizontal="center"/>
    </xf>
    <xf numFmtId="0" fontId="2" fillId="3" borderId="0" xfId="0" applyFont="1" applyFill="1"/>
    <xf numFmtId="0" fontId="1" fillId="3" borderId="0" xfId="0" applyFont="1" applyFill="1"/>
    <xf numFmtId="0" fontId="1" fillId="4" borderId="18" xfId="0" applyFont="1" applyFill="1" applyBorder="1"/>
    <xf numFmtId="0" fontId="1" fillId="0" borderId="19" xfId="0" applyFont="1" applyBorder="1"/>
    <xf numFmtId="0" fontId="1" fillId="0" borderId="20" xfId="0" applyFont="1" applyBorder="1"/>
    <xf numFmtId="0" fontId="0" fillId="5" borderId="0" xfId="0" applyFill="1"/>
    <xf numFmtId="0" fontId="1" fillId="0" borderId="0" xfId="0" applyFont="1" applyBorder="1" applyAlignment="1">
      <alignment horizontal="center" vertical="center"/>
    </xf>
    <xf numFmtId="4" fontId="1" fillId="0" borderId="19" xfId="0" applyNumberFormat="1" applyFont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4" fontId="1" fillId="0" borderId="20" xfId="0" applyNumberFormat="1" applyFont="1" applyBorder="1" applyAlignment="1">
      <alignment horizontal="center"/>
    </xf>
    <xf numFmtId="0" fontId="1" fillId="0" borderId="18" xfId="0" applyFont="1" applyBorder="1"/>
    <xf numFmtId="0" fontId="0" fillId="0" borderId="0" xfId="0"/>
    <xf numFmtId="0" fontId="1" fillId="0" borderId="0" xfId="0" applyFont="1"/>
    <xf numFmtId="0" fontId="1" fillId="2" borderId="18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/>
    <xf numFmtId="0" fontId="1" fillId="2" borderId="3" xfId="0" applyFont="1" applyFill="1" applyBorder="1" applyAlignment="1">
      <alignment horizontal="center"/>
    </xf>
    <xf numFmtId="0" fontId="3" fillId="6" borderId="5" xfId="0" applyFont="1" applyFill="1" applyBorder="1"/>
    <xf numFmtId="0" fontId="4" fillId="0" borderId="24" xfId="0" applyFont="1" applyBorder="1"/>
    <xf numFmtId="0" fontId="4" fillId="0" borderId="25" xfId="0" applyFont="1" applyBorder="1"/>
    <xf numFmtId="0" fontId="1" fillId="0" borderId="26" xfId="0" applyFont="1" applyBorder="1"/>
    <xf numFmtId="0" fontId="0" fillId="0" borderId="12" xfId="0" applyBorder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4" xfId="0" applyBorder="1"/>
    <xf numFmtId="0" fontId="0" fillId="0" borderId="0" xfId="0"/>
    <xf numFmtId="0" fontId="0" fillId="0" borderId="1" xfId="0" applyBorder="1"/>
    <xf numFmtId="0" fontId="0" fillId="0" borderId="2" xfId="0" applyBorder="1"/>
  </cellXfs>
  <cellStyles count="1">
    <cellStyle name="Normal" xfId="0" builtinId="0"/>
  </cellStyles>
  <dxfs count="64">
    <dxf>
      <font>
        <b/>
        <i val="0"/>
        <color rgb="FF92D050"/>
      </font>
      <fill>
        <patternFill>
          <bgColor theme="1"/>
        </patternFill>
      </fill>
    </dxf>
    <dxf>
      <font>
        <b/>
        <i val="0"/>
        <color rgb="FF92D050"/>
      </font>
      <fill>
        <patternFill>
          <bgColor theme="1"/>
        </patternFill>
      </fill>
    </dxf>
    <dxf>
      <font>
        <b/>
        <i val="0"/>
        <color theme="5" tint="-0.499984740745262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color rgb="FF92D050"/>
      </font>
      <fill>
        <patternFill patternType="solid">
          <bgColor theme="1"/>
        </patternFill>
      </fill>
    </dxf>
    <dxf>
      <font>
        <b/>
        <i val="0"/>
        <color theme="5" tint="-0.499984740745262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  <color rgb="FF92D050"/>
      </font>
      <fill>
        <patternFill>
          <bgColor theme="1"/>
        </patternFill>
      </fill>
    </dxf>
    <dxf>
      <font>
        <b/>
        <i val="0"/>
        <color theme="5" tint="-0.499984740745262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92D050"/>
      </font>
      <fill>
        <patternFill>
          <bgColor theme="1"/>
        </patternFill>
      </fill>
    </dxf>
    <dxf>
      <font>
        <b/>
        <i val="0"/>
        <color theme="5" tint="-0.499984740745262"/>
      </font>
      <fill>
        <patternFill>
          <bgColor theme="6" tint="0.39994506668294322"/>
        </patternFill>
      </fill>
    </dxf>
    <dxf>
      <font>
        <b/>
        <i val="0"/>
        <color theme="5" tint="-0.499984740745262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92D050"/>
      </font>
      <fill>
        <patternFill>
          <bgColor theme="1"/>
        </patternFill>
      </fill>
    </dxf>
    <dxf>
      <font>
        <b/>
        <i val="0"/>
        <color rgb="FF92D050"/>
      </font>
      <fill>
        <patternFill>
          <bgColor theme="1"/>
        </patternFill>
      </fill>
    </dxf>
    <dxf>
      <font>
        <b/>
        <i val="0"/>
        <color rgb="FF92D050"/>
      </font>
      <fill>
        <patternFill>
          <bgColor theme="1"/>
        </patternFill>
      </fill>
    </dxf>
    <dxf>
      <font>
        <b/>
        <i val="0"/>
        <color theme="5" tint="-0.499984740745262"/>
      </font>
      <fill>
        <patternFill>
          <bgColor theme="6" tint="0.39994506668294322"/>
        </patternFill>
      </fill>
    </dxf>
    <dxf>
      <font>
        <b/>
        <i val="0"/>
        <color rgb="FF92D050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auto="1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92D050"/>
      </font>
      <fill>
        <patternFill>
          <bgColor theme="1"/>
        </patternFill>
      </fill>
    </dxf>
    <dxf>
      <font>
        <b/>
        <i val="0"/>
        <color theme="5" tint="-0.499984740745262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  <color rgb="FF92D050"/>
      </font>
      <fill>
        <patternFill>
          <bgColor theme="1"/>
        </patternFill>
      </fill>
    </dxf>
    <dxf>
      <font>
        <b/>
        <i val="0"/>
        <color rgb="FF92D050"/>
      </font>
      <fill>
        <patternFill>
          <bgColor theme="1"/>
        </patternFill>
      </fill>
    </dxf>
    <dxf>
      <font>
        <b/>
        <i val="0"/>
        <color rgb="FF92D050"/>
      </font>
      <fill>
        <patternFill>
          <bgColor theme="1"/>
        </patternFill>
      </fill>
    </dxf>
    <dxf>
      <font>
        <b/>
        <i val="0"/>
        <color rgb="FF92D050"/>
      </font>
      <fill>
        <patternFill>
          <bgColor theme="1"/>
        </patternFill>
      </fill>
    </dxf>
    <dxf>
      <font>
        <b/>
        <i val="0"/>
        <color theme="5" tint="-0.499984740745262"/>
      </font>
      <fill>
        <patternFill>
          <bgColor theme="6" tint="0.39994506668294322"/>
        </patternFill>
      </fill>
    </dxf>
    <dxf>
      <font>
        <b/>
        <i val="0"/>
        <color rgb="FF92D050"/>
      </font>
      <fill>
        <patternFill>
          <bgColor theme="1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92D050"/>
      </font>
      <fill>
        <patternFill>
          <bgColor theme="1"/>
        </patternFill>
      </fill>
    </dxf>
    <dxf>
      <font>
        <b/>
        <i val="0"/>
        <color rgb="FF92D050"/>
      </font>
      <fill>
        <patternFill>
          <bgColor theme="1"/>
        </patternFill>
      </fill>
    </dxf>
    <dxf>
      <font>
        <b/>
        <i val="0"/>
        <color theme="5" tint="-0.499984740745262"/>
      </font>
      <fill>
        <patternFill>
          <bgColor theme="0" tint="-0.34998626667073579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  <color rgb="FF92D050"/>
      </font>
      <fill>
        <patternFill patternType="solid">
          <bgColor theme="1"/>
        </patternFill>
      </fill>
    </dxf>
    <dxf>
      <font>
        <b/>
        <i val="0"/>
        <color rgb="FF92D050"/>
      </font>
      <fill>
        <patternFill>
          <bgColor theme="1"/>
        </patternFill>
      </fill>
    </dxf>
    <dxf>
      <font>
        <b/>
        <i val="0"/>
        <color rgb="FF92D050"/>
      </font>
      <fill>
        <patternFill>
          <bgColor theme="1"/>
        </patternFill>
      </fill>
    </dxf>
    <dxf>
      <font>
        <b/>
        <i val="0"/>
        <color theme="5" tint="-0.499984740745262"/>
      </font>
      <fill>
        <patternFill>
          <bgColor theme="6" tint="0.39994506668294322"/>
        </patternFill>
      </fill>
    </dxf>
    <dxf>
      <font>
        <b/>
        <i val="0"/>
      </font>
      <fill>
        <patternFill>
          <fgColor auto="1"/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55AA7-EE26-4F37-A6C1-E81F63E5B11F}">
  <sheetPr codeName="Sheet1"/>
  <dimension ref="A1:BD184"/>
  <sheetViews>
    <sheetView showGridLines="0" topLeftCell="H1" zoomScale="60" zoomScaleNormal="60" workbookViewId="0">
      <selection activeCell="K13" sqref="K13:K117"/>
    </sheetView>
  </sheetViews>
  <sheetFormatPr defaultRowHeight="14.5" x14ac:dyDescent="0.35"/>
  <cols>
    <col min="1" max="1" width="10.81640625" bestFit="1" customWidth="1"/>
    <col min="2" max="2" width="51.36328125" bestFit="1" customWidth="1"/>
    <col min="3" max="3" width="30.1796875" bestFit="1" customWidth="1"/>
    <col min="4" max="4" width="15.6328125" bestFit="1" customWidth="1"/>
    <col min="5" max="5" width="41" customWidth="1"/>
    <col min="6" max="6" width="8.36328125" bestFit="1" customWidth="1"/>
    <col min="7" max="7" width="12.453125" bestFit="1" customWidth="1"/>
    <col min="8" max="8" width="17.26953125" bestFit="1" customWidth="1"/>
    <col min="9" max="9" width="28.36328125" bestFit="1" customWidth="1"/>
    <col min="10" max="10" width="18.90625" bestFit="1" customWidth="1"/>
    <col min="11" max="11" width="127.453125" bestFit="1" customWidth="1"/>
    <col min="51" max="51" width="51.36328125" bestFit="1" customWidth="1"/>
    <col min="55" max="55" width="12.6328125" bestFit="1" customWidth="1"/>
  </cols>
  <sheetData>
    <row r="1" spans="1:56" x14ac:dyDescent="0.35">
      <c r="AG1" s="84" t="s">
        <v>0</v>
      </c>
      <c r="AH1" s="85"/>
      <c r="AI1" s="85"/>
      <c r="AJ1" s="85"/>
      <c r="AK1" s="85"/>
      <c r="AL1" s="16"/>
      <c r="AM1" s="16"/>
      <c r="AN1" s="17"/>
    </row>
    <row r="2" spans="1:56" x14ac:dyDescent="0.35">
      <c r="AG2" s="20"/>
      <c r="AH2" s="18"/>
      <c r="AI2" s="18"/>
      <c r="AJ2" s="18"/>
      <c r="AK2" s="18"/>
      <c r="AL2" s="18"/>
      <c r="AM2" s="18"/>
      <c r="AN2" s="19"/>
    </row>
    <row r="3" spans="1:56" ht="15" thickBot="1" x14ac:dyDescent="0.4">
      <c r="D3" s="61" t="s">
        <v>863</v>
      </c>
      <c r="E3" s="61"/>
      <c r="F3" s="61"/>
      <c r="H3" s="65" t="s">
        <v>869</v>
      </c>
      <c r="I3" s="65"/>
      <c r="J3" s="65"/>
      <c r="AG3" s="20"/>
      <c r="AH3" s="18"/>
      <c r="AI3" s="18"/>
      <c r="AJ3" s="18"/>
      <c r="AK3" s="18"/>
      <c r="AL3" s="18"/>
      <c r="AM3" s="18"/>
      <c r="AN3" s="19"/>
    </row>
    <row r="4" spans="1:56" ht="15.5" thickTop="1" thickBot="1" x14ac:dyDescent="0.4">
      <c r="D4" s="62" t="s">
        <v>864</v>
      </c>
      <c r="E4" s="62" t="s">
        <v>865</v>
      </c>
      <c r="F4" s="62" t="s">
        <v>866</v>
      </c>
      <c r="H4" s="62" t="s">
        <v>864</v>
      </c>
      <c r="I4" s="62" t="s">
        <v>865</v>
      </c>
      <c r="J4" s="62" t="s">
        <v>866</v>
      </c>
      <c r="AG4" s="20"/>
      <c r="AH4" s="18"/>
      <c r="AI4" s="18"/>
      <c r="AJ4" s="18"/>
      <c r="AK4" s="18"/>
      <c r="AL4" s="18"/>
      <c r="AM4" s="18"/>
      <c r="AN4" s="19"/>
    </row>
    <row r="5" spans="1:56" ht="15" thickTop="1" x14ac:dyDescent="0.35">
      <c r="D5" s="70" t="str">
        <f>INDEX($A$13:$A$300, MATCH(F5, $H$13:$H$300, 0))</f>
        <v>STA00183</v>
      </c>
      <c r="E5" s="70" t="str">
        <f>INDEX($B$13:$B$300, MATCH(F5, $H$13:$H$300, 0))</f>
        <v>STICKER TANGGAL EXP WATERPROOF@500PCS</v>
      </c>
      <c r="F5" s="70">
        <f>LARGE($H$13:$H$300, ROW(A1))</f>
        <v>100</v>
      </c>
      <c r="H5" s="63" t="str" cm="1">
        <f t="array" ref="H5">INDEX($A$13:$A$300, SMALL(IF($H$13:$H$300=J5, ROW($H$13:$H$300)-ROW($H$13)+1), COUNTIF($J$5:J5, J5)))</f>
        <v>MKT00032</v>
      </c>
      <c r="I5" s="63" t="str" cm="1">
        <f t="array" ref="I5">INDEX($B$12:$B$100, SMALL(IF($H$12:$H$100=J5, ROW($H$12:$H$100)-ROW($H$12)+1), COUNTIF($J$5:J5, J5)))</f>
        <v>FLYER A5</v>
      </c>
      <c r="J5" s="63">
        <f>SMALL($H$12:$H$100, ROW(A1))</f>
        <v>-819</v>
      </c>
      <c r="AG5" s="20"/>
      <c r="AH5" s="18"/>
      <c r="AI5" s="18"/>
      <c r="AJ5" s="18"/>
      <c r="AK5" s="18"/>
      <c r="AL5" s="18"/>
      <c r="AM5" s="18"/>
      <c r="AN5" s="19"/>
    </row>
    <row r="6" spans="1:56" x14ac:dyDescent="0.35">
      <c r="D6" s="63" t="str">
        <f t="shared" ref="D6:D9" si="0">INDEX($A$13:$A$300, MATCH(F6, $H$13:$H$300, 0))</f>
        <v>NCGK0007</v>
      </c>
      <c r="E6" s="63" t="str">
        <f t="shared" ref="E6:E9" si="1">INDEX($B$13:$B$300, MATCH(F6, $H$13:$H$300, 0))</f>
        <v>GAS BUTANE PORTABLE PURITY 230G @24 CAN</v>
      </c>
      <c r="F6" s="63">
        <f t="shared" ref="F6:F9" si="2">LARGE($H$13:$H$300, ROW(A2))</f>
        <v>32</v>
      </c>
      <c r="H6" s="63" t="str" cm="1">
        <f t="array" ref="H6">INDEX($A$12:$A$100, SMALL(IF($H$12:$H$100=J6, ROW($H$12:$H$100)-ROW($H$12)+1), COUNTIF($J$5:J6, J6)))</f>
        <v>OTH00064</v>
      </c>
      <c r="I6" s="63" t="str" cm="1">
        <f t="array" ref="I6">INDEX($B$12:$B$100, SMALL(IF($H$12:$H$100=J6, ROW($H$12:$H$100)-ROW($H$12)+1), COUNTIF($J$5:J6, J6)))</f>
        <v>LILIN MEJA / TEALIGHT</v>
      </c>
      <c r="J6" s="63">
        <f t="shared" ref="J6:J9" si="3">SMALL($H$12:$H$100, ROW(A2))</f>
        <v>-13</v>
      </c>
      <c r="AG6" s="20"/>
      <c r="AH6" s="18"/>
      <c r="AI6" s="18"/>
      <c r="AJ6" s="18"/>
      <c r="AK6" s="18"/>
      <c r="AL6" s="18"/>
      <c r="AM6" s="18"/>
      <c r="AN6" s="19"/>
    </row>
    <row r="7" spans="1:56" x14ac:dyDescent="0.35">
      <c r="D7" s="63" t="str">
        <f t="shared" si="0"/>
        <v>NCGS0001</v>
      </c>
      <c r="E7" s="63" t="str">
        <f t="shared" si="1"/>
        <v>TISSUE COCKTAIL NAPKIN 11x11 (48 PACK)</v>
      </c>
      <c r="F7" s="63">
        <f t="shared" si="2"/>
        <v>25</v>
      </c>
      <c r="H7" s="63" t="str" cm="1">
        <f t="array" ref="H7">INDEX($A$12:$A$100, SMALL(IF($H$12:$H$100=J7, ROW($H$12:$H$100)-ROW($H$12)+1), COUNTIF($J$5:J7, J7)))</f>
        <v>CETS0007</v>
      </c>
      <c r="I7" s="63" t="str" cm="1">
        <f t="array" ref="I7">INDEX($B$12:$B$100, SMALL(IF($H$12:$H$100=J7, ROW($H$12:$H$100)-ROW($H$12)+1), COUNTIF($J$5:J7, J7)))</f>
        <v>SIKAT KUKU/MINI BRUSH FINGER</v>
      </c>
      <c r="J7" s="63">
        <f t="shared" si="3"/>
        <v>-5</v>
      </c>
      <c r="AG7" s="20"/>
      <c r="AH7" s="18"/>
      <c r="AI7" s="18"/>
      <c r="AJ7" s="18"/>
      <c r="AK7" s="18"/>
      <c r="AL7" s="18"/>
      <c r="AM7" s="18"/>
      <c r="AN7" s="19"/>
    </row>
    <row r="8" spans="1:56" x14ac:dyDescent="0.35">
      <c r="D8" s="63" t="str">
        <f t="shared" si="0"/>
        <v>STA00080</v>
      </c>
      <c r="E8" s="63" t="str">
        <f t="shared" si="1"/>
        <v>KERTAS THERMAL 80 X 80</v>
      </c>
      <c r="F8" s="63">
        <f t="shared" si="2"/>
        <v>23</v>
      </c>
      <c r="H8" s="63" t="str" cm="1">
        <f t="array" ref="H8">INDEX($A$12:$A$100, SMALL(IF($H$12:$H$100=J8, ROW($H$12:$H$100)-ROW($H$12)+1), COUNTIF($J$5:J8, J8)))</f>
        <v>NCGK0012</v>
      </c>
      <c r="I8" s="63" t="str" cm="1">
        <f t="array" ref="I8">INDEX($B$12:$B$100, SMALL(IF($H$12:$H$100=J8, ROW($H$12:$H$100)-ROW($H$12)+1), COUNTIF($J$5:J8, J8)))</f>
        <v>HAND GLOVES NITRILE SIZE L</v>
      </c>
      <c r="J8" s="63">
        <f t="shared" si="3"/>
        <v>-5</v>
      </c>
      <c r="AG8" s="20"/>
      <c r="AH8" s="18"/>
      <c r="AI8" s="18"/>
      <c r="AJ8" s="18"/>
      <c r="AK8" s="18"/>
      <c r="AL8" s="18"/>
      <c r="AM8" s="18"/>
      <c r="AN8" s="19"/>
    </row>
    <row r="9" spans="1:56" ht="15" thickBot="1" x14ac:dyDescent="0.4">
      <c r="D9" s="64" t="str">
        <f t="shared" si="0"/>
        <v>OTH00121</v>
      </c>
      <c r="E9" s="64" t="str">
        <f t="shared" si="1"/>
        <v>KARDUS ROKOK</v>
      </c>
      <c r="F9" s="64">
        <f t="shared" si="2"/>
        <v>18</v>
      </c>
      <c r="H9" s="64" t="str" cm="1">
        <f t="array" ref="H9">INDEX($A$12:$A$100, SMALL(IF($H$12:$H$100=J9, ROW($H$12:$H$100)-ROW($H$12)+1), COUNTIF($J$5:J9, J9)))</f>
        <v>STA00092</v>
      </c>
      <c r="I9" s="64" t="str" cm="1">
        <f t="array" ref="I9">INDEX($B$12:$B$100, SMALL(IF($H$12:$H$100=J9, ROW($H$12:$H$100)-ROW($H$12)+1), COUNTIF($J$5:J9, J9)))</f>
        <v>BUKU KAS (EKSPEDISI)</v>
      </c>
      <c r="J9" s="64">
        <f t="shared" si="3"/>
        <v>-4</v>
      </c>
      <c r="AG9" s="20"/>
      <c r="AH9" s="18"/>
      <c r="AI9" s="18"/>
      <c r="AJ9" s="18"/>
      <c r="AK9" s="18"/>
      <c r="AL9" s="18"/>
      <c r="AM9" s="18"/>
      <c r="AN9" s="19"/>
    </row>
    <row r="10" spans="1:56" ht="21.5" thickTop="1" x14ac:dyDescent="0.5">
      <c r="B10" s="14" t="s">
        <v>839</v>
      </c>
      <c r="O10" s="88" t="s">
        <v>0</v>
      </c>
      <c r="P10" s="89"/>
      <c r="Q10" s="89"/>
      <c r="R10" s="89"/>
      <c r="S10" s="89"/>
      <c r="T10" s="1"/>
      <c r="U10" s="1"/>
      <c r="V10" s="2"/>
      <c r="AG10" s="20"/>
      <c r="AH10" s="18"/>
      <c r="AI10" s="18"/>
      <c r="AJ10" s="18"/>
      <c r="AK10" s="18"/>
      <c r="AL10" s="18"/>
      <c r="AM10" s="18"/>
      <c r="AN10" s="19"/>
    </row>
    <row r="11" spans="1:56" ht="15" thickBot="1" x14ac:dyDescent="0.4">
      <c r="O11" s="3"/>
      <c r="V11" s="4"/>
      <c r="AG11" s="82" t="s">
        <v>10</v>
      </c>
      <c r="AH11" s="83" t="s">
        <v>11</v>
      </c>
      <c r="AI11" s="18" t="s">
        <v>210</v>
      </c>
      <c r="AJ11" s="18"/>
      <c r="AK11" s="18"/>
      <c r="AL11" s="18"/>
      <c r="AM11" s="18"/>
      <c r="AN11" s="19"/>
    </row>
    <row r="12" spans="1:56" ht="34.5" customHeight="1" thickTop="1" thickBot="1" x14ac:dyDescent="0.4">
      <c r="A12" s="33" t="s">
        <v>200</v>
      </c>
      <c r="B12" s="34" t="s">
        <v>201</v>
      </c>
      <c r="C12" s="34" t="s">
        <v>202</v>
      </c>
      <c r="D12" s="34" t="s">
        <v>203</v>
      </c>
      <c r="E12" s="34" t="s">
        <v>204</v>
      </c>
      <c r="F12" s="35" t="s">
        <v>206</v>
      </c>
      <c r="G12" s="35" t="s">
        <v>470</v>
      </c>
      <c r="H12" s="35" t="s">
        <v>207</v>
      </c>
      <c r="I12" s="34" t="s">
        <v>208</v>
      </c>
      <c r="J12" s="34" t="s">
        <v>209</v>
      </c>
      <c r="K12" s="36" t="s">
        <v>861</v>
      </c>
      <c r="O12" s="86" t="s">
        <v>1</v>
      </c>
      <c r="P12" s="87"/>
      <c r="Q12" s="87"/>
      <c r="R12" s="87"/>
      <c r="S12" s="87"/>
      <c r="V12" s="4"/>
      <c r="X12" s="7" t="s">
        <v>2</v>
      </c>
      <c r="Y12" s="1" t="s">
        <v>3</v>
      </c>
      <c r="Z12" s="1" t="s">
        <v>4</v>
      </c>
      <c r="AA12" s="8">
        <v>2</v>
      </c>
      <c r="AB12" s="1" t="s">
        <v>5</v>
      </c>
      <c r="AC12" s="8">
        <v>21000</v>
      </c>
      <c r="AD12" s="2">
        <v>42000</v>
      </c>
      <c r="AG12" s="82" t="s">
        <v>16</v>
      </c>
      <c r="AH12" s="83" t="s">
        <v>11</v>
      </c>
      <c r="AI12" s="18" t="s">
        <v>211</v>
      </c>
      <c r="AJ12" s="18"/>
      <c r="AK12" s="18"/>
      <c r="AL12" s="18"/>
      <c r="AM12" s="18"/>
      <c r="AN12" s="19"/>
      <c r="AP12" s="25" t="s">
        <v>214</v>
      </c>
      <c r="AQ12" s="16" t="s">
        <v>215</v>
      </c>
      <c r="AR12" s="16" t="s">
        <v>4</v>
      </c>
      <c r="AS12" s="26">
        <v>1</v>
      </c>
      <c r="AT12" s="16" t="s">
        <v>216</v>
      </c>
      <c r="AU12" s="26">
        <v>44547.222199999997</v>
      </c>
      <c r="AV12" s="17">
        <v>44547.222199999997</v>
      </c>
      <c r="AX12" s="25" t="s">
        <v>214</v>
      </c>
      <c r="AY12" s="16" t="s">
        <v>215</v>
      </c>
      <c r="AZ12" s="16" t="s">
        <v>4</v>
      </c>
      <c r="BA12" s="26">
        <v>1</v>
      </c>
      <c r="BB12" s="16" t="s">
        <v>216</v>
      </c>
      <c r="BC12" s="26">
        <v>44547.222199999997</v>
      </c>
      <c r="BD12" s="17">
        <v>44547.222199999997</v>
      </c>
    </row>
    <row r="13" spans="1:56" ht="15" thickTop="1" x14ac:dyDescent="0.35">
      <c r="A13" s="38" t="str" cm="1">
        <f t="array" ref="A13:A117">_xlfn.UNIQUE(_xlfn._xlws.FILTER(AX12:AX307, AX12:AX307 &lt;&gt; ""))</f>
        <v>CECM0001</v>
      </c>
      <c r="B13" s="31" t="str">
        <f>_xlfn.XLOOKUP(A13, AX$12:AX$307, AY$12:AY$307, "", 0)</f>
        <v>XYZ KARBOL PINUS 5 L</v>
      </c>
      <c r="C13" s="31" t="str">
        <f>_xlfn.XLOOKUP(A13, AX$12:AX$307, AZ$12:AZ$307, "", 0)</f>
        <v>CLEANING CHEMICAL</v>
      </c>
      <c r="D13" s="39" t="str">
        <f>_xlfn.XLOOKUP(A13, AX$12:AX$307, BB$12:BB$307, "", 0)</f>
        <v>btl</v>
      </c>
      <c r="E13" s="47">
        <f>ROUND(_xlfn.XLOOKUP(A13, AX$12:AX$307, BC$12:BC$307, "", 0),2)</f>
        <v>44547.22</v>
      </c>
      <c r="F13" s="48" t="str">
        <f>_xlfn.XLOOKUP(A13, X$12:X$307, AA$12:AA$307, "0", 0)</f>
        <v>0</v>
      </c>
      <c r="G13" s="48">
        <f>_xlfn.XLOOKUP(A13, AP$12:AP$307, AS$12:AS$307, "0", 0)</f>
        <v>1</v>
      </c>
      <c r="H13" s="48">
        <f>G13-F13</f>
        <v>1</v>
      </c>
      <c r="I13" s="40">
        <f>H13*E13</f>
        <v>44547.22</v>
      </c>
      <c r="J13" s="31" t="str">
        <f>CHOOSE(SIGN(G13 - F13) + 2, "Penurunan IU", "Tidak Ada Perubahan", "Kenaikan IU")</f>
        <v>Kenaikan IU</v>
      </c>
      <c r="K13" s="78" t="s">
        <v>948</v>
      </c>
      <c r="O13" s="3"/>
      <c r="Q13" s="9" t="s">
        <v>6</v>
      </c>
      <c r="V13" s="4"/>
      <c r="X13" s="3" t="s">
        <v>7</v>
      </c>
      <c r="Y13" t="s">
        <v>8</v>
      </c>
      <c r="Z13" t="s">
        <v>4</v>
      </c>
      <c r="AA13" s="10">
        <v>2</v>
      </c>
      <c r="AB13" t="s">
        <v>9</v>
      </c>
      <c r="AC13" s="10">
        <v>133200</v>
      </c>
      <c r="AD13" s="4">
        <v>266400</v>
      </c>
      <c r="AG13" s="82" t="s">
        <v>21</v>
      </c>
      <c r="AH13" s="83" t="s">
        <v>11</v>
      </c>
      <c r="AI13" s="18" t="s">
        <v>22</v>
      </c>
      <c r="AJ13" s="18"/>
      <c r="AK13" s="18"/>
      <c r="AL13" s="18"/>
      <c r="AM13" s="18"/>
      <c r="AN13" s="19"/>
      <c r="AP13" s="20" t="s">
        <v>2</v>
      </c>
      <c r="AQ13" s="18" t="s">
        <v>3</v>
      </c>
      <c r="AR13" s="18" t="s">
        <v>4</v>
      </c>
      <c r="AS13" s="21">
        <v>0.3</v>
      </c>
      <c r="AT13" s="18" t="s">
        <v>5</v>
      </c>
      <c r="AU13" s="21">
        <v>21000</v>
      </c>
      <c r="AV13" s="19">
        <v>6300</v>
      </c>
      <c r="AX13" s="20" t="s">
        <v>2</v>
      </c>
      <c r="AY13" s="18" t="s">
        <v>3</v>
      </c>
      <c r="AZ13" s="18" t="s">
        <v>4</v>
      </c>
      <c r="BA13" s="21">
        <v>0.3</v>
      </c>
      <c r="BB13" s="18" t="s">
        <v>5</v>
      </c>
      <c r="BC13" s="21">
        <v>21000</v>
      </c>
      <c r="BD13" s="19">
        <v>6300</v>
      </c>
    </row>
    <row r="14" spans="1:56" x14ac:dyDescent="0.35">
      <c r="A14" s="38" t="str">
        <v>CECM00013</v>
      </c>
      <c r="B14" s="31" t="str">
        <f t="shared" ref="B14:B77" si="4">_xlfn.XLOOKUP(A14, AX$12:AX$307, AY$12:AY$307, "", 0)</f>
        <v>DAIA 800 GR</v>
      </c>
      <c r="C14" s="31" t="str">
        <f>_xlfn.XLOOKUP(A14, AX$12:AX$307, AZ$12:AZ$307, "", 0)</f>
        <v>CLEANING CHEMICAL</v>
      </c>
      <c r="D14" s="39" t="str">
        <f t="shared" ref="D14:D77" si="5">_xlfn.XLOOKUP(A14, AX$12:AX$307, BB$12:BB$307, "", 0)</f>
        <v>pack</v>
      </c>
      <c r="E14" s="47">
        <f t="shared" ref="E14:E77" si="6">ROUND(_xlfn.XLOOKUP(A14, AX$12:AX$307, BC$12:BC$307, "", 0),2)</f>
        <v>21000</v>
      </c>
      <c r="F14" s="48">
        <f t="shared" ref="F14:F77" si="7">_xlfn.XLOOKUP(A14, X$12:X$307, AA$12:AA$307, "0", 0)</f>
        <v>2</v>
      </c>
      <c r="G14" s="48">
        <f t="shared" ref="G14:G77" si="8">_xlfn.XLOOKUP(A14, AP$12:AP$307, AS$12:AS$307, "0", 0)</f>
        <v>0.3</v>
      </c>
      <c r="H14" s="48">
        <f t="shared" ref="H14:H77" si="9">G14-F14</f>
        <v>-1.7</v>
      </c>
      <c r="I14" s="40">
        <f t="shared" ref="I14:I77" si="10">H14*E14</f>
        <v>-35700</v>
      </c>
      <c r="J14" s="31" t="str">
        <f>CHOOSE(SIGN(G14 - F14) + 2, "Penurunan IU", "Tidak Ada Perubahan", "Kenaikan IU")</f>
        <v>Penurunan IU</v>
      </c>
      <c r="K14" s="42" t="s">
        <v>949</v>
      </c>
      <c r="O14" s="86" t="s">
        <v>10</v>
      </c>
      <c r="P14" s="87" t="s">
        <v>11</v>
      </c>
      <c r="Q14" t="s">
        <v>12</v>
      </c>
      <c r="V14" s="4"/>
      <c r="X14" s="3" t="s">
        <v>13</v>
      </c>
      <c r="Y14" t="s">
        <v>14</v>
      </c>
      <c r="Z14" t="s">
        <v>4</v>
      </c>
      <c r="AA14" s="10">
        <v>0.04</v>
      </c>
      <c r="AB14" t="s">
        <v>15</v>
      </c>
      <c r="AC14" s="10">
        <v>77700</v>
      </c>
      <c r="AD14" s="4">
        <v>3108</v>
      </c>
      <c r="AG14" s="82" t="s">
        <v>26</v>
      </c>
      <c r="AH14" s="83" t="s">
        <v>11</v>
      </c>
      <c r="AI14" s="18" t="s">
        <v>212</v>
      </c>
      <c r="AJ14" s="18"/>
      <c r="AK14" s="18"/>
      <c r="AL14" s="18"/>
      <c r="AM14" s="18"/>
      <c r="AN14" s="19"/>
      <c r="AP14" s="20" t="s">
        <v>217</v>
      </c>
      <c r="AQ14" s="18" t="s">
        <v>218</v>
      </c>
      <c r="AR14" s="18" t="s">
        <v>4</v>
      </c>
      <c r="AS14" s="21">
        <v>0.22</v>
      </c>
      <c r="AT14" s="18" t="s">
        <v>9</v>
      </c>
      <c r="AU14" s="21">
        <v>55128.523800000003</v>
      </c>
      <c r="AV14" s="19">
        <v>12128.275235999999</v>
      </c>
      <c r="AX14" s="20" t="s">
        <v>217</v>
      </c>
      <c r="AY14" s="18" t="s">
        <v>218</v>
      </c>
      <c r="AZ14" s="18" t="s">
        <v>4</v>
      </c>
      <c r="BA14" s="21">
        <v>0.22</v>
      </c>
      <c r="BB14" s="18" t="s">
        <v>9</v>
      </c>
      <c r="BC14" s="21">
        <v>55128.523800000003</v>
      </c>
      <c r="BD14" s="19">
        <v>12128.275235999999</v>
      </c>
    </row>
    <row r="15" spans="1:56" x14ac:dyDescent="0.35">
      <c r="A15" s="38" t="str">
        <v>CECM0005</v>
      </c>
      <c r="B15" s="31" t="str">
        <f>_xlfn.XLOOKUP(A15, AX$12:AX$307, AY$12:AY$307, "", 0)</f>
        <v>XYZ GLASS CLEANER 5 LTR</v>
      </c>
      <c r="C15" s="31" t="str">
        <f t="shared" ref="C15:C77" si="11">_xlfn.XLOOKUP(A15, AX$12:AX$307, AZ$12:AZ$307, "", 0)</f>
        <v>CLEANING CHEMICAL</v>
      </c>
      <c r="D15" s="39" t="str">
        <f t="shared" si="5"/>
        <v>gln</v>
      </c>
      <c r="E15" s="47">
        <f t="shared" si="6"/>
        <v>55128.52</v>
      </c>
      <c r="F15" s="48" t="str">
        <f t="shared" si="7"/>
        <v>0</v>
      </c>
      <c r="G15" s="48">
        <f t="shared" si="8"/>
        <v>0.22</v>
      </c>
      <c r="H15" s="48">
        <f t="shared" si="9"/>
        <v>0.22</v>
      </c>
      <c r="I15" s="40">
        <f t="shared" si="10"/>
        <v>12128.2744</v>
      </c>
      <c r="J15" s="31" t="str">
        <f t="shared" ref="J15:J77" si="12">CHOOSE(SIGN(G15 - F15) + 2, "Penurunan IU", "Tidak Ada Perubahan", "Kenaikan IU")</f>
        <v>Kenaikan IU</v>
      </c>
      <c r="K15" s="42" t="s">
        <v>950</v>
      </c>
      <c r="O15" s="86" t="s">
        <v>16</v>
      </c>
      <c r="P15" s="87" t="s">
        <v>11</v>
      </c>
      <c r="Q15" t="s">
        <v>17</v>
      </c>
      <c r="V15" s="4"/>
      <c r="X15" s="3" t="s">
        <v>18</v>
      </c>
      <c r="Y15" t="s">
        <v>19</v>
      </c>
      <c r="Z15" t="s">
        <v>4</v>
      </c>
      <c r="AA15" s="10">
        <v>0.2</v>
      </c>
      <c r="AB15" t="s">
        <v>20</v>
      </c>
      <c r="AC15" s="10">
        <v>151400</v>
      </c>
      <c r="AD15" s="4">
        <v>30280</v>
      </c>
      <c r="AG15" s="82" t="s">
        <v>31</v>
      </c>
      <c r="AH15" s="83" t="s">
        <v>11</v>
      </c>
      <c r="AI15" s="18" t="s">
        <v>32</v>
      </c>
      <c r="AJ15" s="18"/>
      <c r="AK15" s="18"/>
      <c r="AL15" s="18"/>
      <c r="AM15" s="18"/>
      <c r="AN15" s="19"/>
      <c r="AP15" s="20" t="s">
        <v>7</v>
      </c>
      <c r="AQ15" s="18" t="s">
        <v>8</v>
      </c>
      <c r="AR15" s="18" t="s">
        <v>4</v>
      </c>
      <c r="AS15" s="21">
        <v>0.45</v>
      </c>
      <c r="AT15" s="18" t="s">
        <v>9</v>
      </c>
      <c r="AU15" s="21">
        <v>133200</v>
      </c>
      <c r="AV15" s="19">
        <v>59940</v>
      </c>
      <c r="AX15" s="20" t="s">
        <v>7</v>
      </c>
      <c r="AY15" s="18" t="s">
        <v>8</v>
      </c>
      <c r="AZ15" s="18" t="s">
        <v>4</v>
      </c>
      <c r="BA15" s="21">
        <v>0.45</v>
      </c>
      <c r="BB15" s="18" t="s">
        <v>9</v>
      </c>
      <c r="BC15" s="21">
        <v>133200</v>
      </c>
      <c r="BD15" s="19">
        <v>59940</v>
      </c>
    </row>
    <row r="16" spans="1:56" x14ac:dyDescent="0.35">
      <c r="A16" s="38" t="str">
        <v>CECM0006</v>
      </c>
      <c r="B16" s="31" t="str">
        <f t="shared" si="4"/>
        <v>XYZ GREASE CLEANER 5 LTR</v>
      </c>
      <c r="C16" s="31" t="str">
        <f t="shared" si="11"/>
        <v>CLEANING CHEMICAL</v>
      </c>
      <c r="D16" s="39" t="str">
        <f t="shared" si="5"/>
        <v>gln</v>
      </c>
      <c r="E16" s="47">
        <f t="shared" si="6"/>
        <v>133200</v>
      </c>
      <c r="F16" s="48">
        <f t="shared" si="7"/>
        <v>2</v>
      </c>
      <c r="G16" s="48">
        <f t="shared" si="8"/>
        <v>0.45</v>
      </c>
      <c r="H16" s="48">
        <f t="shared" si="9"/>
        <v>-1.55</v>
      </c>
      <c r="I16" s="40">
        <f t="shared" si="10"/>
        <v>-206460</v>
      </c>
      <c r="J16" s="31" t="str">
        <f t="shared" si="12"/>
        <v>Penurunan IU</v>
      </c>
      <c r="K16" s="42" t="s">
        <v>951</v>
      </c>
      <c r="O16" s="86" t="s">
        <v>21</v>
      </c>
      <c r="P16" s="87" t="s">
        <v>11</v>
      </c>
      <c r="Q16" t="s">
        <v>22</v>
      </c>
      <c r="V16" s="4"/>
      <c r="X16" s="3" t="s">
        <v>23</v>
      </c>
      <c r="Y16" t="s">
        <v>24</v>
      </c>
      <c r="Z16" t="s">
        <v>4</v>
      </c>
      <c r="AA16" s="10">
        <v>1.7</v>
      </c>
      <c r="AB16" t="s">
        <v>25</v>
      </c>
      <c r="AC16" s="10">
        <v>17780.419999999998</v>
      </c>
      <c r="AD16" s="4">
        <v>30226.714</v>
      </c>
      <c r="AG16" s="82" t="s">
        <v>35</v>
      </c>
      <c r="AH16" s="83" t="s">
        <v>11</v>
      </c>
      <c r="AI16" s="18" t="s">
        <v>213</v>
      </c>
      <c r="AJ16" s="18"/>
      <c r="AK16" s="18"/>
      <c r="AL16" s="18"/>
      <c r="AM16" s="18"/>
      <c r="AN16" s="19"/>
      <c r="AP16" s="20" t="s">
        <v>13</v>
      </c>
      <c r="AQ16" s="18" t="s">
        <v>14</v>
      </c>
      <c r="AR16" s="18" t="s">
        <v>4</v>
      </c>
      <c r="AS16" s="21">
        <v>0.9</v>
      </c>
      <c r="AT16" s="18" t="s">
        <v>15</v>
      </c>
      <c r="AU16" s="21">
        <v>77700</v>
      </c>
      <c r="AV16" s="19">
        <v>69930</v>
      </c>
      <c r="AX16" s="20" t="s">
        <v>13</v>
      </c>
      <c r="AY16" s="18" t="s">
        <v>14</v>
      </c>
      <c r="AZ16" s="18" t="s">
        <v>4</v>
      </c>
      <c r="BA16" s="21">
        <v>0.9</v>
      </c>
      <c r="BB16" s="18" t="s">
        <v>15</v>
      </c>
      <c r="BC16" s="21">
        <v>77700</v>
      </c>
      <c r="BD16" s="19">
        <v>69930</v>
      </c>
    </row>
    <row r="17" spans="1:56" x14ac:dyDescent="0.35">
      <c r="A17" s="38" t="str">
        <v>CECM0008</v>
      </c>
      <c r="B17" s="31" t="str">
        <f t="shared" si="4"/>
        <v>XYZ ANTI BACTERIAL HANDSOAP 5 L</v>
      </c>
      <c r="C17" s="31" t="str">
        <f t="shared" si="11"/>
        <v>CLEANING CHEMICAL</v>
      </c>
      <c r="D17" s="39" t="str">
        <f t="shared" si="5"/>
        <v>jerrycan</v>
      </c>
      <c r="E17" s="47">
        <f t="shared" si="6"/>
        <v>77700</v>
      </c>
      <c r="F17" s="48">
        <f t="shared" si="7"/>
        <v>0.04</v>
      </c>
      <c r="G17" s="48">
        <f t="shared" si="8"/>
        <v>0.9</v>
      </c>
      <c r="H17" s="48">
        <f t="shared" si="9"/>
        <v>0.86</v>
      </c>
      <c r="I17" s="40">
        <f t="shared" si="10"/>
        <v>66822</v>
      </c>
      <c r="J17" s="31" t="str">
        <f t="shared" si="12"/>
        <v>Kenaikan IU</v>
      </c>
      <c r="K17" s="42" t="s">
        <v>952</v>
      </c>
      <c r="O17" s="86" t="s">
        <v>26</v>
      </c>
      <c r="P17" s="87" t="s">
        <v>11</v>
      </c>
      <c r="Q17" t="s">
        <v>27</v>
      </c>
      <c r="V17" s="4"/>
      <c r="X17" s="3" t="s">
        <v>28</v>
      </c>
      <c r="Y17" t="s">
        <v>29</v>
      </c>
      <c r="Z17" t="s">
        <v>4</v>
      </c>
      <c r="AA17" s="10">
        <v>5</v>
      </c>
      <c r="AB17" t="s">
        <v>30</v>
      </c>
      <c r="AC17" s="10">
        <v>19746.645700000001</v>
      </c>
      <c r="AD17" s="4">
        <v>98733.228499999997</v>
      </c>
      <c r="AG17" s="20"/>
      <c r="AH17" s="18"/>
      <c r="AI17" s="18"/>
      <c r="AJ17" s="18"/>
      <c r="AK17" s="18"/>
      <c r="AL17" s="18"/>
      <c r="AM17" s="18"/>
      <c r="AN17" s="19"/>
      <c r="AP17" s="20" t="s">
        <v>18</v>
      </c>
      <c r="AQ17" s="18" t="s">
        <v>19</v>
      </c>
      <c r="AR17" s="18" t="s">
        <v>4</v>
      </c>
      <c r="AS17" s="21">
        <v>0.2</v>
      </c>
      <c r="AT17" s="18" t="s">
        <v>20</v>
      </c>
      <c r="AU17" s="21">
        <v>151400</v>
      </c>
      <c r="AV17" s="19">
        <v>30280</v>
      </c>
      <c r="AX17" s="20" t="s">
        <v>18</v>
      </c>
      <c r="AY17" s="18" t="s">
        <v>19</v>
      </c>
      <c r="AZ17" s="18" t="s">
        <v>4</v>
      </c>
      <c r="BA17" s="21">
        <v>0.2</v>
      </c>
      <c r="BB17" s="18" t="s">
        <v>20</v>
      </c>
      <c r="BC17" s="21">
        <v>151400</v>
      </c>
      <c r="BD17" s="19">
        <v>30280</v>
      </c>
    </row>
    <row r="18" spans="1:56" x14ac:dyDescent="0.35">
      <c r="A18" s="38" t="str">
        <v>CECM0009</v>
      </c>
      <c r="B18" s="31" t="str">
        <f t="shared" si="4"/>
        <v>HAND SANITIZER 5 L</v>
      </c>
      <c r="C18" s="31" t="str">
        <f t="shared" si="11"/>
        <v>CLEANING CHEMICAL</v>
      </c>
      <c r="D18" s="39" t="str">
        <f t="shared" si="5"/>
        <v>pcs</v>
      </c>
      <c r="E18" s="47">
        <f t="shared" si="6"/>
        <v>151400</v>
      </c>
      <c r="F18" s="48">
        <f t="shared" si="7"/>
        <v>0.2</v>
      </c>
      <c r="G18" s="48">
        <f t="shared" si="8"/>
        <v>0.2</v>
      </c>
      <c r="H18" s="48">
        <f t="shared" si="9"/>
        <v>0</v>
      </c>
      <c r="I18" s="40">
        <f t="shared" si="10"/>
        <v>0</v>
      </c>
      <c r="J18" s="31" t="str">
        <f t="shared" si="12"/>
        <v>Tidak Ada Perubahan</v>
      </c>
      <c r="K18" s="42"/>
      <c r="O18" s="86" t="s">
        <v>31</v>
      </c>
      <c r="P18" s="87" t="s">
        <v>11</v>
      </c>
      <c r="Q18" t="s">
        <v>32</v>
      </c>
      <c r="V18" s="4"/>
      <c r="X18" s="3" t="s">
        <v>33</v>
      </c>
      <c r="Y18" t="s">
        <v>34</v>
      </c>
      <c r="Z18" t="s">
        <v>4</v>
      </c>
      <c r="AA18" s="10">
        <v>4.5</v>
      </c>
      <c r="AB18" t="s">
        <v>30</v>
      </c>
      <c r="AC18" s="10">
        <v>13000</v>
      </c>
      <c r="AD18" s="4">
        <v>58500</v>
      </c>
      <c r="AG18" s="20" t="s">
        <v>42</v>
      </c>
      <c r="AH18" s="18" t="s">
        <v>43</v>
      </c>
      <c r="AI18" s="18" t="s">
        <v>44</v>
      </c>
      <c r="AJ18" s="18" t="s">
        <v>45</v>
      </c>
      <c r="AK18" s="18" t="s">
        <v>46</v>
      </c>
      <c r="AL18" s="18" t="s">
        <v>47</v>
      </c>
      <c r="AM18" s="18" t="s">
        <v>48</v>
      </c>
      <c r="AN18" s="19" t="s">
        <v>49</v>
      </c>
      <c r="AP18" s="20" t="s">
        <v>219</v>
      </c>
      <c r="AQ18" s="18" t="s">
        <v>220</v>
      </c>
      <c r="AR18" s="18" t="s">
        <v>4</v>
      </c>
      <c r="AS18" s="21">
        <v>0.6</v>
      </c>
      <c r="AT18" s="18" t="s">
        <v>25</v>
      </c>
      <c r="AU18" s="21">
        <v>77009.4476</v>
      </c>
      <c r="AV18" s="19">
        <v>46205.668559999998</v>
      </c>
      <c r="AX18" s="20" t="s">
        <v>219</v>
      </c>
      <c r="AY18" s="18" t="s">
        <v>220</v>
      </c>
      <c r="AZ18" s="18" t="s">
        <v>4</v>
      </c>
      <c r="BA18" s="21">
        <v>0.6</v>
      </c>
      <c r="BB18" s="18" t="s">
        <v>25</v>
      </c>
      <c r="BC18" s="21">
        <v>77009.4476</v>
      </c>
      <c r="BD18" s="19">
        <v>46205.668559999998</v>
      </c>
    </row>
    <row r="19" spans="1:56" x14ac:dyDescent="0.35">
      <c r="A19" s="38" t="str">
        <v>CECM0010</v>
      </c>
      <c r="B19" s="31" t="str">
        <f t="shared" si="4"/>
        <v>SUMA CRYSTAL 5 L</v>
      </c>
      <c r="C19" s="31" t="str">
        <f t="shared" si="11"/>
        <v>CLEANING CHEMICAL</v>
      </c>
      <c r="D19" s="39" t="str">
        <f t="shared" si="5"/>
        <v>ltr</v>
      </c>
      <c r="E19" s="47">
        <f t="shared" si="6"/>
        <v>77009.45</v>
      </c>
      <c r="F19" s="48" t="str">
        <f t="shared" si="7"/>
        <v>0</v>
      </c>
      <c r="G19" s="48">
        <f t="shared" si="8"/>
        <v>0.6</v>
      </c>
      <c r="H19" s="48">
        <f t="shared" si="9"/>
        <v>0.6</v>
      </c>
      <c r="I19" s="40">
        <f t="shared" si="10"/>
        <v>46205.67</v>
      </c>
      <c r="J19" s="31" t="str">
        <f t="shared" si="12"/>
        <v>Kenaikan IU</v>
      </c>
      <c r="K19" s="42" t="s">
        <v>953</v>
      </c>
      <c r="O19" s="86" t="s">
        <v>35</v>
      </c>
      <c r="P19" s="87" t="s">
        <v>11</v>
      </c>
      <c r="Q19" t="s">
        <v>36</v>
      </c>
      <c r="V19" s="4"/>
      <c r="X19" s="3" t="s">
        <v>37</v>
      </c>
      <c r="Y19" t="s">
        <v>38</v>
      </c>
      <c r="Z19" t="s">
        <v>4</v>
      </c>
      <c r="AA19" s="10">
        <v>3</v>
      </c>
      <c r="AB19" t="s">
        <v>20</v>
      </c>
      <c r="AC19" s="10">
        <v>2190.7273</v>
      </c>
      <c r="AD19" s="4">
        <v>6572.1818999999996</v>
      </c>
      <c r="AG19" s="20">
        <v>1</v>
      </c>
      <c r="AH19" s="18" t="s">
        <v>214</v>
      </c>
      <c r="AI19" s="18" t="s">
        <v>215</v>
      </c>
      <c r="AJ19" s="18" t="s">
        <v>4</v>
      </c>
      <c r="AK19" s="21">
        <v>1</v>
      </c>
      <c r="AL19" s="18" t="s">
        <v>216</v>
      </c>
      <c r="AM19" s="21">
        <v>44547.222199999997</v>
      </c>
      <c r="AN19" s="19">
        <v>44547.222199999997</v>
      </c>
      <c r="AP19" s="20" t="s">
        <v>221</v>
      </c>
      <c r="AQ19" s="18" t="s">
        <v>222</v>
      </c>
      <c r="AR19" s="18" t="s">
        <v>4</v>
      </c>
      <c r="AS19" s="21">
        <v>10.3</v>
      </c>
      <c r="AT19" s="18" t="s">
        <v>25</v>
      </c>
      <c r="AU19" s="21">
        <v>70853.722800000003</v>
      </c>
      <c r="AV19" s="19">
        <v>729793.34484000003</v>
      </c>
      <c r="AX19" s="20" t="s">
        <v>221</v>
      </c>
      <c r="AY19" s="18" t="s">
        <v>222</v>
      </c>
      <c r="AZ19" s="18" t="s">
        <v>4</v>
      </c>
      <c r="BA19" s="21">
        <v>10.3</v>
      </c>
      <c r="BB19" s="18" t="s">
        <v>25</v>
      </c>
      <c r="BC19" s="21">
        <v>70853.722800000003</v>
      </c>
      <c r="BD19" s="19">
        <v>729793.34484000003</v>
      </c>
    </row>
    <row r="20" spans="1:56" x14ac:dyDescent="0.35">
      <c r="A20" s="38" t="str">
        <v>CECM0011</v>
      </c>
      <c r="B20" s="31" t="str">
        <f t="shared" si="4"/>
        <v>SUMA NOVA 5 L</v>
      </c>
      <c r="C20" s="31" t="str">
        <f t="shared" si="11"/>
        <v>CLEANING CHEMICAL</v>
      </c>
      <c r="D20" s="39" t="str">
        <f t="shared" si="5"/>
        <v>ltr</v>
      </c>
      <c r="E20" s="47">
        <f t="shared" si="6"/>
        <v>70853.72</v>
      </c>
      <c r="F20" s="48" t="str">
        <f t="shared" si="7"/>
        <v>0</v>
      </c>
      <c r="G20" s="48">
        <f t="shared" si="8"/>
        <v>10.3</v>
      </c>
      <c r="H20" s="48">
        <f t="shared" si="9"/>
        <v>10.3</v>
      </c>
      <c r="I20" s="40">
        <f t="shared" si="10"/>
        <v>729793.31600000011</v>
      </c>
      <c r="J20" s="31" t="str">
        <f t="shared" si="12"/>
        <v>Kenaikan IU</v>
      </c>
      <c r="K20" s="42" t="s">
        <v>954</v>
      </c>
      <c r="O20" s="3"/>
      <c r="V20" s="4"/>
      <c r="X20" s="3" t="s">
        <v>39</v>
      </c>
      <c r="Y20" t="s">
        <v>40</v>
      </c>
      <c r="Z20" t="s">
        <v>41</v>
      </c>
      <c r="AA20" s="10">
        <v>1</v>
      </c>
      <c r="AB20" t="s">
        <v>20</v>
      </c>
      <c r="AC20" s="10">
        <v>6972.4284000000007</v>
      </c>
      <c r="AD20" s="4">
        <v>6972.4283999999998</v>
      </c>
      <c r="AG20" s="20">
        <v>2</v>
      </c>
      <c r="AH20" s="18" t="s">
        <v>2</v>
      </c>
      <c r="AI20" s="18" t="s">
        <v>3</v>
      </c>
      <c r="AJ20" s="18" t="s">
        <v>4</v>
      </c>
      <c r="AK20" s="21">
        <v>0.3</v>
      </c>
      <c r="AL20" s="18" t="s">
        <v>5</v>
      </c>
      <c r="AM20" s="21">
        <v>21000</v>
      </c>
      <c r="AN20" s="19">
        <v>6300</v>
      </c>
      <c r="AP20" s="20" t="s">
        <v>23</v>
      </c>
      <c r="AQ20" s="18" t="s">
        <v>24</v>
      </c>
      <c r="AR20" s="18" t="s">
        <v>4</v>
      </c>
      <c r="AS20" s="21">
        <v>17.2</v>
      </c>
      <c r="AT20" s="18" t="s">
        <v>25</v>
      </c>
      <c r="AU20" s="21">
        <v>17780.419999999998</v>
      </c>
      <c r="AV20" s="19">
        <v>305823.22399999999</v>
      </c>
      <c r="AX20" s="20" t="s">
        <v>23</v>
      </c>
      <c r="AY20" s="18" t="s">
        <v>24</v>
      </c>
      <c r="AZ20" s="18" t="s">
        <v>4</v>
      </c>
      <c r="BA20" s="21">
        <v>17.2</v>
      </c>
      <c r="BB20" s="18" t="s">
        <v>25</v>
      </c>
      <c r="BC20" s="21">
        <v>17780.419999999998</v>
      </c>
      <c r="BD20" s="19">
        <v>305823.22399999999</v>
      </c>
    </row>
    <row r="21" spans="1:56" x14ac:dyDescent="0.35">
      <c r="A21" s="38" t="str">
        <v>CECM0012</v>
      </c>
      <c r="B21" s="31" t="str">
        <f t="shared" si="4"/>
        <v>NOBLA LIQUID 20 L</v>
      </c>
      <c r="C21" s="31" t="str">
        <f t="shared" si="11"/>
        <v>CLEANING CHEMICAL</v>
      </c>
      <c r="D21" s="39" t="str">
        <f t="shared" si="5"/>
        <v>ltr</v>
      </c>
      <c r="E21" s="47">
        <f t="shared" si="6"/>
        <v>17780.419999999998</v>
      </c>
      <c r="F21" s="48">
        <f t="shared" si="7"/>
        <v>1.7</v>
      </c>
      <c r="G21" s="48">
        <f t="shared" si="8"/>
        <v>17.2</v>
      </c>
      <c r="H21" s="48">
        <f t="shared" si="9"/>
        <v>15.5</v>
      </c>
      <c r="I21" s="40">
        <f t="shared" si="10"/>
        <v>275596.50999999995</v>
      </c>
      <c r="J21" s="31" t="str">
        <f t="shared" si="12"/>
        <v>Kenaikan IU</v>
      </c>
      <c r="K21" s="42" t="s">
        <v>955</v>
      </c>
      <c r="O21" s="3" t="s">
        <v>42</v>
      </c>
      <c r="P21" t="s">
        <v>43</v>
      </c>
      <c r="Q21" t="s">
        <v>44</v>
      </c>
      <c r="R21" t="s">
        <v>45</v>
      </c>
      <c r="S21" t="s">
        <v>46</v>
      </c>
      <c r="T21" t="s">
        <v>47</v>
      </c>
      <c r="U21" t="s">
        <v>48</v>
      </c>
      <c r="V21" s="4" t="s">
        <v>49</v>
      </c>
      <c r="X21" s="3" t="s">
        <v>50</v>
      </c>
      <c r="Y21" t="s">
        <v>51</v>
      </c>
      <c r="Z21" t="s">
        <v>41</v>
      </c>
      <c r="AA21" s="10">
        <v>18</v>
      </c>
      <c r="AB21" t="s">
        <v>52</v>
      </c>
      <c r="AC21" s="10">
        <v>20499.992200000001</v>
      </c>
      <c r="AD21" s="4">
        <v>368999.85960000003</v>
      </c>
      <c r="AG21" s="20">
        <v>3</v>
      </c>
      <c r="AH21" s="18" t="s">
        <v>217</v>
      </c>
      <c r="AI21" s="18" t="s">
        <v>218</v>
      </c>
      <c r="AJ21" s="18" t="s">
        <v>4</v>
      </c>
      <c r="AK21" s="21">
        <v>0.22</v>
      </c>
      <c r="AL21" s="18" t="s">
        <v>9</v>
      </c>
      <c r="AM21" s="21">
        <v>55128.523800000003</v>
      </c>
      <c r="AN21" s="19">
        <v>12128.275235999999</v>
      </c>
      <c r="AP21" s="20" t="s">
        <v>28</v>
      </c>
      <c r="AQ21" s="18" t="s">
        <v>29</v>
      </c>
      <c r="AR21" s="18" t="s">
        <v>4</v>
      </c>
      <c r="AS21" s="21">
        <v>5</v>
      </c>
      <c r="AT21" s="18" t="s">
        <v>30</v>
      </c>
      <c r="AU21" s="21">
        <v>19746.645700000001</v>
      </c>
      <c r="AV21" s="19">
        <v>98733.228499999997</v>
      </c>
      <c r="AX21" s="20" t="s">
        <v>28</v>
      </c>
      <c r="AY21" s="18" t="s">
        <v>29</v>
      </c>
      <c r="AZ21" s="18" t="s">
        <v>4</v>
      </c>
      <c r="BA21" s="21">
        <v>5</v>
      </c>
      <c r="BB21" s="18" t="s">
        <v>30</v>
      </c>
      <c r="BC21" s="21">
        <v>19746.645700000001</v>
      </c>
      <c r="BD21" s="19">
        <v>98733.228499999997</v>
      </c>
    </row>
    <row r="22" spans="1:56" x14ac:dyDescent="0.35">
      <c r="A22" s="38" t="str">
        <v>CECM0014</v>
      </c>
      <c r="B22" s="31" t="str">
        <f t="shared" si="4"/>
        <v>XYZ KARBOL LEMONGRASS 5 L</v>
      </c>
      <c r="C22" s="31" t="str">
        <f t="shared" si="11"/>
        <v>CLEANING CHEMICAL</v>
      </c>
      <c r="D22" s="39" t="str">
        <f t="shared" si="5"/>
        <v>liter</v>
      </c>
      <c r="E22" s="47">
        <f t="shared" si="6"/>
        <v>19746.650000000001</v>
      </c>
      <c r="F22" s="48">
        <f t="shared" si="7"/>
        <v>5</v>
      </c>
      <c r="G22" s="48">
        <f t="shared" si="8"/>
        <v>5</v>
      </c>
      <c r="H22" s="48">
        <f t="shared" si="9"/>
        <v>0</v>
      </c>
      <c r="I22" s="40">
        <f t="shared" si="10"/>
        <v>0</v>
      </c>
      <c r="J22" s="31" t="str">
        <f t="shared" si="12"/>
        <v>Tidak Ada Perubahan</v>
      </c>
      <c r="K22" s="42"/>
      <c r="O22" s="3">
        <v>1</v>
      </c>
      <c r="P22" t="s">
        <v>2</v>
      </c>
      <c r="Q22" t="s">
        <v>3</v>
      </c>
      <c r="R22" t="s">
        <v>4</v>
      </c>
      <c r="S22" s="10">
        <v>2</v>
      </c>
      <c r="T22" t="s">
        <v>5</v>
      </c>
      <c r="U22" s="10">
        <v>21000</v>
      </c>
      <c r="V22" s="4">
        <v>42000</v>
      </c>
      <c r="X22" s="3" t="s">
        <v>53</v>
      </c>
      <c r="Y22" t="s">
        <v>54</v>
      </c>
      <c r="Z22" t="s">
        <v>41</v>
      </c>
      <c r="AA22" s="10">
        <v>8</v>
      </c>
      <c r="AB22" t="s">
        <v>20</v>
      </c>
      <c r="AC22" s="10">
        <v>3318.3332999999998</v>
      </c>
      <c r="AD22" s="4">
        <v>26546.666399999998</v>
      </c>
      <c r="AG22" s="20">
        <v>4</v>
      </c>
      <c r="AH22" s="18" t="s">
        <v>7</v>
      </c>
      <c r="AI22" s="18" t="s">
        <v>8</v>
      </c>
      <c r="AJ22" s="18" t="s">
        <v>4</v>
      </c>
      <c r="AK22" s="21">
        <v>0.45</v>
      </c>
      <c r="AL22" s="18" t="s">
        <v>9</v>
      </c>
      <c r="AM22" s="21">
        <v>133200</v>
      </c>
      <c r="AN22" s="19">
        <v>59940</v>
      </c>
      <c r="AP22" s="20" t="s">
        <v>33</v>
      </c>
      <c r="AQ22" s="18" t="s">
        <v>34</v>
      </c>
      <c r="AR22" s="18" t="s">
        <v>4</v>
      </c>
      <c r="AS22" s="21">
        <v>2.7</v>
      </c>
      <c r="AT22" s="18" t="s">
        <v>30</v>
      </c>
      <c r="AU22" s="21">
        <v>13000</v>
      </c>
      <c r="AV22" s="19">
        <v>35100</v>
      </c>
      <c r="AX22" s="20" t="s">
        <v>33</v>
      </c>
      <c r="AY22" s="18" t="s">
        <v>34</v>
      </c>
      <c r="AZ22" s="18" t="s">
        <v>4</v>
      </c>
      <c r="BA22" s="21">
        <v>2.7</v>
      </c>
      <c r="BB22" s="18" t="s">
        <v>30</v>
      </c>
      <c r="BC22" s="21">
        <v>13000</v>
      </c>
      <c r="BD22" s="19">
        <v>35100</v>
      </c>
    </row>
    <row r="23" spans="1:56" x14ac:dyDescent="0.35">
      <c r="A23" s="38" t="str">
        <v>CECM0018</v>
      </c>
      <c r="B23" s="31" t="str">
        <f t="shared" si="4"/>
        <v>XYZ GENERAL CLEANER  (CUCI PIRING LIME)</v>
      </c>
      <c r="C23" s="31" t="str">
        <f t="shared" si="11"/>
        <v>CLEANING CHEMICAL</v>
      </c>
      <c r="D23" s="39" t="str">
        <f t="shared" si="5"/>
        <v>liter</v>
      </c>
      <c r="E23" s="47">
        <f t="shared" si="6"/>
        <v>13000</v>
      </c>
      <c r="F23" s="48">
        <f t="shared" si="7"/>
        <v>4.5</v>
      </c>
      <c r="G23" s="48">
        <f t="shared" si="8"/>
        <v>2.7</v>
      </c>
      <c r="H23" s="48">
        <f t="shared" si="9"/>
        <v>-1.7999999999999998</v>
      </c>
      <c r="I23" s="40">
        <f t="shared" si="10"/>
        <v>-23399.999999999996</v>
      </c>
      <c r="J23" s="31" t="str">
        <f t="shared" si="12"/>
        <v>Penurunan IU</v>
      </c>
      <c r="K23" s="42" t="s">
        <v>956</v>
      </c>
      <c r="O23" s="3">
        <v>2</v>
      </c>
      <c r="P23" t="s">
        <v>7</v>
      </c>
      <c r="Q23" t="s">
        <v>8</v>
      </c>
      <c r="R23" t="s">
        <v>4</v>
      </c>
      <c r="S23" s="10">
        <v>2</v>
      </c>
      <c r="T23" t="s">
        <v>9</v>
      </c>
      <c r="U23" s="10">
        <v>133200</v>
      </c>
      <c r="V23" s="4">
        <v>266400</v>
      </c>
      <c r="X23" s="3" t="s">
        <v>55</v>
      </c>
      <c r="Y23" t="s">
        <v>56</v>
      </c>
      <c r="Z23" t="s">
        <v>41</v>
      </c>
      <c r="AA23" s="10">
        <v>12</v>
      </c>
      <c r="AB23" t="s">
        <v>20</v>
      </c>
      <c r="AC23" s="10">
        <v>2000</v>
      </c>
      <c r="AD23" s="4">
        <v>24000</v>
      </c>
      <c r="AG23" s="20">
        <v>5</v>
      </c>
      <c r="AH23" s="18" t="s">
        <v>13</v>
      </c>
      <c r="AI23" s="18" t="s">
        <v>14</v>
      </c>
      <c r="AJ23" s="18" t="s">
        <v>4</v>
      </c>
      <c r="AK23" s="21">
        <v>0.9</v>
      </c>
      <c r="AL23" s="18" t="s">
        <v>15</v>
      </c>
      <c r="AM23" s="21">
        <v>77700</v>
      </c>
      <c r="AN23" s="19">
        <v>69930</v>
      </c>
      <c r="AP23" s="20" t="s">
        <v>37</v>
      </c>
      <c r="AQ23" s="18" t="s">
        <v>38</v>
      </c>
      <c r="AR23" s="18" t="s">
        <v>4</v>
      </c>
      <c r="AS23" s="21">
        <v>3</v>
      </c>
      <c r="AT23" s="18" t="s">
        <v>20</v>
      </c>
      <c r="AU23" s="21">
        <v>2190.7273</v>
      </c>
      <c r="AV23" s="19">
        <v>6572.1818999999996</v>
      </c>
      <c r="AX23" s="20" t="s">
        <v>37</v>
      </c>
      <c r="AY23" s="18" t="s">
        <v>38</v>
      </c>
      <c r="AZ23" s="18" t="s">
        <v>4</v>
      </c>
      <c r="BA23" s="21">
        <v>3</v>
      </c>
      <c r="BB23" s="18" t="s">
        <v>20</v>
      </c>
      <c r="BC23" s="21">
        <v>2190.7273</v>
      </c>
      <c r="BD23" s="19">
        <v>6572.1818999999996</v>
      </c>
    </row>
    <row r="24" spans="1:56" x14ac:dyDescent="0.35">
      <c r="A24" s="38" t="str">
        <v>CECM0022</v>
      </c>
      <c r="B24" s="31" t="str">
        <f t="shared" si="4"/>
        <v>RACUN LALAT</v>
      </c>
      <c r="C24" s="31" t="str">
        <f t="shared" si="11"/>
        <v>CLEANING CHEMICAL</v>
      </c>
      <c r="D24" s="39" t="str">
        <f t="shared" si="5"/>
        <v>pcs</v>
      </c>
      <c r="E24" s="47">
        <f t="shared" si="6"/>
        <v>2190.73</v>
      </c>
      <c r="F24" s="48">
        <f t="shared" si="7"/>
        <v>3</v>
      </c>
      <c r="G24" s="48">
        <f t="shared" si="8"/>
        <v>3</v>
      </c>
      <c r="H24" s="48">
        <f t="shared" si="9"/>
        <v>0</v>
      </c>
      <c r="I24" s="40">
        <f t="shared" si="10"/>
        <v>0</v>
      </c>
      <c r="J24" s="31" t="str">
        <f t="shared" si="12"/>
        <v>Tidak Ada Perubahan</v>
      </c>
      <c r="K24" s="42"/>
      <c r="O24" s="3">
        <v>3</v>
      </c>
      <c r="P24" t="s">
        <v>13</v>
      </c>
      <c r="Q24" t="s">
        <v>14</v>
      </c>
      <c r="R24" t="s">
        <v>4</v>
      </c>
      <c r="S24" s="10">
        <v>0.04</v>
      </c>
      <c r="T24" t="s">
        <v>15</v>
      </c>
      <c r="U24" s="10">
        <v>77700</v>
      </c>
      <c r="V24" s="4">
        <v>3108</v>
      </c>
      <c r="X24" s="3" t="s">
        <v>57</v>
      </c>
      <c r="Y24" t="s">
        <v>58</v>
      </c>
      <c r="Z24" t="s">
        <v>41</v>
      </c>
      <c r="AA24" s="10">
        <v>2</v>
      </c>
      <c r="AB24" t="s">
        <v>5</v>
      </c>
      <c r="AC24" s="10">
        <v>7699.9618</v>
      </c>
      <c r="AD24" s="4">
        <v>15399.9236</v>
      </c>
      <c r="AG24" s="20">
        <v>6</v>
      </c>
      <c r="AH24" s="18" t="s">
        <v>18</v>
      </c>
      <c r="AI24" s="18" t="s">
        <v>19</v>
      </c>
      <c r="AJ24" s="18" t="s">
        <v>4</v>
      </c>
      <c r="AK24" s="21">
        <v>0.2</v>
      </c>
      <c r="AL24" s="18" t="s">
        <v>20</v>
      </c>
      <c r="AM24" s="21">
        <v>151400</v>
      </c>
      <c r="AN24" s="19">
        <v>30280</v>
      </c>
      <c r="AP24" s="20" t="s">
        <v>50</v>
      </c>
      <c r="AQ24" s="18" t="s">
        <v>51</v>
      </c>
      <c r="AR24" s="18" t="s">
        <v>41</v>
      </c>
      <c r="AS24" s="21">
        <v>18</v>
      </c>
      <c r="AT24" s="18" t="s">
        <v>52</v>
      </c>
      <c r="AU24" s="21">
        <v>20499.996200000001</v>
      </c>
      <c r="AV24" s="19">
        <v>368999.93160000001</v>
      </c>
      <c r="AX24" s="20" t="s">
        <v>50</v>
      </c>
      <c r="AY24" s="18" t="s">
        <v>51</v>
      </c>
      <c r="AZ24" s="18" t="s">
        <v>41</v>
      </c>
      <c r="BA24" s="21">
        <v>18</v>
      </c>
      <c r="BB24" s="18" t="s">
        <v>52</v>
      </c>
      <c r="BC24" s="21">
        <v>20499.996200000001</v>
      </c>
      <c r="BD24" s="19">
        <v>368999.93160000001</v>
      </c>
    </row>
    <row r="25" spans="1:56" x14ac:dyDescent="0.35">
      <c r="A25" s="38" t="str">
        <v>CETS00028</v>
      </c>
      <c r="B25" s="31" t="str">
        <f t="shared" si="4"/>
        <v>GLUE PAD</v>
      </c>
      <c r="C25" s="31" t="str">
        <f t="shared" si="11"/>
        <v>CLEANING TOOLS AND SUPPLIES</v>
      </c>
      <c r="D25" s="39" t="str">
        <f t="shared" si="5"/>
        <v>lembar</v>
      </c>
      <c r="E25" s="47">
        <f t="shared" si="6"/>
        <v>20500</v>
      </c>
      <c r="F25" s="48">
        <f t="shared" si="7"/>
        <v>18</v>
      </c>
      <c r="G25" s="48">
        <f t="shared" si="8"/>
        <v>18</v>
      </c>
      <c r="H25" s="48">
        <f t="shared" si="9"/>
        <v>0</v>
      </c>
      <c r="I25" s="40">
        <f t="shared" si="10"/>
        <v>0</v>
      </c>
      <c r="J25" s="31" t="str">
        <f t="shared" si="12"/>
        <v>Tidak Ada Perubahan</v>
      </c>
      <c r="K25" s="42"/>
      <c r="O25" s="3">
        <v>4</v>
      </c>
      <c r="P25" t="s">
        <v>18</v>
      </c>
      <c r="Q25" t="s">
        <v>19</v>
      </c>
      <c r="R25" t="s">
        <v>4</v>
      </c>
      <c r="S25" s="10">
        <v>0.2</v>
      </c>
      <c r="T25" t="s">
        <v>20</v>
      </c>
      <c r="U25" s="10">
        <v>151400</v>
      </c>
      <c r="V25" s="4">
        <v>30280</v>
      </c>
      <c r="X25" s="3" t="s">
        <v>59</v>
      </c>
      <c r="Y25" t="s">
        <v>60</v>
      </c>
      <c r="Z25" t="s">
        <v>41</v>
      </c>
      <c r="AA25" s="10">
        <v>24.6</v>
      </c>
      <c r="AB25" t="s">
        <v>5</v>
      </c>
      <c r="AC25" s="10">
        <v>7699.9215000000004</v>
      </c>
      <c r="AD25" s="4">
        <v>189418.06890000001</v>
      </c>
      <c r="AG25" s="20">
        <v>7</v>
      </c>
      <c r="AH25" s="18" t="s">
        <v>219</v>
      </c>
      <c r="AI25" s="18" t="s">
        <v>220</v>
      </c>
      <c r="AJ25" s="18" t="s">
        <v>4</v>
      </c>
      <c r="AK25" s="21">
        <v>0.6</v>
      </c>
      <c r="AL25" s="18" t="s">
        <v>25</v>
      </c>
      <c r="AM25" s="21">
        <v>77009.4476</v>
      </c>
      <c r="AN25" s="19">
        <v>46205.668559999998</v>
      </c>
      <c r="AP25" s="20" t="s">
        <v>53</v>
      </c>
      <c r="AQ25" s="18" t="s">
        <v>54</v>
      </c>
      <c r="AR25" s="18" t="s">
        <v>41</v>
      </c>
      <c r="AS25" s="21">
        <v>7</v>
      </c>
      <c r="AT25" s="18" t="s">
        <v>20</v>
      </c>
      <c r="AU25" s="21">
        <v>3318.3332999999998</v>
      </c>
      <c r="AV25" s="19">
        <v>23228.3331</v>
      </c>
      <c r="AX25" s="20" t="s">
        <v>53</v>
      </c>
      <c r="AY25" s="18" t="s">
        <v>54</v>
      </c>
      <c r="AZ25" s="18" t="s">
        <v>41</v>
      </c>
      <c r="BA25" s="21">
        <v>7</v>
      </c>
      <c r="BB25" s="18" t="s">
        <v>20</v>
      </c>
      <c r="BC25" s="21">
        <v>3318.3332999999998</v>
      </c>
      <c r="BD25" s="19">
        <v>23228.3331</v>
      </c>
    </row>
    <row r="26" spans="1:56" x14ac:dyDescent="0.35">
      <c r="A26" s="38" t="str">
        <v>CETS0006</v>
      </c>
      <c r="B26" s="31" t="str">
        <f t="shared" si="4"/>
        <v>SPONGE BUSA</v>
      </c>
      <c r="C26" s="31" t="str">
        <f t="shared" si="11"/>
        <v>CLEANING TOOLS AND SUPPLIES</v>
      </c>
      <c r="D26" s="39" t="str">
        <f t="shared" si="5"/>
        <v>pcs</v>
      </c>
      <c r="E26" s="47">
        <f t="shared" si="6"/>
        <v>3318.33</v>
      </c>
      <c r="F26" s="48">
        <f t="shared" si="7"/>
        <v>8</v>
      </c>
      <c r="G26" s="48">
        <f t="shared" si="8"/>
        <v>7</v>
      </c>
      <c r="H26" s="48">
        <f t="shared" si="9"/>
        <v>-1</v>
      </c>
      <c r="I26" s="40">
        <f t="shared" si="10"/>
        <v>-3318.33</v>
      </c>
      <c r="J26" s="31" t="str">
        <f t="shared" si="12"/>
        <v>Penurunan IU</v>
      </c>
      <c r="K26" s="42" t="s">
        <v>957</v>
      </c>
      <c r="O26" s="3">
        <v>5</v>
      </c>
      <c r="P26" t="s">
        <v>23</v>
      </c>
      <c r="Q26" t="s">
        <v>24</v>
      </c>
      <c r="R26" t="s">
        <v>4</v>
      </c>
      <c r="S26" s="10">
        <v>1.7</v>
      </c>
      <c r="T26" t="s">
        <v>25</v>
      </c>
      <c r="U26" s="10">
        <v>17780.419999999998</v>
      </c>
      <c r="V26" s="4">
        <v>30226.714</v>
      </c>
      <c r="X26" s="3" t="s">
        <v>61</v>
      </c>
      <c r="Y26" t="s">
        <v>62</v>
      </c>
      <c r="Z26" t="s">
        <v>41</v>
      </c>
      <c r="AA26" s="10">
        <v>2.7</v>
      </c>
      <c r="AB26" t="s">
        <v>5</v>
      </c>
      <c r="AC26" s="10">
        <v>15582.0247</v>
      </c>
      <c r="AD26" s="4">
        <v>42071.466690000001</v>
      </c>
      <c r="AG26" s="20">
        <v>8</v>
      </c>
      <c r="AH26" s="18" t="s">
        <v>221</v>
      </c>
      <c r="AI26" s="18" t="s">
        <v>222</v>
      </c>
      <c r="AJ26" s="18" t="s">
        <v>4</v>
      </c>
      <c r="AK26" s="21">
        <v>10.3</v>
      </c>
      <c r="AL26" s="18" t="s">
        <v>25</v>
      </c>
      <c r="AM26" s="21">
        <v>70853.722800000003</v>
      </c>
      <c r="AN26" s="19">
        <v>729793.34484000003</v>
      </c>
      <c r="AP26" s="20" t="s">
        <v>55</v>
      </c>
      <c r="AQ26" s="18" t="s">
        <v>56</v>
      </c>
      <c r="AR26" s="18" t="s">
        <v>41</v>
      </c>
      <c r="AS26" s="21">
        <v>7</v>
      </c>
      <c r="AT26" s="18" t="s">
        <v>20</v>
      </c>
      <c r="AU26" s="21">
        <v>2000</v>
      </c>
      <c r="AV26" s="19">
        <v>14000</v>
      </c>
      <c r="AX26" s="20" t="s">
        <v>55</v>
      </c>
      <c r="AY26" s="18" t="s">
        <v>56</v>
      </c>
      <c r="AZ26" s="18" t="s">
        <v>41</v>
      </c>
      <c r="BA26" s="21">
        <v>7</v>
      </c>
      <c r="BB26" s="18" t="s">
        <v>20</v>
      </c>
      <c r="BC26" s="21">
        <v>2000</v>
      </c>
      <c r="BD26" s="19">
        <v>14000</v>
      </c>
    </row>
    <row r="27" spans="1:56" x14ac:dyDescent="0.35">
      <c r="A27" s="38" t="str">
        <v>CETS0007</v>
      </c>
      <c r="B27" s="31" t="str">
        <f t="shared" si="4"/>
        <v>SIKAT KUKU/MINI BRUSH FINGER</v>
      </c>
      <c r="C27" s="31" t="str">
        <f t="shared" si="11"/>
        <v>CLEANING TOOLS AND SUPPLIES</v>
      </c>
      <c r="D27" s="39" t="str">
        <f t="shared" si="5"/>
        <v>pcs</v>
      </c>
      <c r="E27" s="47">
        <f t="shared" si="6"/>
        <v>2000</v>
      </c>
      <c r="F27" s="48">
        <f t="shared" si="7"/>
        <v>12</v>
      </c>
      <c r="G27" s="48">
        <f t="shared" si="8"/>
        <v>7</v>
      </c>
      <c r="H27" s="48">
        <f t="shared" si="9"/>
        <v>-5</v>
      </c>
      <c r="I27" s="40">
        <f t="shared" si="10"/>
        <v>-10000</v>
      </c>
      <c r="J27" s="31" t="str">
        <f t="shared" si="12"/>
        <v>Penurunan IU</v>
      </c>
      <c r="K27" s="42" t="s">
        <v>958</v>
      </c>
      <c r="O27" s="3">
        <v>6</v>
      </c>
      <c r="P27" t="s">
        <v>28</v>
      </c>
      <c r="Q27" t="s">
        <v>29</v>
      </c>
      <c r="R27" t="s">
        <v>4</v>
      </c>
      <c r="S27" s="10">
        <v>5</v>
      </c>
      <c r="T27" t="s">
        <v>30</v>
      </c>
      <c r="U27" s="10">
        <v>19746.645700000001</v>
      </c>
      <c r="V27" s="4">
        <v>98733.228499999997</v>
      </c>
      <c r="X27" s="3" t="s">
        <v>63</v>
      </c>
      <c r="Y27" t="s">
        <v>64</v>
      </c>
      <c r="Z27" t="s">
        <v>41</v>
      </c>
      <c r="AA27">
        <v>1</v>
      </c>
      <c r="AB27" t="s">
        <v>20</v>
      </c>
      <c r="AC27">
        <v>19540.165000000001</v>
      </c>
      <c r="AD27" s="4">
        <v>19540.165000000001</v>
      </c>
      <c r="AG27" s="20">
        <v>9</v>
      </c>
      <c r="AH27" s="18" t="s">
        <v>23</v>
      </c>
      <c r="AI27" s="18" t="s">
        <v>24</v>
      </c>
      <c r="AJ27" s="18" t="s">
        <v>4</v>
      </c>
      <c r="AK27" s="21">
        <v>17.2</v>
      </c>
      <c r="AL27" s="18" t="s">
        <v>25</v>
      </c>
      <c r="AM27" s="21">
        <v>17780.419999999998</v>
      </c>
      <c r="AN27" s="19">
        <v>305823.22399999999</v>
      </c>
      <c r="AP27" s="20" t="s">
        <v>59</v>
      </c>
      <c r="AQ27" s="18" t="s">
        <v>60</v>
      </c>
      <c r="AR27" s="18" t="s">
        <v>41</v>
      </c>
      <c r="AS27" s="21">
        <v>23</v>
      </c>
      <c r="AT27" s="18" t="s">
        <v>5</v>
      </c>
      <c r="AU27" s="21">
        <v>7699.9634999999998</v>
      </c>
      <c r="AV27" s="19">
        <v>177099.1605</v>
      </c>
      <c r="AX27" s="20" t="s">
        <v>59</v>
      </c>
      <c r="AY27" s="18" t="s">
        <v>60</v>
      </c>
      <c r="AZ27" s="18" t="s">
        <v>41</v>
      </c>
      <c r="BA27" s="21">
        <v>23</v>
      </c>
      <c r="BB27" s="18" t="s">
        <v>5</v>
      </c>
      <c r="BC27" s="21">
        <v>7699.9634999999998</v>
      </c>
      <c r="BD27" s="19">
        <v>177099.1605</v>
      </c>
    </row>
    <row r="28" spans="1:56" x14ac:dyDescent="0.35">
      <c r="A28" s="38" t="str">
        <v>CETS0026</v>
      </c>
      <c r="B28" s="31" t="str">
        <f t="shared" si="4"/>
        <v>PLASTIK SAMPAH 90 x 120 (5 LEMBAR)</v>
      </c>
      <c r="C28" s="31" t="str">
        <f t="shared" si="11"/>
        <v>CLEANING TOOLS AND SUPPLIES</v>
      </c>
      <c r="D28" s="39" t="str">
        <f t="shared" si="5"/>
        <v>pack</v>
      </c>
      <c r="E28" s="47">
        <f t="shared" si="6"/>
        <v>7699.96</v>
      </c>
      <c r="F28" s="48">
        <f t="shared" si="7"/>
        <v>24.6</v>
      </c>
      <c r="G28" s="48">
        <f t="shared" si="8"/>
        <v>23</v>
      </c>
      <c r="H28" s="48">
        <f t="shared" si="9"/>
        <v>-1.6000000000000014</v>
      </c>
      <c r="I28" s="40">
        <f t="shared" si="10"/>
        <v>-12319.936000000011</v>
      </c>
      <c r="J28" s="31" t="str">
        <f t="shared" si="12"/>
        <v>Penurunan IU</v>
      </c>
      <c r="K28" s="42" t="s">
        <v>959</v>
      </c>
      <c r="O28" s="3">
        <v>7</v>
      </c>
      <c r="P28" t="s">
        <v>33</v>
      </c>
      <c r="Q28" t="s">
        <v>34</v>
      </c>
      <c r="R28" t="s">
        <v>4</v>
      </c>
      <c r="S28" s="10">
        <v>4.5</v>
      </c>
      <c r="T28" t="s">
        <v>30</v>
      </c>
      <c r="U28" s="10">
        <v>13000</v>
      </c>
      <c r="V28" s="4">
        <v>58500</v>
      </c>
      <c r="X28" s="3" t="s">
        <v>65</v>
      </c>
      <c r="Y28" t="s">
        <v>66</v>
      </c>
      <c r="Z28" t="s">
        <v>67</v>
      </c>
      <c r="AA28" s="10">
        <v>4</v>
      </c>
      <c r="AB28" t="s">
        <v>20</v>
      </c>
      <c r="AC28" s="10">
        <v>860.48082773219505</v>
      </c>
      <c r="AD28" s="4">
        <v>3441.923311</v>
      </c>
      <c r="AG28" s="20">
        <v>10</v>
      </c>
      <c r="AH28" s="18" t="s">
        <v>28</v>
      </c>
      <c r="AI28" s="18" t="s">
        <v>29</v>
      </c>
      <c r="AJ28" s="18" t="s">
        <v>4</v>
      </c>
      <c r="AK28" s="21">
        <v>5</v>
      </c>
      <c r="AL28" s="18" t="s">
        <v>30</v>
      </c>
      <c r="AM28" s="21">
        <v>19746.645700000001</v>
      </c>
      <c r="AN28" s="19">
        <v>98733.228499999997</v>
      </c>
      <c r="AP28" s="20" t="s">
        <v>61</v>
      </c>
      <c r="AQ28" s="18" t="s">
        <v>62</v>
      </c>
      <c r="AR28" s="18" t="s">
        <v>41</v>
      </c>
      <c r="AS28" s="21">
        <v>6</v>
      </c>
      <c r="AT28" s="18" t="s">
        <v>5</v>
      </c>
      <c r="AU28" s="21">
        <v>14890.329499999998</v>
      </c>
      <c r="AV28" s="19">
        <v>89341.976999999999</v>
      </c>
      <c r="AX28" s="20" t="s">
        <v>61</v>
      </c>
      <c r="AY28" s="18" t="s">
        <v>62</v>
      </c>
      <c r="AZ28" s="18" t="s">
        <v>41</v>
      </c>
      <c r="BA28" s="21">
        <v>6</v>
      </c>
      <c r="BB28" s="18" t="s">
        <v>5</v>
      </c>
      <c r="BC28" s="21">
        <v>14890.329499999998</v>
      </c>
      <c r="BD28" s="19">
        <v>89341.976999999999</v>
      </c>
    </row>
    <row r="29" spans="1:56" x14ac:dyDescent="0.35">
      <c r="A29" s="38" t="str">
        <v>CETS0027</v>
      </c>
      <c r="B29" s="31" t="str">
        <f t="shared" si="4"/>
        <v>PLASTIK KRESEK HITAM 35 (Utk Tong Sampah)</v>
      </c>
      <c r="C29" s="31" t="str">
        <f t="shared" si="11"/>
        <v>CLEANING TOOLS AND SUPPLIES</v>
      </c>
      <c r="D29" s="39" t="str">
        <f t="shared" si="5"/>
        <v>pack</v>
      </c>
      <c r="E29" s="47">
        <f t="shared" si="6"/>
        <v>14890.33</v>
      </c>
      <c r="F29" s="48">
        <f t="shared" si="7"/>
        <v>2.7</v>
      </c>
      <c r="G29" s="48">
        <f t="shared" si="8"/>
        <v>6</v>
      </c>
      <c r="H29" s="48">
        <f t="shared" si="9"/>
        <v>3.3</v>
      </c>
      <c r="I29" s="40">
        <f t="shared" si="10"/>
        <v>49138.089</v>
      </c>
      <c r="J29" s="31" t="str">
        <f t="shared" si="12"/>
        <v>Kenaikan IU</v>
      </c>
      <c r="K29" s="42" t="s">
        <v>960</v>
      </c>
      <c r="O29" s="3">
        <v>8</v>
      </c>
      <c r="P29" t="s">
        <v>37</v>
      </c>
      <c r="Q29" t="s">
        <v>38</v>
      </c>
      <c r="R29" t="s">
        <v>4</v>
      </c>
      <c r="S29" s="10">
        <v>3</v>
      </c>
      <c r="T29" t="s">
        <v>20</v>
      </c>
      <c r="U29" s="10">
        <v>2190.7273</v>
      </c>
      <c r="V29" s="4">
        <v>6572.1818999999996</v>
      </c>
      <c r="X29" s="3" t="s">
        <v>68</v>
      </c>
      <c r="Y29" t="s">
        <v>69</v>
      </c>
      <c r="Z29" t="s">
        <v>67</v>
      </c>
      <c r="AA29" s="10">
        <v>0.02</v>
      </c>
      <c r="AB29" t="s">
        <v>5</v>
      </c>
      <c r="AC29" s="10">
        <v>18577.709299999999</v>
      </c>
      <c r="AD29" s="4">
        <v>371.55418600000002</v>
      </c>
      <c r="AG29" s="20">
        <v>11</v>
      </c>
      <c r="AH29" s="18" t="s">
        <v>33</v>
      </c>
      <c r="AI29" s="18" t="s">
        <v>34</v>
      </c>
      <c r="AJ29" s="18" t="s">
        <v>4</v>
      </c>
      <c r="AK29" s="21">
        <v>2.7</v>
      </c>
      <c r="AL29" s="18" t="s">
        <v>30</v>
      </c>
      <c r="AM29" s="21">
        <v>13000</v>
      </c>
      <c r="AN29" s="19">
        <v>35100</v>
      </c>
      <c r="AP29" s="20" t="s">
        <v>63</v>
      </c>
      <c r="AQ29" s="18" t="s">
        <v>64</v>
      </c>
      <c r="AR29" s="18" t="s">
        <v>41</v>
      </c>
      <c r="AS29" s="18">
        <v>1</v>
      </c>
      <c r="AT29" s="18" t="s">
        <v>20</v>
      </c>
      <c r="AU29" s="18">
        <v>19540.165000000001</v>
      </c>
      <c r="AV29" s="19">
        <v>19540.165000000001</v>
      </c>
      <c r="AX29" s="20" t="s">
        <v>63</v>
      </c>
      <c r="AY29" s="18" t="s">
        <v>64</v>
      </c>
      <c r="AZ29" s="18" t="s">
        <v>41</v>
      </c>
      <c r="BA29" s="18">
        <v>1</v>
      </c>
      <c r="BB29" s="18" t="s">
        <v>20</v>
      </c>
      <c r="BC29" s="18">
        <v>19540.165000000001</v>
      </c>
      <c r="BD29" s="19">
        <v>19540.165000000001</v>
      </c>
    </row>
    <row r="30" spans="1:56" x14ac:dyDescent="0.35">
      <c r="A30" s="38" t="str">
        <v>CETS0043</v>
      </c>
      <c r="B30" s="31" t="str">
        <f t="shared" si="4"/>
        <v>BOTOL PUMP HANDSOAP DAN HAND SANITIZER</v>
      </c>
      <c r="C30" s="31" t="str">
        <f t="shared" si="11"/>
        <v>CLEANING TOOLS AND SUPPLIES</v>
      </c>
      <c r="D30" s="39" t="str">
        <f t="shared" si="5"/>
        <v>pcs</v>
      </c>
      <c r="E30" s="47">
        <f t="shared" si="6"/>
        <v>19540.169999999998</v>
      </c>
      <c r="F30" s="48">
        <f t="shared" si="7"/>
        <v>1</v>
      </c>
      <c r="G30" s="48">
        <f t="shared" si="8"/>
        <v>1</v>
      </c>
      <c r="H30" s="48">
        <f t="shared" si="9"/>
        <v>0</v>
      </c>
      <c r="I30" s="40">
        <f t="shared" si="10"/>
        <v>0</v>
      </c>
      <c r="J30" s="31" t="str">
        <f t="shared" si="12"/>
        <v>Tidak Ada Perubahan</v>
      </c>
      <c r="K30" s="42"/>
      <c r="O30" s="3">
        <v>9</v>
      </c>
      <c r="P30" t="s">
        <v>39</v>
      </c>
      <c r="Q30" t="s">
        <v>40</v>
      </c>
      <c r="R30" t="s">
        <v>41</v>
      </c>
      <c r="S30" s="10">
        <v>1</v>
      </c>
      <c r="T30" t="s">
        <v>20</v>
      </c>
      <c r="U30" s="10">
        <v>6972.4284000000007</v>
      </c>
      <c r="V30" s="4">
        <v>6972.4283999999998</v>
      </c>
      <c r="X30" s="3" t="s">
        <v>70</v>
      </c>
      <c r="Y30" t="s">
        <v>71</v>
      </c>
      <c r="Z30" t="s">
        <v>67</v>
      </c>
      <c r="AA30" s="10">
        <v>4</v>
      </c>
      <c r="AB30" t="s">
        <v>5</v>
      </c>
      <c r="AC30" s="10">
        <v>9000</v>
      </c>
      <c r="AD30" s="4">
        <v>36000</v>
      </c>
      <c r="AG30" s="20">
        <v>12</v>
      </c>
      <c r="AH30" s="18" t="s">
        <v>37</v>
      </c>
      <c r="AI30" s="18" t="s">
        <v>38</v>
      </c>
      <c r="AJ30" s="18" t="s">
        <v>4</v>
      </c>
      <c r="AK30" s="21">
        <v>3</v>
      </c>
      <c r="AL30" s="18" t="s">
        <v>20</v>
      </c>
      <c r="AM30" s="21">
        <v>2190.7273</v>
      </c>
      <c r="AN30" s="19">
        <v>6572.1818999999996</v>
      </c>
      <c r="AP30" s="20" t="s">
        <v>65</v>
      </c>
      <c r="AQ30" s="18" t="s">
        <v>66</v>
      </c>
      <c r="AR30" s="18" t="s">
        <v>67</v>
      </c>
      <c r="AS30" s="21">
        <v>2</v>
      </c>
      <c r="AT30" s="18" t="s">
        <v>20</v>
      </c>
      <c r="AU30" s="21">
        <v>860.48082773219505</v>
      </c>
      <c r="AV30" s="19">
        <v>1720.9616550000001</v>
      </c>
      <c r="AX30" s="20" t="s">
        <v>65</v>
      </c>
      <c r="AY30" s="18" t="s">
        <v>66</v>
      </c>
      <c r="AZ30" s="18" t="s">
        <v>67</v>
      </c>
      <c r="BA30" s="21">
        <v>2</v>
      </c>
      <c r="BB30" s="18" t="s">
        <v>20</v>
      </c>
      <c r="BC30" s="21">
        <v>860.48082773219505</v>
      </c>
      <c r="BD30" s="19">
        <v>1720.9616550000001</v>
      </c>
    </row>
    <row r="31" spans="1:56" x14ac:dyDescent="0.35">
      <c r="A31" s="38" t="str">
        <v>STA00003</v>
      </c>
      <c r="B31" s="31" t="str">
        <f t="shared" si="4"/>
        <v>AMPLOP COKLAT</v>
      </c>
      <c r="C31" s="31" t="str">
        <f t="shared" si="11"/>
        <v>STATIONARY AND OFFICE SUPPLIES</v>
      </c>
      <c r="D31" s="39" t="str">
        <f t="shared" si="5"/>
        <v>pcs</v>
      </c>
      <c r="E31" s="47">
        <f t="shared" si="6"/>
        <v>860.48</v>
      </c>
      <c r="F31" s="48">
        <f t="shared" si="7"/>
        <v>4</v>
      </c>
      <c r="G31" s="48">
        <f t="shared" si="8"/>
        <v>2</v>
      </c>
      <c r="H31" s="48">
        <f t="shared" si="9"/>
        <v>-2</v>
      </c>
      <c r="I31" s="40">
        <f t="shared" si="10"/>
        <v>-1720.96</v>
      </c>
      <c r="J31" s="31" t="str">
        <f t="shared" si="12"/>
        <v>Penurunan IU</v>
      </c>
      <c r="K31" s="42" t="s">
        <v>961</v>
      </c>
      <c r="O31" s="3">
        <v>10</v>
      </c>
      <c r="P31" t="s">
        <v>50</v>
      </c>
      <c r="Q31" t="s">
        <v>51</v>
      </c>
      <c r="R31" t="s">
        <v>41</v>
      </c>
      <c r="S31" s="10">
        <v>18</v>
      </c>
      <c r="T31" t="s">
        <v>52</v>
      </c>
      <c r="U31" s="10">
        <v>20499.992200000001</v>
      </c>
      <c r="V31" s="4">
        <v>368999.85960000003</v>
      </c>
      <c r="X31" s="3" t="s">
        <v>72</v>
      </c>
      <c r="Y31" t="s">
        <v>73</v>
      </c>
      <c r="Z31" t="s">
        <v>67</v>
      </c>
      <c r="AA31" s="10">
        <v>5</v>
      </c>
      <c r="AB31" t="s">
        <v>74</v>
      </c>
      <c r="AC31" s="10">
        <v>3006.7408</v>
      </c>
      <c r="AD31" s="4">
        <v>15033.704</v>
      </c>
      <c r="AG31" s="20">
        <v>13</v>
      </c>
      <c r="AH31" s="18" t="s">
        <v>50</v>
      </c>
      <c r="AI31" s="18" t="s">
        <v>51</v>
      </c>
      <c r="AJ31" s="18" t="s">
        <v>41</v>
      </c>
      <c r="AK31" s="21">
        <v>18</v>
      </c>
      <c r="AL31" s="18" t="s">
        <v>52</v>
      </c>
      <c r="AM31" s="21">
        <v>20499.996200000001</v>
      </c>
      <c r="AN31" s="19">
        <v>368999.93160000001</v>
      </c>
      <c r="AP31" s="20" t="s">
        <v>228</v>
      </c>
      <c r="AQ31" s="18" t="s">
        <v>229</v>
      </c>
      <c r="AR31" s="18" t="s">
        <v>67</v>
      </c>
      <c r="AS31" s="21">
        <v>1</v>
      </c>
      <c r="AT31" s="18" t="s">
        <v>20</v>
      </c>
      <c r="AU31" s="21">
        <v>7785</v>
      </c>
      <c r="AV31" s="19">
        <v>7785</v>
      </c>
      <c r="AX31" s="20" t="s">
        <v>228</v>
      </c>
      <c r="AY31" s="18" t="s">
        <v>229</v>
      </c>
      <c r="AZ31" s="18" t="s">
        <v>67</v>
      </c>
      <c r="BA31" s="21">
        <v>1</v>
      </c>
      <c r="BB31" s="18" t="s">
        <v>20</v>
      </c>
      <c r="BC31" s="21">
        <v>7785</v>
      </c>
      <c r="BD31" s="19">
        <v>7785</v>
      </c>
    </row>
    <row r="32" spans="1:56" x14ac:dyDescent="0.35">
      <c r="A32" s="38" t="str">
        <v>STA00014</v>
      </c>
      <c r="B32" s="31" t="str">
        <f t="shared" si="4"/>
        <v>TINTA STAMPEL BLUE - BIRU</v>
      </c>
      <c r="C32" s="31" t="str">
        <f t="shared" si="11"/>
        <v>STATIONARY AND OFFICE SUPPLIES</v>
      </c>
      <c r="D32" s="39" t="str">
        <f t="shared" si="5"/>
        <v>pcs</v>
      </c>
      <c r="E32" s="47">
        <f t="shared" si="6"/>
        <v>7785</v>
      </c>
      <c r="F32" s="48" t="str">
        <f t="shared" si="7"/>
        <v>0</v>
      </c>
      <c r="G32" s="48">
        <f t="shared" si="8"/>
        <v>1</v>
      </c>
      <c r="H32" s="48">
        <f t="shared" si="9"/>
        <v>1</v>
      </c>
      <c r="I32" s="40">
        <f t="shared" si="10"/>
        <v>7785</v>
      </c>
      <c r="J32" s="31" t="str">
        <f t="shared" si="12"/>
        <v>Kenaikan IU</v>
      </c>
      <c r="K32" s="42" t="s">
        <v>962</v>
      </c>
      <c r="O32" s="3">
        <v>11</v>
      </c>
      <c r="P32" t="s">
        <v>53</v>
      </c>
      <c r="Q32" t="s">
        <v>54</v>
      </c>
      <c r="R32" t="s">
        <v>41</v>
      </c>
      <c r="S32" s="10">
        <v>8</v>
      </c>
      <c r="T32" t="s">
        <v>20</v>
      </c>
      <c r="U32" s="10">
        <v>3318.3332999999998</v>
      </c>
      <c r="V32" s="4">
        <v>26546.666399999998</v>
      </c>
      <c r="X32" s="3" t="s">
        <v>75</v>
      </c>
      <c r="Y32" t="s">
        <v>76</v>
      </c>
      <c r="Z32" t="s">
        <v>67</v>
      </c>
      <c r="AA32" s="10">
        <v>5</v>
      </c>
      <c r="AB32" t="s">
        <v>74</v>
      </c>
      <c r="AC32" s="10">
        <v>6023.8095000000003</v>
      </c>
      <c r="AD32" s="4">
        <v>30119.047500000001</v>
      </c>
      <c r="AG32" s="20">
        <v>14</v>
      </c>
      <c r="AH32" s="18" t="s">
        <v>53</v>
      </c>
      <c r="AI32" s="18" t="s">
        <v>54</v>
      </c>
      <c r="AJ32" s="18" t="s">
        <v>41</v>
      </c>
      <c r="AK32" s="21">
        <v>7</v>
      </c>
      <c r="AL32" s="18" t="s">
        <v>20</v>
      </c>
      <c r="AM32" s="21">
        <v>3318.3332999999998</v>
      </c>
      <c r="AN32" s="19">
        <v>23228.3331</v>
      </c>
      <c r="AP32" s="20" t="s">
        <v>70</v>
      </c>
      <c r="AQ32" s="18" t="s">
        <v>71</v>
      </c>
      <c r="AR32" s="18" t="s">
        <v>67</v>
      </c>
      <c r="AS32" s="21">
        <v>2</v>
      </c>
      <c r="AT32" s="18" t="s">
        <v>5</v>
      </c>
      <c r="AU32" s="21">
        <v>16944</v>
      </c>
      <c r="AV32" s="19">
        <v>33888</v>
      </c>
      <c r="AX32" s="20" t="s">
        <v>70</v>
      </c>
      <c r="AY32" s="18" t="s">
        <v>71</v>
      </c>
      <c r="AZ32" s="18" t="s">
        <v>67</v>
      </c>
      <c r="BA32" s="21">
        <v>2</v>
      </c>
      <c r="BB32" s="18" t="s">
        <v>5</v>
      </c>
      <c r="BC32" s="21">
        <v>16944</v>
      </c>
      <c r="BD32" s="19">
        <v>33888</v>
      </c>
    </row>
    <row r="33" spans="1:56" x14ac:dyDescent="0.35">
      <c r="A33" s="38" t="str">
        <v>STA00019</v>
      </c>
      <c r="B33" s="31" t="str">
        <f t="shared" si="4"/>
        <v>BATERAI AAA</v>
      </c>
      <c r="C33" s="31" t="str">
        <f t="shared" si="11"/>
        <v>STATIONARY AND OFFICE SUPPLIES</v>
      </c>
      <c r="D33" s="39" t="str">
        <f t="shared" si="5"/>
        <v>pack</v>
      </c>
      <c r="E33" s="47">
        <f t="shared" si="6"/>
        <v>16944</v>
      </c>
      <c r="F33" s="48">
        <f t="shared" si="7"/>
        <v>4</v>
      </c>
      <c r="G33" s="48">
        <f t="shared" si="8"/>
        <v>2</v>
      </c>
      <c r="H33" s="48">
        <f t="shared" si="9"/>
        <v>-2</v>
      </c>
      <c r="I33" s="40">
        <f t="shared" si="10"/>
        <v>-33888</v>
      </c>
      <c r="J33" s="31" t="str">
        <f t="shared" si="12"/>
        <v>Penurunan IU</v>
      </c>
      <c r="K33" s="42" t="s">
        <v>963</v>
      </c>
      <c r="O33" s="3">
        <v>12</v>
      </c>
      <c r="P33" t="s">
        <v>55</v>
      </c>
      <c r="Q33" t="s">
        <v>56</v>
      </c>
      <c r="R33" t="s">
        <v>41</v>
      </c>
      <c r="S33" s="10">
        <v>12</v>
      </c>
      <c r="T33" t="s">
        <v>20</v>
      </c>
      <c r="U33" s="10">
        <v>2000</v>
      </c>
      <c r="V33" s="4">
        <v>24000</v>
      </c>
      <c r="X33" s="3" t="s">
        <v>77</v>
      </c>
      <c r="Y33" t="s">
        <v>78</v>
      </c>
      <c r="Z33" t="s">
        <v>67</v>
      </c>
      <c r="AA33" s="10">
        <v>2</v>
      </c>
      <c r="AB33" t="s">
        <v>20</v>
      </c>
      <c r="AC33" s="10">
        <v>1550</v>
      </c>
      <c r="AD33" s="4">
        <v>3100</v>
      </c>
      <c r="AG33" s="20">
        <v>15</v>
      </c>
      <c r="AH33" s="18" t="s">
        <v>55</v>
      </c>
      <c r="AI33" s="18" t="s">
        <v>56</v>
      </c>
      <c r="AJ33" s="18" t="s">
        <v>41</v>
      </c>
      <c r="AK33" s="21">
        <v>7</v>
      </c>
      <c r="AL33" s="18" t="s">
        <v>20</v>
      </c>
      <c r="AM33" s="21">
        <v>2000</v>
      </c>
      <c r="AN33" s="19">
        <v>14000</v>
      </c>
      <c r="AP33" s="20" t="s">
        <v>230</v>
      </c>
      <c r="AQ33" s="18" t="s">
        <v>231</v>
      </c>
      <c r="AR33" s="18" t="s">
        <v>67</v>
      </c>
      <c r="AS33" s="21">
        <v>8</v>
      </c>
      <c r="AT33" s="18" t="s">
        <v>5</v>
      </c>
      <c r="AU33" s="21">
        <v>10008.944544203334</v>
      </c>
      <c r="AV33" s="19">
        <v>80071.556354</v>
      </c>
      <c r="AX33" s="20" t="s">
        <v>230</v>
      </c>
      <c r="AY33" s="18" t="s">
        <v>231</v>
      </c>
      <c r="AZ33" s="18" t="s">
        <v>67</v>
      </c>
      <c r="BA33" s="21">
        <v>8</v>
      </c>
      <c r="BB33" s="18" t="s">
        <v>5</v>
      </c>
      <c r="BC33" s="21">
        <v>10008.944544203334</v>
      </c>
      <c r="BD33" s="19">
        <v>80071.556354</v>
      </c>
    </row>
    <row r="34" spans="1:56" x14ac:dyDescent="0.35">
      <c r="A34" s="38" t="str">
        <v>STA00020</v>
      </c>
      <c r="B34" s="31" t="str">
        <f t="shared" si="4"/>
        <v>BATERAI AA</v>
      </c>
      <c r="C34" s="31" t="str">
        <f t="shared" si="11"/>
        <v>STATIONARY AND OFFICE SUPPLIES</v>
      </c>
      <c r="D34" s="39" t="str">
        <f t="shared" si="5"/>
        <v>pack</v>
      </c>
      <c r="E34" s="47">
        <f t="shared" si="6"/>
        <v>10008.94</v>
      </c>
      <c r="F34" s="48" t="str">
        <f t="shared" si="7"/>
        <v>0</v>
      </c>
      <c r="G34" s="48">
        <f t="shared" si="8"/>
        <v>8</v>
      </c>
      <c r="H34" s="48">
        <f t="shared" si="9"/>
        <v>8</v>
      </c>
      <c r="I34" s="40">
        <f t="shared" si="10"/>
        <v>80071.520000000004</v>
      </c>
      <c r="J34" s="31" t="str">
        <f t="shared" si="12"/>
        <v>Kenaikan IU</v>
      </c>
      <c r="K34" s="42" t="s">
        <v>964</v>
      </c>
      <c r="O34" s="3">
        <v>13</v>
      </c>
      <c r="P34" t="s">
        <v>57</v>
      </c>
      <c r="Q34" t="s">
        <v>58</v>
      </c>
      <c r="R34" t="s">
        <v>41</v>
      </c>
      <c r="S34" s="10">
        <v>2</v>
      </c>
      <c r="T34" t="s">
        <v>5</v>
      </c>
      <c r="U34" s="10">
        <v>7699.9618</v>
      </c>
      <c r="V34" s="4">
        <v>15399.9236</v>
      </c>
      <c r="X34" s="3" t="s">
        <v>79</v>
      </c>
      <c r="Y34" t="s">
        <v>80</v>
      </c>
      <c r="Z34" t="s">
        <v>67</v>
      </c>
      <c r="AA34" s="10">
        <v>1</v>
      </c>
      <c r="AB34" t="s">
        <v>20</v>
      </c>
      <c r="AC34" s="10">
        <v>15000</v>
      </c>
      <c r="AD34" s="4">
        <v>15000</v>
      </c>
      <c r="AG34" s="20">
        <v>16</v>
      </c>
      <c r="AH34" s="18" t="s">
        <v>59</v>
      </c>
      <c r="AI34" s="18" t="s">
        <v>60</v>
      </c>
      <c r="AJ34" s="18" t="s">
        <v>41</v>
      </c>
      <c r="AK34" s="21">
        <v>23</v>
      </c>
      <c r="AL34" s="18" t="s">
        <v>5</v>
      </c>
      <c r="AM34" s="21">
        <v>7699.9634999999998</v>
      </c>
      <c r="AN34" s="19">
        <v>177099.1605</v>
      </c>
      <c r="AP34" s="20" t="s">
        <v>232</v>
      </c>
      <c r="AQ34" s="18" t="s">
        <v>233</v>
      </c>
      <c r="AR34" s="18" t="s">
        <v>67</v>
      </c>
      <c r="AS34" s="21">
        <v>2</v>
      </c>
      <c r="AT34" s="18" t="s">
        <v>20</v>
      </c>
      <c r="AU34" s="21">
        <v>8579.6296999999995</v>
      </c>
      <c r="AV34" s="19">
        <v>17159.259399999999</v>
      </c>
      <c r="AX34" s="20" t="s">
        <v>232</v>
      </c>
      <c r="AY34" s="18" t="s">
        <v>233</v>
      </c>
      <c r="AZ34" s="18" t="s">
        <v>67</v>
      </c>
      <c r="BA34" s="21">
        <v>2</v>
      </c>
      <c r="BB34" s="18" t="s">
        <v>20</v>
      </c>
      <c r="BC34" s="21">
        <v>8579.6296999999995</v>
      </c>
      <c r="BD34" s="19">
        <v>17159.259399999999</v>
      </c>
    </row>
    <row r="35" spans="1:56" x14ac:dyDescent="0.35">
      <c r="A35" s="38" t="str">
        <v>STA00025</v>
      </c>
      <c r="B35" s="31" t="str">
        <f t="shared" si="4"/>
        <v>DOUBLE TAPE</v>
      </c>
      <c r="C35" s="31" t="str">
        <f t="shared" si="11"/>
        <v>STATIONARY AND OFFICE SUPPLIES</v>
      </c>
      <c r="D35" s="39" t="str">
        <f t="shared" si="5"/>
        <v>pcs</v>
      </c>
      <c r="E35" s="47">
        <f t="shared" si="6"/>
        <v>8579.6299999999992</v>
      </c>
      <c r="F35" s="48" t="str">
        <f t="shared" si="7"/>
        <v>0</v>
      </c>
      <c r="G35" s="48">
        <f t="shared" si="8"/>
        <v>2</v>
      </c>
      <c r="H35" s="48">
        <f t="shared" si="9"/>
        <v>2</v>
      </c>
      <c r="I35" s="40">
        <f t="shared" si="10"/>
        <v>17159.259999999998</v>
      </c>
      <c r="J35" s="31" t="str">
        <f t="shared" si="12"/>
        <v>Kenaikan IU</v>
      </c>
      <c r="K35" s="42" t="s">
        <v>965</v>
      </c>
      <c r="O35" s="3">
        <v>14</v>
      </c>
      <c r="P35" t="s">
        <v>59</v>
      </c>
      <c r="Q35" t="s">
        <v>60</v>
      </c>
      <c r="R35" t="s">
        <v>41</v>
      </c>
      <c r="S35" s="10">
        <v>24.6</v>
      </c>
      <c r="T35" t="s">
        <v>5</v>
      </c>
      <c r="U35" s="10">
        <v>7699.9215000000004</v>
      </c>
      <c r="V35" s="4">
        <v>189418.06890000001</v>
      </c>
      <c r="X35" s="3" t="s">
        <v>81</v>
      </c>
      <c r="Y35" t="s">
        <v>82</v>
      </c>
      <c r="Z35" t="s">
        <v>67</v>
      </c>
      <c r="AA35" s="10">
        <v>2</v>
      </c>
      <c r="AB35" t="s">
        <v>20</v>
      </c>
      <c r="AC35" s="10">
        <v>8799.25</v>
      </c>
      <c r="AD35" s="4">
        <v>17598.5</v>
      </c>
      <c r="AG35" s="20">
        <v>17</v>
      </c>
      <c r="AH35" s="18" t="s">
        <v>61</v>
      </c>
      <c r="AI35" s="18" t="s">
        <v>62</v>
      </c>
      <c r="AJ35" s="18" t="s">
        <v>41</v>
      </c>
      <c r="AK35" s="21">
        <v>6</v>
      </c>
      <c r="AL35" s="18" t="s">
        <v>5</v>
      </c>
      <c r="AM35" s="21">
        <v>14890.329499999998</v>
      </c>
      <c r="AN35" s="19">
        <v>89341.976999999999</v>
      </c>
      <c r="AP35" s="20" t="s">
        <v>72</v>
      </c>
      <c r="AQ35" s="18" t="s">
        <v>73</v>
      </c>
      <c r="AR35" s="18" t="s">
        <v>67</v>
      </c>
      <c r="AS35" s="21">
        <v>7</v>
      </c>
      <c r="AT35" s="18" t="s">
        <v>74</v>
      </c>
      <c r="AU35" s="21">
        <v>2890.8703999999998</v>
      </c>
      <c r="AV35" s="19">
        <v>20236.092799999999</v>
      </c>
      <c r="AX35" s="20" t="s">
        <v>72</v>
      </c>
      <c r="AY35" s="18" t="s">
        <v>73</v>
      </c>
      <c r="AZ35" s="18" t="s">
        <v>67</v>
      </c>
      <c r="BA35" s="21">
        <v>7</v>
      </c>
      <c r="BB35" s="18" t="s">
        <v>74</v>
      </c>
      <c r="BC35" s="21">
        <v>2890.8703999999998</v>
      </c>
      <c r="BD35" s="19">
        <v>20236.092799999999</v>
      </c>
    </row>
    <row r="36" spans="1:56" x14ac:dyDescent="0.35">
      <c r="A36" s="38" t="str">
        <v>STA00028</v>
      </c>
      <c r="B36" s="31" t="str">
        <f t="shared" si="4"/>
        <v>SOLATIP KECIL 12 MM</v>
      </c>
      <c r="C36" s="31" t="str">
        <f t="shared" si="11"/>
        <v>STATIONARY AND OFFICE SUPPLIES</v>
      </c>
      <c r="D36" s="39" t="str">
        <f t="shared" si="5"/>
        <v>roll</v>
      </c>
      <c r="E36" s="47">
        <f t="shared" si="6"/>
        <v>2890.87</v>
      </c>
      <c r="F36" s="48">
        <f t="shared" si="7"/>
        <v>5</v>
      </c>
      <c r="G36" s="48">
        <f t="shared" si="8"/>
        <v>7</v>
      </c>
      <c r="H36" s="48">
        <f t="shared" si="9"/>
        <v>2</v>
      </c>
      <c r="I36" s="40">
        <f t="shared" si="10"/>
        <v>5781.74</v>
      </c>
      <c r="J36" s="31" t="str">
        <f t="shared" si="12"/>
        <v>Kenaikan IU</v>
      </c>
      <c r="K36" s="42" t="s">
        <v>966</v>
      </c>
      <c r="O36" s="3">
        <v>15</v>
      </c>
      <c r="P36" t="s">
        <v>61</v>
      </c>
      <c r="Q36" t="s">
        <v>62</v>
      </c>
      <c r="R36" t="s">
        <v>41</v>
      </c>
      <c r="S36" s="10">
        <v>2.7</v>
      </c>
      <c r="T36" t="s">
        <v>5</v>
      </c>
      <c r="U36" s="10">
        <v>15582.0247</v>
      </c>
      <c r="V36" s="4">
        <v>42071.466690000001</v>
      </c>
      <c r="X36" s="3" t="s">
        <v>83</v>
      </c>
      <c r="Y36" t="s">
        <v>84</v>
      </c>
      <c r="Z36" t="s">
        <v>67</v>
      </c>
      <c r="AA36" s="10">
        <v>2</v>
      </c>
      <c r="AB36" t="s">
        <v>20</v>
      </c>
      <c r="AC36" s="10">
        <v>7250</v>
      </c>
      <c r="AD36" s="4">
        <v>14500</v>
      </c>
      <c r="AG36" s="20">
        <v>18</v>
      </c>
      <c r="AH36" s="18" t="s">
        <v>63</v>
      </c>
      <c r="AI36" s="18" t="s">
        <v>64</v>
      </c>
      <c r="AJ36" s="18" t="s">
        <v>41</v>
      </c>
      <c r="AK36" s="18">
        <v>1</v>
      </c>
      <c r="AL36" s="18" t="s">
        <v>20</v>
      </c>
      <c r="AM36" s="18">
        <v>19540.165000000001</v>
      </c>
      <c r="AN36" s="19">
        <v>19540.165000000001</v>
      </c>
      <c r="AP36" s="20" t="s">
        <v>75</v>
      </c>
      <c r="AQ36" s="18" t="s">
        <v>76</v>
      </c>
      <c r="AR36" s="18" t="s">
        <v>67</v>
      </c>
      <c r="AS36" s="21">
        <v>3</v>
      </c>
      <c r="AT36" s="18" t="s">
        <v>74</v>
      </c>
      <c r="AU36" s="21">
        <v>5628.9683000000005</v>
      </c>
      <c r="AV36" s="19">
        <v>16886.904900000001</v>
      </c>
      <c r="AX36" s="20" t="s">
        <v>75</v>
      </c>
      <c r="AY36" s="18" t="s">
        <v>76</v>
      </c>
      <c r="AZ36" s="18" t="s">
        <v>67</v>
      </c>
      <c r="BA36" s="21">
        <v>3</v>
      </c>
      <c r="BB36" s="18" t="s">
        <v>74</v>
      </c>
      <c r="BC36" s="21">
        <v>5628.9683000000005</v>
      </c>
      <c r="BD36" s="19">
        <v>16886.904900000001</v>
      </c>
    </row>
    <row r="37" spans="1:56" ht="15" thickBot="1" x14ac:dyDescent="0.4">
      <c r="A37" s="38" t="str">
        <v>STA00029</v>
      </c>
      <c r="B37" s="31" t="str">
        <f t="shared" si="4"/>
        <v>SOLATIP SEDANG</v>
      </c>
      <c r="C37" s="31" t="str">
        <f t="shared" si="11"/>
        <v>STATIONARY AND OFFICE SUPPLIES</v>
      </c>
      <c r="D37" s="39" t="str">
        <f t="shared" si="5"/>
        <v>roll</v>
      </c>
      <c r="E37" s="47">
        <f t="shared" si="6"/>
        <v>5628.97</v>
      </c>
      <c r="F37" s="48">
        <f t="shared" si="7"/>
        <v>5</v>
      </c>
      <c r="G37" s="48">
        <f t="shared" si="8"/>
        <v>3</v>
      </c>
      <c r="H37" s="48">
        <f t="shared" si="9"/>
        <v>-2</v>
      </c>
      <c r="I37" s="40">
        <f t="shared" si="10"/>
        <v>-11257.94</v>
      </c>
      <c r="J37" s="31" t="str">
        <f t="shared" si="12"/>
        <v>Penurunan IU</v>
      </c>
      <c r="K37" s="42" t="s">
        <v>967</v>
      </c>
      <c r="O37" s="11">
        <v>16</v>
      </c>
      <c r="P37" s="12" t="s">
        <v>63</v>
      </c>
      <c r="Q37" s="12" t="s">
        <v>64</v>
      </c>
      <c r="R37" s="12" t="s">
        <v>41</v>
      </c>
      <c r="S37" s="12">
        <v>1</v>
      </c>
      <c r="T37" s="12" t="s">
        <v>20</v>
      </c>
      <c r="U37" s="12">
        <v>19540.165000000001</v>
      </c>
      <c r="V37" s="13">
        <v>19540.165000000001</v>
      </c>
      <c r="X37" s="3" t="s">
        <v>85</v>
      </c>
      <c r="Y37" t="s">
        <v>86</v>
      </c>
      <c r="Z37" t="s">
        <v>67</v>
      </c>
      <c r="AA37" s="10">
        <v>0.5</v>
      </c>
      <c r="AB37" t="s">
        <v>87</v>
      </c>
      <c r="AC37" s="10">
        <v>18500</v>
      </c>
      <c r="AD37" s="4">
        <v>9250</v>
      </c>
      <c r="AG37" s="22" t="s">
        <v>223</v>
      </c>
      <c r="AH37" s="23" t="s">
        <v>223</v>
      </c>
      <c r="AI37" s="23" t="s">
        <v>223</v>
      </c>
      <c r="AJ37" s="23" t="s">
        <v>223</v>
      </c>
      <c r="AK37" s="23" t="s">
        <v>223</v>
      </c>
      <c r="AL37" s="23" t="s">
        <v>223</v>
      </c>
      <c r="AM37" s="23" t="s">
        <v>224</v>
      </c>
      <c r="AN37" s="24">
        <v>2137562.7124359999</v>
      </c>
      <c r="AP37" s="20" t="s">
        <v>234</v>
      </c>
      <c r="AQ37" s="18" t="s">
        <v>235</v>
      </c>
      <c r="AR37" s="18" t="s">
        <v>67</v>
      </c>
      <c r="AS37" s="21">
        <v>1</v>
      </c>
      <c r="AT37" s="18" t="s">
        <v>20</v>
      </c>
      <c r="AU37" s="21">
        <v>1550</v>
      </c>
      <c r="AV37" s="19">
        <v>1550</v>
      </c>
      <c r="AX37" s="20" t="s">
        <v>234</v>
      </c>
      <c r="AY37" s="18" t="s">
        <v>235</v>
      </c>
      <c r="AZ37" s="18" t="s">
        <v>67</v>
      </c>
      <c r="BA37" s="21">
        <v>1</v>
      </c>
      <c r="BB37" s="18" t="s">
        <v>20</v>
      </c>
      <c r="BC37" s="21">
        <v>1550</v>
      </c>
      <c r="BD37" s="19">
        <v>1550</v>
      </c>
    </row>
    <row r="38" spans="1:56" ht="15.5" thickTop="1" thickBot="1" x14ac:dyDescent="0.4">
      <c r="A38" s="38" t="str">
        <v>STA00031</v>
      </c>
      <c r="B38" s="31" t="str">
        <f t="shared" si="4"/>
        <v>TIPEX</v>
      </c>
      <c r="C38" s="31" t="str">
        <f t="shared" si="11"/>
        <v>STATIONARY AND OFFICE SUPPLIES</v>
      </c>
      <c r="D38" s="39" t="str">
        <f t="shared" si="5"/>
        <v>pcs</v>
      </c>
      <c r="E38" s="47">
        <f t="shared" si="6"/>
        <v>1550</v>
      </c>
      <c r="F38" s="48" t="str">
        <f t="shared" si="7"/>
        <v>0</v>
      </c>
      <c r="G38" s="48">
        <f t="shared" si="8"/>
        <v>1</v>
      </c>
      <c r="H38" s="48">
        <f t="shared" si="9"/>
        <v>1</v>
      </c>
      <c r="I38" s="40">
        <f t="shared" si="10"/>
        <v>1550</v>
      </c>
      <c r="J38" s="31" t="str">
        <f t="shared" si="12"/>
        <v>Kenaikan IU</v>
      </c>
      <c r="K38" s="42" t="s">
        <v>968</v>
      </c>
      <c r="X38" s="3" t="s">
        <v>88</v>
      </c>
      <c r="Y38" t="s">
        <v>89</v>
      </c>
      <c r="Z38" t="s">
        <v>67</v>
      </c>
      <c r="AA38" s="10">
        <v>3</v>
      </c>
      <c r="AB38" t="s">
        <v>5</v>
      </c>
      <c r="AC38" s="10">
        <v>1750</v>
      </c>
      <c r="AD38" s="4">
        <v>5250</v>
      </c>
      <c r="AP38" s="20" t="s">
        <v>236</v>
      </c>
      <c r="AQ38" s="18" t="s">
        <v>237</v>
      </c>
      <c r="AR38" s="18" t="s">
        <v>67</v>
      </c>
      <c r="AS38" s="21">
        <v>1</v>
      </c>
      <c r="AT38" s="18" t="s">
        <v>20</v>
      </c>
      <c r="AU38" s="21">
        <v>7500</v>
      </c>
      <c r="AV38" s="19">
        <v>7500</v>
      </c>
      <c r="AX38" s="20" t="s">
        <v>236</v>
      </c>
      <c r="AY38" s="18" t="s">
        <v>237</v>
      </c>
      <c r="AZ38" s="18" t="s">
        <v>67</v>
      </c>
      <c r="BA38" s="21">
        <v>1</v>
      </c>
      <c r="BB38" s="18" t="s">
        <v>20</v>
      </c>
      <c r="BC38" s="21">
        <v>7500</v>
      </c>
      <c r="BD38" s="19">
        <v>7500</v>
      </c>
    </row>
    <row r="39" spans="1:56" ht="15.5" thickTop="1" thickBot="1" x14ac:dyDescent="0.4">
      <c r="A39" s="38" t="str">
        <v>STA00035</v>
      </c>
      <c r="B39" s="31" t="str">
        <f t="shared" si="4"/>
        <v>LAKBAN BENING</v>
      </c>
      <c r="C39" s="31" t="str">
        <f t="shared" si="11"/>
        <v>STATIONARY AND OFFICE SUPPLIES</v>
      </c>
      <c r="D39" s="39" t="str">
        <f t="shared" si="5"/>
        <v>pcs</v>
      </c>
      <c r="E39" s="47">
        <f t="shared" si="6"/>
        <v>7500</v>
      </c>
      <c r="F39" s="48" t="str">
        <f t="shared" si="7"/>
        <v>0</v>
      </c>
      <c r="G39" s="48">
        <f t="shared" si="8"/>
        <v>1</v>
      </c>
      <c r="H39" s="48">
        <f t="shared" si="9"/>
        <v>1</v>
      </c>
      <c r="I39" s="40">
        <f t="shared" si="10"/>
        <v>7500</v>
      </c>
      <c r="J39" s="31" t="str">
        <f t="shared" si="12"/>
        <v>Kenaikan IU</v>
      </c>
      <c r="K39" s="42" t="s">
        <v>969</v>
      </c>
      <c r="O39" s="88" t="s">
        <v>0</v>
      </c>
      <c r="P39" s="89"/>
      <c r="Q39" s="89"/>
      <c r="R39" s="89"/>
      <c r="S39" s="89"/>
      <c r="T39" s="1"/>
      <c r="U39" s="1"/>
      <c r="V39" s="2"/>
      <c r="X39" s="3" t="s">
        <v>90</v>
      </c>
      <c r="Y39" t="s">
        <v>91</v>
      </c>
      <c r="Z39" t="s">
        <v>67</v>
      </c>
      <c r="AA39" s="10">
        <v>3</v>
      </c>
      <c r="AB39" t="s">
        <v>5</v>
      </c>
      <c r="AC39" s="10">
        <v>5820.3125</v>
      </c>
      <c r="AD39" s="4">
        <v>17460.9375</v>
      </c>
      <c r="AP39" s="20" t="s">
        <v>238</v>
      </c>
      <c r="AQ39" s="18" t="s">
        <v>239</v>
      </c>
      <c r="AR39" s="18" t="s">
        <v>67</v>
      </c>
      <c r="AS39" s="21">
        <v>0.2</v>
      </c>
      <c r="AT39" s="18" t="s">
        <v>74</v>
      </c>
      <c r="AU39" s="21">
        <v>8831.1828000000005</v>
      </c>
      <c r="AV39" s="19">
        <v>1766.2365600000001</v>
      </c>
      <c r="AX39" s="20" t="s">
        <v>238</v>
      </c>
      <c r="AY39" s="18" t="s">
        <v>239</v>
      </c>
      <c r="AZ39" s="18" t="s">
        <v>67</v>
      </c>
      <c r="BA39" s="21">
        <v>0.2</v>
      </c>
      <c r="BB39" s="18" t="s">
        <v>74</v>
      </c>
      <c r="BC39" s="21">
        <v>8831.1828000000005</v>
      </c>
      <c r="BD39" s="19">
        <v>1766.2365600000001</v>
      </c>
    </row>
    <row r="40" spans="1:56" x14ac:dyDescent="0.35">
      <c r="A40" s="38" t="str">
        <v>STA00048</v>
      </c>
      <c r="B40" s="31" t="str">
        <f t="shared" si="4"/>
        <v>HANSAPLAST ROLL</v>
      </c>
      <c r="C40" s="31" t="str">
        <f t="shared" si="11"/>
        <v>STATIONARY AND OFFICE SUPPLIES</v>
      </c>
      <c r="D40" s="39" t="str">
        <f t="shared" si="5"/>
        <v>roll</v>
      </c>
      <c r="E40" s="47">
        <f t="shared" si="6"/>
        <v>8831.18</v>
      </c>
      <c r="F40" s="48" t="str">
        <f t="shared" si="7"/>
        <v>0</v>
      </c>
      <c r="G40" s="48">
        <f t="shared" si="8"/>
        <v>0.2</v>
      </c>
      <c r="H40" s="48">
        <f t="shared" si="9"/>
        <v>0.2</v>
      </c>
      <c r="I40" s="40">
        <f t="shared" si="10"/>
        <v>1766.2360000000001</v>
      </c>
      <c r="J40" s="31" t="str">
        <f t="shared" si="12"/>
        <v>Kenaikan IU</v>
      </c>
      <c r="K40" s="42" t="s">
        <v>970</v>
      </c>
      <c r="O40" s="86" t="s">
        <v>1</v>
      </c>
      <c r="P40" s="87"/>
      <c r="Q40" s="87"/>
      <c r="R40" s="87"/>
      <c r="S40" s="87"/>
      <c r="V40" s="4"/>
      <c r="X40" s="3" t="s">
        <v>92</v>
      </c>
      <c r="Y40" t="s">
        <v>93</v>
      </c>
      <c r="Z40" t="s">
        <v>67</v>
      </c>
      <c r="AA40" s="10">
        <v>20</v>
      </c>
      <c r="AB40" t="s">
        <v>94</v>
      </c>
      <c r="AC40" s="10">
        <v>11800.8393</v>
      </c>
      <c r="AD40" s="4">
        <v>236016.78599999999</v>
      </c>
      <c r="AG40" s="84" t="s">
        <v>0</v>
      </c>
      <c r="AH40" s="85"/>
      <c r="AI40" s="85"/>
      <c r="AJ40" s="85"/>
      <c r="AK40" s="85"/>
      <c r="AL40" s="16"/>
      <c r="AM40" s="16"/>
      <c r="AN40" s="17"/>
      <c r="AP40" s="20" t="s">
        <v>240</v>
      </c>
      <c r="AQ40" s="18" t="s">
        <v>241</v>
      </c>
      <c r="AR40" s="18" t="s">
        <v>67</v>
      </c>
      <c r="AS40" s="21">
        <v>1</v>
      </c>
      <c r="AT40" s="18" t="s">
        <v>20</v>
      </c>
      <c r="AU40" s="21">
        <v>22518.920399999999</v>
      </c>
      <c r="AV40" s="19">
        <v>22518.920399999999</v>
      </c>
      <c r="AX40" s="20" t="s">
        <v>240</v>
      </c>
      <c r="AY40" s="18" t="s">
        <v>241</v>
      </c>
      <c r="AZ40" s="18" t="s">
        <v>67</v>
      </c>
      <c r="BA40" s="21">
        <v>1</v>
      </c>
      <c r="BB40" s="18" t="s">
        <v>20</v>
      </c>
      <c r="BC40" s="21">
        <v>22518.920399999999</v>
      </c>
      <c r="BD40" s="19">
        <v>22518.920399999999</v>
      </c>
    </row>
    <row r="41" spans="1:56" x14ac:dyDescent="0.35">
      <c r="A41" s="38" t="str">
        <v>STA00049</v>
      </c>
      <c r="B41" s="31" t="str">
        <f t="shared" si="4"/>
        <v>TAPE DISPENSER</v>
      </c>
      <c r="C41" s="31" t="str">
        <f t="shared" si="11"/>
        <v>STATIONARY AND OFFICE SUPPLIES</v>
      </c>
      <c r="D41" s="39" t="str">
        <f t="shared" si="5"/>
        <v>pcs</v>
      </c>
      <c r="E41" s="47">
        <f t="shared" si="6"/>
        <v>22518.92</v>
      </c>
      <c r="F41" s="48" t="str">
        <f t="shared" si="7"/>
        <v>0</v>
      </c>
      <c r="G41" s="48">
        <f t="shared" si="8"/>
        <v>1</v>
      </c>
      <c r="H41" s="48">
        <f t="shared" si="9"/>
        <v>1</v>
      </c>
      <c r="I41" s="40">
        <f t="shared" si="10"/>
        <v>22518.92</v>
      </c>
      <c r="J41" s="31" t="str">
        <f t="shared" si="12"/>
        <v>Kenaikan IU</v>
      </c>
      <c r="K41" s="42" t="s">
        <v>971</v>
      </c>
      <c r="O41" s="3"/>
      <c r="Q41" s="9" t="s">
        <v>95</v>
      </c>
      <c r="V41" s="4"/>
      <c r="X41" s="3" t="s">
        <v>96</v>
      </c>
      <c r="Y41" t="s">
        <v>97</v>
      </c>
      <c r="Z41" t="s">
        <v>67</v>
      </c>
      <c r="AA41" s="10">
        <v>4</v>
      </c>
      <c r="AB41" t="s">
        <v>98</v>
      </c>
      <c r="AC41" s="10">
        <v>9100</v>
      </c>
      <c r="AD41" s="4">
        <v>36400</v>
      </c>
      <c r="AG41" s="82" t="s">
        <v>1</v>
      </c>
      <c r="AH41" s="83"/>
      <c r="AI41" s="83"/>
      <c r="AJ41" s="83"/>
      <c r="AK41" s="83"/>
      <c r="AL41" s="18"/>
      <c r="AM41" s="18"/>
      <c r="AN41" s="19"/>
      <c r="AP41" s="20" t="s">
        <v>83</v>
      </c>
      <c r="AQ41" s="18" t="s">
        <v>84</v>
      </c>
      <c r="AR41" s="18" t="s">
        <v>67</v>
      </c>
      <c r="AS41" s="21">
        <v>2</v>
      </c>
      <c r="AT41" s="18" t="s">
        <v>20</v>
      </c>
      <c r="AU41" s="21">
        <v>13625</v>
      </c>
      <c r="AV41" s="19">
        <v>27250</v>
      </c>
      <c r="AX41" s="20" t="s">
        <v>83</v>
      </c>
      <c r="AY41" s="18" t="s">
        <v>84</v>
      </c>
      <c r="AZ41" s="18" t="s">
        <v>67</v>
      </c>
      <c r="BA41" s="21">
        <v>2</v>
      </c>
      <c r="BB41" s="18" t="s">
        <v>20</v>
      </c>
      <c r="BC41" s="21">
        <v>13625</v>
      </c>
      <c r="BD41" s="19">
        <v>27250</v>
      </c>
    </row>
    <row r="42" spans="1:56" x14ac:dyDescent="0.35">
      <c r="A42" s="38" t="str">
        <v>STA00050</v>
      </c>
      <c r="B42" s="31" t="str">
        <f t="shared" si="4"/>
        <v>MINYAK KAYU PUTIH</v>
      </c>
      <c r="C42" s="31" t="str">
        <f t="shared" si="11"/>
        <v>STATIONARY AND OFFICE SUPPLIES</v>
      </c>
      <c r="D42" s="39" t="str">
        <f t="shared" si="5"/>
        <v>pcs</v>
      </c>
      <c r="E42" s="47">
        <f t="shared" si="6"/>
        <v>13625</v>
      </c>
      <c r="F42" s="48">
        <f t="shared" si="7"/>
        <v>2</v>
      </c>
      <c r="G42" s="48">
        <f t="shared" si="8"/>
        <v>2</v>
      </c>
      <c r="H42" s="48">
        <f t="shared" si="9"/>
        <v>0</v>
      </c>
      <c r="I42" s="40">
        <f t="shared" si="10"/>
        <v>0</v>
      </c>
      <c r="J42" s="31" t="str">
        <f t="shared" si="12"/>
        <v>Tidak Ada Perubahan</v>
      </c>
      <c r="K42" s="42"/>
      <c r="O42" s="86" t="s">
        <v>10</v>
      </c>
      <c r="P42" s="87" t="s">
        <v>11</v>
      </c>
      <c r="Q42" t="s">
        <v>99</v>
      </c>
      <c r="V42" s="4"/>
      <c r="X42" s="3" t="s">
        <v>100</v>
      </c>
      <c r="Y42" t="s">
        <v>101</v>
      </c>
      <c r="Z42" t="s">
        <v>67</v>
      </c>
      <c r="AA42" s="10">
        <v>0.2</v>
      </c>
      <c r="AB42" t="s">
        <v>87</v>
      </c>
      <c r="AC42" s="10">
        <v>4650</v>
      </c>
      <c r="AD42" s="4">
        <v>930</v>
      </c>
      <c r="AG42" s="20"/>
      <c r="AH42" s="18"/>
      <c r="AI42" s="18"/>
      <c r="AJ42" s="18"/>
      <c r="AK42" s="18"/>
      <c r="AL42" s="18"/>
      <c r="AM42" s="18"/>
      <c r="AN42" s="19"/>
      <c r="AP42" s="20" t="s">
        <v>85</v>
      </c>
      <c r="AQ42" s="18" t="s">
        <v>86</v>
      </c>
      <c r="AR42" s="18" t="s">
        <v>67</v>
      </c>
      <c r="AS42" s="21">
        <v>0.7</v>
      </c>
      <c r="AT42" s="18" t="s">
        <v>87</v>
      </c>
      <c r="AU42" s="21">
        <v>16500</v>
      </c>
      <c r="AV42" s="19">
        <v>11550</v>
      </c>
      <c r="AX42" s="20" t="s">
        <v>85</v>
      </c>
      <c r="AY42" s="18" t="s">
        <v>86</v>
      </c>
      <c r="AZ42" s="18" t="s">
        <v>67</v>
      </c>
      <c r="BA42" s="21">
        <v>0.7</v>
      </c>
      <c r="BB42" s="18" t="s">
        <v>87</v>
      </c>
      <c r="BC42" s="21">
        <v>16500</v>
      </c>
      <c r="BD42" s="19">
        <v>11550</v>
      </c>
    </row>
    <row r="43" spans="1:56" x14ac:dyDescent="0.35">
      <c r="A43" s="38" t="str">
        <v>STA00051</v>
      </c>
      <c r="B43" s="31" t="str">
        <f t="shared" si="4"/>
        <v>PANADOL HIJAU</v>
      </c>
      <c r="C43" s="31" t="str">
        <f t="shared" si="11"/>
        <v>STATIONARY AND OFFICE SUPPLIES</v>
      </c>
      <c r="D43" s="39" t="str">
        <f t="shared" si="5"/>
        <v>str</v>
      </c>
      <c r="E43" s="47">
        <f t="shared" si="6"/>
        <v>16500</v>
      </c>
      <c r="F43" s="48">
        <f t="shared" si="7"/>
        <v>0.5</v>
      </c>
      <c r="G43" s="48">
        <f t="shared" si="8"/>
        <v>0.7</v>
      </c>
      <c r="H43" s="48">
        <f t="shared" si="9"/>
        <v>0.19999999999999996</v>
      </c>
      <c r="I43" s="40">
        <f t="shared" si="10"/>
        <v>3299.9999999999991</v>
      </c>
      <c r="J43" s="31" t="str">
        <f t="shared" si="12"/>
        <v>Kenaikan IU</v>
      </c>
      <c r="K43" s="42" t="s">
        <v>972</v>
      </c>
      <c r="O43" s="86" t="s">
        <v>16</v>
      </c>
      <c r="P43" s="87" t="s">
        <v>11</v>
      </c>
      <c r="Q43" t="s">
        <v>17</v>
      </c>
      <c r="V43" s="4"/>
      <c r="X43" s="3" t="s">
        <v>102</v>
      </c>
      <c r="Y43" t="s">
        <v>103</v>
      </c>
      <c r="Z43" t="s">
        <v>67</v>
      </c>
      <c r="AA43" s="10">
        <v>0.1</v>
      </c>
      <c r="AB43" t="s">
        <v>87</v>
      </c>
      <c r="AC43" s="10">
        <v>8000</v>
      </c>
      <c r="AD43" s="4">
        <v>800</v>
      </c>
      <c r="AG43" s="82" t="s">
        <v>10</v>
      </c>
      <c r="AH43" s="83" t="s">
        <v>11</v>
      </c>
      <c r="AI43" s="18" t="s">
        <v>225</v>
      </c>
      <c r="AJ43" s="18"/>
      <c r="AK43" s="18"/>
      <c r="AL43" s="18"/>
      <c r="AM43" s="18"/>
      <c r="AN43" s="19"/>
      <c r="AP43" s="20" t="s">
        <v>242</v>
      </c>
      <c r="AQ43" s="18" t="s">
        <v>243</v>
      </c>
      <c r="AR43" s="18" t="s">
        <v>67</v>
      </c>
      <c r="AS43" s="21">
        <v>1.8</v>
      </c>
      <c r="AT43" s="18" t="s">
        <v>87</v>
      </c>
      <c r="AU43" s="21">
        <v>8558.4905999999992</v>
      </c>
      <c r="AV43" s="19">
        <v>15405.283079999999</v>
      </c>
      <c r="AX43" s="20" t="s">
        <v>242</v>
      </c>
      <c r="AY43" s="18" t="s">
        <v>243</v>
      </c>
      <c r="AZ43" s="18" t="s">
        <v>67</v>
      </c>
      <c r="BA43" s="21">
        <v>1.8</v>
      </c>
      <c r="BB43" s="18" t="s">
        <v>87</v>
      </c>
      <c r="BC43" s="21">
        <v>8558.4905999999992</v>
      </c>
      <c r="BD43" s="19">
        <v>15405.283079999999</v>
      </c>
    </row>
    <row r="44" spans="1:56" x14ac:dyDescent="0.35">
      <c r="A44" s="38" t="str">
        <v>STA00052</v>
      </c>
      <c r="B44" s="31" t="str">
        <f t="shared" si="4"/>
        <v>PANADOL MERAH</v>
      </c>
      <c r="C44" s="31" t="str">
        <f t="shared" si="11"/>
        <v>STATIONARY AND OFFICE SUPPLIES</v>
      </c>
      <c r="D44" s="39" t="str">
        <f t="shared" si="5"/>
        <v>str</v>
      </c>
      <c r="E44" s="47">
        <f t="shared" si="6"/>
        <v>8558.49</v>
      </c>
      <c r="F44" s="48" t="str">
        <f t="shared" si="7"/>
        <v>0</v>
      </c>
      <c r="G44" s="48">
        <f t="shared" si="8"/>
        <v>1.8</v>
      </c>
      <c r="H44" s="48">
        <f t="shared" si="9"/>
        <v>1.8</v>
      </c>
      <c r="I44" s="40">
        <f t="shared" si="10"/>
        <v>15405.281999999999</v>
      </c>
      <c r="J44" s="31" t="str">
        <f t="shared" si="12"/>
        <v>Kenaikan IU</v>
      </c>
      <c r="K44" s="42" t="s">
        <v>973</v>
      </c>
      <c r="O44" s="86" t="s">
        <v>21</v>
      </c>
      <c r="P44" s="87" t="s">
        <v>11</v>
      </c>
      <c r="Q44" t="s">
        <v>22</v>
      </c>
      <c r="V44" s="4"/>
      <c r="X44" s="3" t="s">
        <v>104</v>
      </c>
      <c r="Y44" t="s">
        <v>105</v>
      </c>
      <c r="Z44" t="s">
        <v>67</v>
      </c>
      <c r="AA44" s="10">
        <v>1</v>
      </c>
      <c r="AB44" t="s">
        <v>5</v>
      </c>
      <c r="AC44" s="10">
        <v>6232.0667000000003</v>
      </c>
      <c r="AD44" s="4">
        <v>6232.0667000000003</v>
      </c>
      <c r="AG44" s="82" t="s">
        <v>16</v>
      </c>
      <c r="AH44" s="83" t="s">
        <v>11</v>
      </c>
      <c r="AI44" s="18" t="s">
        <v>211</v>
      </c>
      <c r="AJ44" s="18"/>
      <c r="AK44" s="18"/>
      <c r="AL44" s="18"/>
      <c r="AM44" s="18"/>
      <c r="AN44" s="19"/>
      <c r="AP44" s="20" t="s">
        <v>244</v>
      </c>
      <c r="AQ44" s="18" t="s">
        <v>245</v>
      </c>
      <c r="AR44" s="18" t="s">
        <v>67</v>
      </c>
      <c r="AS44" s="21">
        <v>2</v>
      </c>
      <c r="AT44" s="18" t="s">
        <v>20</v>
      </c>
      <c r="AU44" s="21">
        <v>6000</v>
      </c>
      <c r="AV44" s="19">
        <v>12000</v>
      </c>
      <c r="AX44" s="20" t="s">
        <v>244</v>
      </c>
      <c r="AY44" s="18" t="s">
        <v>245</v>
      </c>
      <c r="AZ44" s="18" t="s">
        <v>67</v>
      </c>
      <c r="BA44" s="21">
        <v>2</v>
      </c>
      <c r="BB44" s="18" t="s">
        <v>20</v>
      </c>
      <c r="BC44" s="21">
        <v>6000</v>
      </c>
      <c r="BD44" s="19">
        <v>12000</v>
      </c>
    </row>
    <row r="45" spans="1:56" x14ac:dyDescent="0.35">
      <c r="A45" s="38" t="str">
        <v>STA00055</v>
      </c>
      <c r="B45" s="31" t="str">
        <f t="shared" si="4"/>
        <v>SPIDOL SNOWMAN - HITAM</v>
      </c>
      <c r="C45" s="31" t="str">
        <f t="shared" si="11"/>
        <v>STATIONARY AND OFFICE SUPPLIES</v>
      </c>
      <c r="D45" s="39" t="str">
        <f t="shared" si="5"/>
        <v>pcs</v>
      </c>
      <c r="E45" s="47">
        <f t="shared" si="6"/>
        <v>6000</v>
      </c>
      <c r="F45" s="48" t="str">
        <f t="shared" si="7"/>
        <v>0</v>
      </c>
      <c r="G45" s="48">
        <f t="shared" si="8"/>
        <v>2</v>
      </c>
      <c r="H45" s="48">
        <f t="shared" si="9"/>
        <v>2</v>
      </c>
      <c r="I45" s="40">
        <f t="shared" si="10"/>
        <v>12000</v>
      </c>
      <c r="J45" s="31" t="str">
        <f t="shared" si="12"/>
        <v>Kenaikan IU</v>
      </c>
      <c r="K45" s="42" t="s">
        <v>974</v>
      </c>
      <c r="O45" s="86" t="s">
        <v>26</v>
      </c>
      <c r="P45" s="87" t="s">
        <v>11</v>
      </c>
      <c r="Q45" t="s">
        <v>106</v>
      </c>
      <c r="V45" s="4"/>
      <c r="X45" s="3" t="s">
        <v>107</v>
      </c>
      <c r="Y45" t="s">
        <v>108</v>
      </c>
      <c r="Z45" t="s">
        <v>67</v>
      </c>
      <c r="AA45" s="10">
        <v>2</v>
      </c>
      <c r="AB45" t="s">
        <v>5</v>
      </c>
      <c r="AC45" s="10">
        <v>16237.422100000002</v>
      </c>
      <c r="AD45" s="4">
        <v>32474.8442</v>
      </c>
      <c r="AG45" s="82" t="s">
        <v>21</v>
      </c>
      <c r="AH45" s="83" t="s">
        <v>11</v>
      </c>
      <c r="AI45" s="18" t="s">
        <v>22</v>
      </c>
      <c r="AJ45" s="18"/>
      <c r="AK45" s="18"/>
      <c r="AL45" s="18"/>
      <c r="AM45" s="18"/>
      <c r="AN45" s="19"/>
      <c r="AP45" s="20" t="s">
        <v>246</v>
      </c>
      <c r="AQ45" s="18" t="s">
        <v>247</v>
      </c>
      <c r="AR45" s="18" t="s">
        <v>67</v>
      </c>
      <c r="AS45" s="21">
        <v>4</v>
      </c>
      <c r="AT45" s="18" t="s">
        <v>5</v>
      </c>
      <c r="AU45" s="21">
        <v>1451.4492</v>
      </c>
      <c r="AV45" s="19">
        <v>5805.7968000000001</v>
      </c>
      <c r="AX45" s="20" t="s">
        <v>246</v>
      </c>
      <c r="AY45" s="18" t="s">
        <v>247</v>
      </c>
      <c r="AZ45" s="18" t="s">
        <v>67</v>
      </c>
      <c r="BA45" s="21">
        <v>4</v>
      </c>
      <c r="BB45" s="18" t="s">
        <v>5</v>
      </c>
      <c r="BC45" s="21">
        <v>1451.4492</v>
      </c>
      <c r="BD45" s="19">
        <v>5805.7968000000001</v>
      </c>
    </row>
    <row r="46" spans="1:56" x14ac:dyDescent="0.35">
      <c r="A46" s="38" t="str">
        <v>STA00057</v>
      </c>
      <c r="B46" s="31" t="str">
        <f t="shared" si="4"/>
        <v>ISI STAPLER</v>
      </c>
      <c r="C46" s="31" t="str">
        <f t="shared" si="11"/>
        <v>STATIONARY AND OFFICE SUPPLIES</v>
      </c>
      <c r="D46" s="39" t="str">
        <f t="shared" si="5"/>
        <v>pack</v>
      </c>
      <c r="E46" s="47">
        <f t="shared" si="6"/>
        <v>1451.45</v>
      </c>
      <c r="F46" s="48" t="str">
        <f t="shared" si="7"/>
        <v>0</v>
      </c>
      <c r="G46" s="48">
        <f t="shared" si="8"/>
        <v>4</v>
      </c>
      <c r="H46" s="48">
        <f t="shared" si="9"/>
        <v>4</v>
      </c>
      <c r="I46" s="40">
        <f t="shared" si="10"/>
        <v>5805.8</v>
      </c>
      <c r="J46" s="31" t="str">
        <f t="shared" si="12"/>
        <v>Kenaikan IU</v>
      </c>
      <c r="K46" s="42" t="s">
        <v>975</v>
      </c>
      <c r="O46" s="86" t="s">
        <v>31</v>
      </c>
      <c r="P46" s="87" t="s">
        <v>11</v>
      </c>
      <c r="Q46" t="s">
        <v>109</v>
      </c>
      <c r="V46" s="4"/>
      <c r="X46" s="3" t="s">
        <v>110</v>
      </c>
      <c r="Y46" t="s">
        <v>111</v>
      </c>
      <c r="Z46" t="s">
        <v>67</v>
      </c>
      <c r="AA46" s="10">
        <v>1</v>
      </c>
      <c r="AB46" t="s">
        <v>94</v>
      </c>
      <c r="AC46" s="10">
        <v>8474.10664</v>
      </c>
      <c r="AD46" s="4">
        <v>8474.10664</v>
      </c>
      <c r="AG46" s="82" t="s">
        <v>26</v>
      </c>
      <c r="AH46" s="83" t="s">
        <v>11</v>
      </c>
      <c r="AI46" s="18" t="s">
        <v>226</v>
      </c>
      <c r="AJ46" s="18"/>
      <c r="AK46" s="18"/>
      <c r="AL46" s="18"/>
      <c r="AM46" s="18"/>
      <c r="AN46" s="19"/>
      <c r="AP46" s="20" t="s">
        <v>248</v>
      </c>
      <c r="AQ46" s="18" t="s">
        <v>249</v>
      </c>
      <c r="AR46" s="18" t="s">
        <v>67</v>
      </c>
      <c r="AS46" s="21">
        <v>1</v>
      </c>
      <c r="AT46" s="18" t="s">
        <v>98</v>
      </c>
      <c r="AU46" s="21">
        <v>5000</v>
      </c>
      <c r="AV46" s="19">
        <v>5000</v>
      </c>
      <c r="AX46" s="20" t="s">
        <v>248</v>
      </c>
      <c r="AY46" s="18" t="s">
        <v>249</v>
      </c>
      <c r="AZ46" s="18" t="s">
        <v>67</v>
      </c>
      <c r="BA46" s="21">
        <v>1</v>
      </c>
      <c r="BB46" s="18" t="s">
        <v>98</v>
      </c>
      <c r="BC46" s="21">
        <v>5000</v>
      </c>
      <c r="BD46" s="19">
        <v>5000</v>
      </c>
    </row>
    <row r="47" spans="1:56" x14ac:dyDescent="0.35">
      <c r="A47" s="38" t="str">
        <v>STA00059</v>
      </c>
      <c r="B47" s="31" t="str">
        <f t="shared" si="4"/>
        <v>KWITANSI</v>
      </c>
      <c r="C47" s="31" t="str">
        <f t="shared" si="11"/>
        <v>STATIONARY AND OFFICE SUPPLIES</v>
      </c>
      <c r="D47" s="39" t="str">
        <f t="shared" si="5"/>
        <v>buku</v>
      </c>
      <c r="E47" s="47">
        <f t="shared" si="6"/>
        <v>5000</v>
      </c>
      <c r="F47" s="48" t="str">
        <f t="shared" si="7"/>
        <v>0</v>
      </c>
      <c r="G47" s="48">
        <f t="shared" si="8"/>
        <v>1</v>
      </c>
      <c r="H47" s="48">
        <f t="shared" si="9"/>
        <v>1</v>
      </c>
      <c r="I47" s="40">
        <f t="shared" si="10"/>
        <v>5000</v>
      </c>
      <c r="J47" s="31" t="str">
        <f t="shared" si="12"/>
        <v>Kenaikan IU</v>
      </c>
      <c r="K47" s="42" t="s">
        <v>976</v>
      </c>
      <c r="O47" s="86" t="s">
        <v>35</v>
      </c>
      <c r="P47" s="87" t="s">
        <v>11</v>
      </c>
      <c r="Q47" t="s">
        <v>112</v>
      </c>
      <c r="V47" s="4"/>
      <c r="X47" s="3" t="s">
        <v>113</v>
      </c>
      <c r="Y47" t="s">
        <v>114</v>
      </c>
      <c r="Z47" t="s">
        <v>67</v>
      </c>
      <c r="AA47">
        <v>200</v>
      </c>
      <c r="AB47" t="s">
        <v>20</v>
      </c>
      <c r="AC47">
        <v>143</v>
      </c>
      <c r="AD47" s="4">
        <v>28600</v>
      </c>
      <c r="AG47" s="82" t="s">
        <v>31</v>
      </c>
      <c r="AH47" s="83" t="s">
        <v>11</v>
      </c>
      <c r="AI47" s="18" t="s">
        <v>109</v>
      </c>
      <c r="AJ47" s="18"/>
      <c r="AK47" s="18"/>
      <c r="AL47" s="18"/>
      <c r="AM47" s="18"/>
      <c r="AN47" s="19"/>
      <c r="AP47" s="20" t="s">
        <v>250</v>
      </c>
      <c r="AQ47" s="18" t="s">
        <v>251</v>
      </c>
      <c r="AR47" s="18" t="s">
        <v>67</v>
      </c>
      <c r="AS47" s="21">
        <v>1</v>
      </c>
      <c r="AT47" s="18" t="s">
        <v>20</v>
      </c>
      <c r="AU47" s="21">
        <v>5500</v>
      </c>
      <c r="AV47" s="19">
        <v>5500</v>
      </c>
      <c r="AX47" s="20" t="s">
        <v>250</v>
      </c>
      <c r="AY47" s="18" t="s">
        <v>251</v>
      </c>
      <c r="AZ47" s="18" t="s">
        <v>67</v>
      </c>
      <c r="BA47" s="21">
        <v>1</v>
      </c>
      <c r="BB47" s="18" t="s">
        <v>20</v>
      </c>
      <c r="BC47" s="21">
        <v>5500</v>
      </c>
      <c r="BD47" s="19">
        <v>5500</v>
      </c>
    </row>
    <row r="48" spans="1:56" x14ac:dyDescent="0.35">
      <c r="A48" s="38" t="str">
        <v>STA00060</v>
      </c>
      <c r="B48" s="31" t="str">
        <f t="shared" si="4"/>
        <v>STABILO</v>
      </c>
      <c r="C48" s="31" t="str">
        <f t="shared" si="11"/>
        <v>STATIONARY AND OFFICE SUPPLIES</v>
      </c>
      <c r="D48" s="39" t="str">
        <f t="shared" si="5"/>
        <v>pcs</v>
      </c>
      <c r="E48" s="47">
        <f t="shared" si="6"/>
        <v>5500</v>
      </c>
      <c r="F48" s="48" t="str">
        <f t="shared" si="7"/>
        <v>0</v>
      </c>
      <c r="G48" s="48">
        <f t="shared" si="8"/>
        <v>1</v>
      </c>
      <c r="H48" s="48">
        <f t="shared" si="9"/>
        <v>1</v>
      </c>
      <c r="I48" s="40">
        <f t="shared" si="10"/>
        <v>5500</v>
      </c>
      <c r="J48" s="31" t="str">
        <f t="shared" si="12"/>
        <v>Kenaikan IU</v>
      </c>
      <c r="K48" s="42" t="s">
        <v>977</v>
      </c>
      <c r="O48" s="3"/>
      <c r="V48" s="4"/>
      <c r="X48" s="3" t="s">
        <v>115</v>
      </c>
      <c r="Y48" t="s">
        <v>116</v>
      </c>
      <c r="Z48" t="s">
        <v>117</v>
      </c>
      <c r="AA48" s="10">
        <v>1000</v>
      </c>
      <c r="AB48" t="s">
        <v>52</v>
      </c>
      <c r="AC48" s="10">
        <v>628.57100000000003</v>
      </c>
      <c r="AD48" s="4">
        <v>628571</v>
      </c>
      <c r="AG48" s="82" t="s">
        <v>35</v>
      </c>
      <c r="AH48" s="83" t="s">
        <v>11</v>
      </c>
      <c r="AI48" s="18" t="s">
        <v>227</v>
      </c>
      <c r="AJ48" s="18"/>
      <c r="AK48" s="18"/>
      <c r="AL48" s="18"/>
      <c r="AM48" s="18"/>
      <c r="AN48" s="19"/>
      <c r="AP48" s="20" t="s">
        <v>88</v>
      </c>
      <c r="AQ48" s="18" t="s">
        <v>89</v>
      </c>
      <c r="AR48" s="18" t="s">
        <v>67</v>
      </c>
      <c r="AS48" s="21">
        <v>0.2</v>
      </c>
      <c r="AT48" s="18" t="s">
        <v>5</v>
      </c>
      <c r="AU48" s="21">
        <v>1750</v>
      </c>
      <c r="AV48" s="19">
        <v>350</v>
      </c>
      <c r="AX48" s="20" t="s">
        <v>88</v>
      </c>
      <c r="AY48" s="18" t="s">
        <v>89</v>
      </c>
      <c r="AZ48" s="18" t="s">
        <v>67</v>
      </c>
      <c r="BA48" s="21">
        <v>0.2</v>
      </c>
      <c r="BB48" s="18" t="s">
        <v>5</v>
      </c>
      <c r="BC48" s="21">
        <v>1750</v>
      </c>
      <c r="BD48" s="19">
        <v>350</v>
      </c>
    </row>
    <row r="49" spans="1:56" x14ac:dyDescent="0.35">
      <c r="A49" s="38" t="str">
        <v>STA00073</v>
      </c>
      <c r="B49" s="31" t="str">
        <f t="shared" si="4"/>
        <v>PAPER CLIP NO.3</v>
      </c>
      <c r="C49" s="31" t="str">
        <f t="shared" si="11"/>
        <v>STATIONARY AND OFFICE SUPPLIES</v>
      </c>
      <c r="D49" s="39" t="str">
        <f t="shared" si="5"/>
        <v>pack</v>
      </c>
      <c r="E49" s="47">
        <f t="shared" si="6"/>
        <v>1750</v>
      </c>
      <c r="F49" s="48">
        <f t="shared" si="7"/>
        <v>3</v>
      </c>
      <c r="G49" s="48">
        <f t="shared" si="8"/>
        <v>0.2</v>
      </c>
      <c r="H49" s="48">
        <f t="shared" si="9"/>
        <v>-2.8</v>
      </c>
      <c r="I49" s="40">
        <f t="shared" si="10"/>
        <v>-4900</v>
      </c>
      <c r="J49" s="31" t="str">
        <f t="shared" si="12"/>
        <v>Penurunan IU</v>
      </c>
      <c r="K49" s="42" t="s">
        <v>955</v>
      </c>
      <c r="O49" s="3" t="s">
        <v>42</v>
      </c>
      <c r="P49" t="s">
        <v>43</v>
      </c>
      <c r="Q49" t="s">
        <v>44</v>
      </c>
      <c r="R49" t="s">
        <v>45</v>
      </c>
      <c r="S49" t="s">
        <v>46</v>
      </c>
      <c r="T49" t="s">
        <v>47</v>
      </c>
      <c r="U49" t="s">
        <v>48</v>
      </c>
      <c r="V49" s="4" t="s">
        <v>49</v>
      </c>
      <c r="X49" s="3" t="s">
        <v>118</v>
      </c>
      <c r="Y49" t="s">
        <v>119</v>
      </c>
      <c r="Z49" t="s">
        <v>120</v>
      </c>
      <c r="AA49" s="10">
        <v>1</v>
      </c>
      <c r="AB49" t="s">
        <v>20</v>
      </c>
      <c r="AC49" s="10">
        <v>14700</v>
      </c>
      <c r="AD49" s="4">
        <v>14700</v>
      </c>
      <c r="AG49" s="20"/>
      <c r="AH49" s="18"/>
      <c r="AI49" s="18"/>
      <c r="AJ49" s="18"/>
      <c r="AK49" s="18"/>
      <c r="AL49" s="18"/>
      <c r="AM49" s="18"/>
      <c r="AN49" s="19"/>
      <c r="AP49" s="20" t="s">
        <v>90</v>
      </c>
      <c r="AQ49" s="18" t="s">
        <v>91</v>
      </c>
      <c r="AR49" s="18" t="s">
        <v>67</v>
      </c>
      <c r="AS49" s="21">
        <v>3</v>
      </c>
      <c r="AT49" s="18" t="s">
        <v>5</v>
      </c>
      <c r="AU49" s="21">
        <v>5617.5780999999997</v>
      </c>
      <c r="AV49" s="19">
        <v>16852.7343</v>
      </c>
      <c r="AX49" s="20" t="s">
        <v>90</v>
      </c>
      <c r="AY49" s="18" t="s">
        <v>91</v>
      </c>
      <c r="AZ49" s="18" t="s">
        <v>67</v>
      </c>
      <c r="BA49" s="21">
        <v>3</v>
      </c>
      <c r="BB49" s="18" t="s">
        <v>5</v>
      </c>
      <c r="BC49" s="21">
        <v>5617.5780999999997</v>
      </c>
      <c r="BD49" s="19">
        <v>16852.7343</v>
      </c>
    </row>
    <row r="50" spans="1:56" x14ac:dyDescent="0.35">
      <c r="A50" s="38" t="str">
        <v>STA00075</v>
      </c>
      <c r="B50" s="31" t="str">
        <f t="shared" si="4"/>
        <v>LABEL/STICKER TOM &amp; JERRY 109</v>
      </c>
      <c r="C50" s="31" t="str">
        <f t="shared" si="11"/>
        <v>STATIONARY AND OFFICE SUPPLIES</v>
      </c>
      <c r="D50" s="39" t="str">
        <f t="shared" si="5"/>
        <v>pack</v>
      </c>
      <c r="E50" s="47">
        <f t="shared" si="6"/>
        <v>5617.58</v>
      </c>
      <c r="F50" s="48">
        <f t="shared" si="7"/>
        <v>3</v>
      </c>
      <c r="G50" s="48">
        <f t="shared" si="8"/>
        <v>3</v>
      </c>
      <c r="H50" s="48">
        <f t="shared" si="9"/>
        <v>0</v>
      </c>
      <c r="I50" s="40">
        <f t="shared" si="10"/>
        <v>0</v>
      </c>
      <c r="J50" s="31" t="str">
        <f t="shared" si="12"/>
        <v>Tidak Ada Perubahan</v>
      </c>
      <c r="K50" s="42"/>
      <c r="O50" s="3">
        <v>1</v>
      </c>
      <c r="P50" t="s">
        <v>65</v>
      </c>
      <c r="Q50" t="s">
        <v>66</v>
      </c>
      <c r="R50" t="s">
        <v>67</v>
      </c>
      <c r="S50" s="10">
        <v>4</v>
      </c>
      <c r="T50" t="s">
        <v>20</v>
      </c>
      <c r="U50" s="10">
        <v>860.48082773219505</v>
      </c>
      <c r="V50" s="4">
        <v>3441.923311</v>
      </c>
      <c r="X50" s="3" t="s">
        <v>121</v>
      </c>
      <c r="Y50" t="s">
        <v>122</v>
      </c>
      <c r="Z50" t="s">
        <v>123</v>
      </c>
      <c r="AA50" s="10">
        <v>2</v>
      </c>
      <c r="AB50" t="s">
        <v>5</v>
      </c>
      <c r="AC50" s="10">
        <v>5009.5237999999999</v>
      </c>
      <c r="AD50" s="4">
        <v>10019.0476</v>
      </c>
      <c r="AG50" s="20" t="s">
        <v>42</v>
      </c>
      <c r="AH50" s="18" t="s">
        <v>43</v>
      </c>
      <c r="AI50" s="18" t="s">
        <v>44</v>
      </c>
      <c r="AJ50" s="18" t="s">
        <v>45</v>
      </c>
      <c r="AK50" s="18" t="s">
        <v>46</v>
      </c>
      <c r="AL50" s="18" t="s">
        <v>47</v>
      </c>
      <c r="AM50" s="18" t="s">
        <v>48</v>
      </c>
      <c r="AN50" s="19" t="s">
        <v>49</v>
      </c>
      <c r="AP50" s="20" t="s">
        <v>252</v>
      </c>
      <c r="AQ50" s="18" t="s">
        <v>253</v>
      </c>
      <c r="AR50" s="18" t="s">
        <v>67</v>
      </c>
      <c r="AS50" s="21">
        <v>2</v>
      </c>
      <c r="AT50" s="18" t="s">
        <v>5</v>
      </c>
      <c r="AU50" s="21">
        <v>5000</v>
      </c>
      <c r="AV50" s="19">
        <v>10000</v>
      </c>
      <c r="AX50" s="20" t="s">
        <v>252</v>
      </c>
      <c r="AY50" s="18" t="s">
        <v>253</v>
      </c>
      <c r="AZ50" s="18" t="s">
        <v>67</v>
      </c>
      <c r="BA50" s="21">
        <v>2</v>
      </c>
      <c r="BB50" s="18" t="s">
        <v>5</v>
      </c>
      <c r="BC50" s="21">
        <v>5000</v>
      </c>
      <c r="BD50" s="19">
        <v>10000</v>
      </c>
    </row>
    <row r="51" spans="1:56" x14ac:dyDescent="0.35">
      <c r="A51" s="38" t="str">
        <v>STA00079</v>
      </c>
      <c r="B51" s="31" t="str">
        <f t="shared" si="4"/>
        <v>BATERAI LR44 (1 PACK 5 PCS)</v>
      </c>
      <c r="C51" s="31" t="str">
        <f t="shared" si="11"/>
        <v>STATIONARY AND OFFICE SUPPLIES</v>
      </c>
      <c r="D51" s="39" t="str">
        <f t="shared" si="5"/>
        <v>pack</v>
      </c>
      <c r="E51" s="47">
        <f t="shared" si="6"/>
        <v>5000</v>
      </c>
      <c r="F51" s="48" t="str">
        <f t="shared" si="7"/>
        <v>0</v>
      </c>
      <c r="G51" s="48">
        <f t="shared" si="8"/>
        <v>2</v>
      </c>
      <c r="H51" s="48">
        <f t="shared" si="9"/>
        <v>2</v>
      </c>
      <c r="I51" s="40">
        <f t="shared" si="10"/>
        <v>10000</v>
      </c>
      <c r="J51" s="31" t="str">
        <f t="shared" si="12"/>
        <v>Kenaikan IU</v>
      </c>
      <c r="K51" s="42" t="s">
        <v>978</v>
      </c>
      <c r="O51" s="3">
        <v>2</v>
      </c>
      <c r="P51" t="s">
        <v>68</v>
      </c>
      <c r="Q51" t="s">
        <v>69</v>
      </c>
      <c r="R51" t="s">
        <v>67</v>
      </c>
      <c r="S51" s="10">
        <v>0.02</v>
      </c>
      <c r="T51" t="s">
        <v>5</v>
      </c>
      <c r="U51" s="10">
        <v>18577.709299999999</v>
      </c>
      <c r="V51" s="4">
        <v>371.55418600000002</v>
      </c>
      <c r="X51" s="3" t="s">
        <v>124</v>
      </c>
      <c r="Y51" t="s">
        <v>125</v>
      </c>
      <c r="Z51" t="s">
        <v>123</v>
      </c>
      <c r="AA51" s="10">
        <v>38</v>
      </c>
      <c r="AB51" t="s">
        <v>5</v>
      </c>
      <c r="AC51" s="10">
        <v>5518.8675999999996</v>
      </c>
      <c r="AD51" s="4">
        <v>209716.9688</v>
      </c>
      <c r="AG51" s="20">
        <v>1</v>
      </c>
      <c r="AH51" s="18" t="s">
        <v>65</v>
      </c>
      <c r="AI51" s="18" t="s">
        <v>66</v>
      </c>
      <c r="AJ51" s="18" t="s">
        <v>67</v>
      </c>
      <c r="AK51" s="21">
        <v>2</v>
      </c>
      <c r="AL51" s="18" t="s">
        <v>20</v>
      </c>
      <c r="AM51" s="21">
        <v>860.48082773219505</v>
      </c>
      <c r="AN51" s="19">
        <v>1720.9616550000001</v>
      </c>
      <c r="AP51" s="20" t="s">
        <v>92</v>
      </c>
      <c r="AQ51" s="18" t="s">
        <v>93</v>
      </c>
      <c r="AR51" s="18" t="s">
        <v>67</v>
      </c>
      <c r="AS51" s="21">
        <v>43</v>
      </c>
      <c r="AT51" s="18" t="s">
        <v>94</v>
      </c>
      <c r="AU51" s="21">
        <v>11800.327499999999</v>
      </c>
      <c r="AV51" s="19">
        <v>507414.08250000002</v>
      </c>
      <c r="AX51" s="20" t="s">
        <v>92</v>
      </c>
      <c r="AY51" s="18" t="s">
        <v>93</v>
      </c>
      <c r="AZ51" s="18" t="s">
        <v>67</v>
      </c>
      <c r="BA51" s="21">
        <v>43</v>
      </c>
      <c r="BB51" s="18" t="s">
        <v>94</v>
      </c>
      <c r="BC51" s="21">
        <v>11800.327499999999</v>
      </c>
      <c r="BD51" s="19">
        <v>507414.08250000002</v>
      </c>
    </row>
    <row r="52" spans="1:56" x14ac:dyDescent="0.35">
      <c r="A52" s="38" t="str">
        <v>STA00080</v>
      </c>
      <c r="B52" s="31" t="str">
        <f t="shared" si="4"/>
        <v>KERTAS THERMAL 80 X 80</v>
      </c>
      <c r="C52" s="31" t="str">
        <f t="shared" si="11"/>
        <v>STATIONARY AND OFFICE SUPPLIES</v>
      </c>
      <c r="D52" s="39" t="str">
        <f t="shared" si="5"/>
        <v>ROLL</v>
      </c>
      <c r="E52" s="47">
        <f t="shared" si="6"/>
        <v>11800.33</v>
      </c>
      <c r="F52" s="48">
        <f t="shared" si="7"/>
        <v>20</v>
      </c>
      <c r="G52" s="48">
        <f t="shared" si="8"/>
        <v>43</v>
      </c>
      <c r="H52" s="48">
        <f t="shared" si="9"/>
        <v>23</v>
      </c>
      <c r="I52" s="40">
        <f t="shared" si="10"/>
        <v>271407.59000000003</v>
      </c>
      <c r="J52" s="31" t="str">
        <f t="shared" si="12"/>
        <v>Kenaikan IU</v>
      </c>
      <c r="K52" s="42" t="s">
        <v>979</v>
      </c>
      <c r="O52" s="3">
        <v>3</v>
      </c>
      <c r="P52" t="s">
        <v>70</v>
      </c>
      <c r="Q52" t="s">
        <v>71</v>
      </c>
      <c r="R52" t="s">
        <v>67</v>
      </c>
      <c r="S52" s="10">
        <v>4</v>
      </c>
      <c r="T52" t="s">
        <v>5</v>
      </c>
      <c r="U52" s="10">
        <v>9000</v>
      </c>
      <c r="V52" s="4">
        <v>36000</v>
      </c>
      <c r="X52" s="3" t="s">
        <v>126</v>
      </c>
      <c r="Y52" t="s">
        <v>127</v>
      </c>
      <c r="Z52" t="s">
        <v>123</v>
      </c>
      <c r="AA52" s="10">
        <v>10</v>
      </c>
      <c r="AB52" t="s">
        <v>5</v>
      </c>
      <c r="AC52" s="10">
        <v>6816.5331999999999</v>
      </c>
      <c r="AD52" s="4">
        <v>68165.331999999995</v>
      </c>
      <c r="AG52" s="20">
        <v>2</v>
      </c>
      <c r="AH52" s="18" t="s">
        <v>228</v>
      </c>
      <c r="AI52" s="18" t="s">
        <v>229</v>
      </c>
      <c r="AJ52" s="18" t="s">
        <v>67</v>
      </c>
      <c r="AK52" s="21">
        <v>1</v>
      </c>
      <c r="AL52" s="18" t="s">
        <v>20</v>
      </c>
      <c r="AM52" s="21">
        <v>7785</v>
      </c>
      <c r="AN52" s="19">
        <v>7785</v>
      </c>
      <c r="AP52" s="20" t="s">
        <v>100</v>
      </c>
      <c r="AQ52" s="18" t="s">
        <v>101</v>
      </c>
      <c r="AR52" s="18" t="s">
        <v>67</v>
      </c>
      <c r="AS52" s="21">
        <v>0.8</v>
      </c>
      <c r="AT52" s="18" t="s">
        <v>87</v>
      </c>
      <c r="AU52" s="21">
        <v>4650</v>
      </c>
      <c r="AV52" s="19">
        <v>3720</v>
      </c>
      <c r="AX52" s="20" t="s">
        <v>100</v>
      </c>
      <c r="AY52" s="18" t="s">
        <v>101</v>
      </c>
      <c r="AZ52" s="18" t="s">
        <v>67</v>
      </c>
      <c r="BA52" s="21">
        <v>0.8</v>
      </c>
      <c r="BB52" s="18" t="s">
        <v>87</v>
      </c>
      <c r="BC52" s="21">
        <v>4650</v>
      </c>
      <c r="BD52" s="19">
        <v>3720</v>
      </c>
    </row>
    <row r="53" spans="1:56" x14ac:dyDescent="0.35">
      <c r="A53" s="38" t="str">
        <v>STA00094</v>
      </c>
      <c r="B53" s="31" t="str">
        <f t="shared" si="4"/>
        <v>OBAT PROMAG</v>
      </c>
      <c r="C53" s="31" t="str">
        <f t="shared" si="11"/>
        <v>STATIONARY AND OFFICE SUPPLIES</v>
      </c>
      <c r="D53" s="39" t="str">
        <f t="shared" si="5"/>
        <v>str</v>
      </c>
      <c r="E53" s="47">
        <f t="shared" si="6"/>
        <v>4650</v>
      </c>
      <c r="F53" s="48">
        <f t="shared" si="7"/>
        <v>0.2</v>
      </c>
      <c r="G53" s="48">
        <f t="shared" si="8"/>
        <v>0.8</v>
      </c>
      <c r="H53" s="48">
        <f t="shared" si="9"/>
        <v>0.60000000000000009</v>
      </c>
      <c r="I53" s="40">
        <f t="shared" si="10"/>
        <v>2790.0000000000005</v>
      </c>
      <c r="J53" s="31" t="str">
        <f t="shared" si="12"/>
        <v>Kenaikan IU</v>
      </c>
      <c r="K53" s="42" t="s">
        <v>980</v>
      </c>
      <c r="O53" s="3">
        <v>4</v>
      </c>
      <c r="P53" t="s">
        <v>72</v>
      </c>
      <c r="Q53" t="s">
        <v>73</v>
      </c>
      <c r="R53" t="s">
        <v>67</v>
      </c>
      <c r="S53" s="10">
        <v>5</v>
      </c>
      <c r="T53" t="s">
        <v>74</v>
      </c>
      <c r="U53" s="10">
        <v>3006.7408</v>
      </c>
      <c r="V53" s="4">
        <v>15033.704</v>
      </c>
      <c r="X53" s="3" t="s">
        <v>128</v>
      </c>
      <c r="Y53" t="s">
        <v>129</v>
      </c>
      <c r="Z53" t="s">
        <v>123</v>
      </c>
      <c r="AA53" s="10">
        <v>2.7</v>
      </c>
      <c r="AB53" t="s">
        <v>74</v>
      </c>
      <c r="AC53" s="10">
        <v>142062.04490000001</v>
      </c>
      <c r="AD53" s="4">
        <v>383567.52123000001</v>
      </c>
      <c r="AG53" s="20">
        <v>3</v>
      </c>
      <c r="AH53" s="18" t="s">
        <v>70</v>
      </c>
      <c r="AI53" s="18" t="s">
        <v>71</v>
      </c>
      <c r="AJ53" s="18" t="s">
        <v>67</v>
      </c>
      <c r="AK53" s="21">
        <v>2</v>
      </c>
      <c r="AL53" s="18" t="s">
        <v>5</v>
      </c>
      <c r="AM53" s="21">
        <v>16944</v>
      </c>
      <c r="AN53" s="19">
        <v>33888</v>
      </c>
      <c r="AP53" s="20" t="s">
        <v>102</v>
      </c>
      <c r="AQ53" s="18" t="s">
        <v>103</v>
      </c>
      <c r="AR53" s="18" t="s">
        <v>67</v>
      </c>
      <c r="AS53" s="21">
        <v>0.1</v>
      </c>
      <c r="AT53" s="18" t="s">
        <v>87</v>
      </c>
      <c r="AU53" s="21">
        <v>8000</v>
      </c>
      <c r="AV53" s="19">
        <v>800</v>
      </c>
      <c r="AX53" s="20" t="s">
        <v>102</v>
      </c>
      <c r="AY53" s="18" t="s">
        <v>103</v>
      </c>
      <c r="AZ53" s="18" t="s">
        <v>67</v>
      </c>
      <c r="BA53" s="21">
        <v>0.1</v>
      </c>
      <c r="BB53" s="18" t="s">
        <v>87</v>
      </c>
      <c r="BC53" s="21">
        <v>8000</v>
      </c>
      <c r="BD53" s="19">
        <v>800</v>
      </c>
    </row>
    <row r="54" spans="1:56" x14ac:dyDescent="0.35">
      <c r="A54" s="38" t="str">
        <v>STA00095</v>
      </c>
      <c r="B54" s="31" t="str">
        <f t="shared" si="4"/>
        <v>OBAT ENTROSTOP</v>
      </c>
      <c r="C54" s="31" t="str">
        <f t="shared" si="11"/>
        <v>STATIONARY AND OFFICE SUPPLIES</v>
      </c>
      <c r="D54" s="39" t="str">
        <f t="shared" si="5"/>
        <v>str</v>
      </c>
      <c r="E54" s="47">
        <f t="shared" si="6"/>
        <v>8000</v>
      </c>
      <c r="F54" s="48">
        <f t="shared" si="7"/>
        <v>0.1</v>
      </c>
      <c r="G54" s="48">
        <f t="shared" si="8"/>
        <v>0.1</v>
      </c>
      <c r="H54" s="48">
        <f t="shared" si="9"/>
        <v>0</v>
      </c>
      <c r="I54" s="40">
        <f t="shared" si="10"/>
        <v>0</v>
      </c>
      <c r="J54" s="31" t="str">
        <f t="shared" si="12"/>
        <v>Tidak Ada Perubahan</v>
      </c>
      <c r="K54" s="42"/>
      <c r="O54" s="3">
        <v>5</v>
      </c>
      <c r="P54" t="s">
        <v>75</v>
      </c>
      <c r="Q54" t="s">
        <v>76</v>
      </c>
      <c r="R54" t="s">
        <v>67</v>
      </c>
      <c r="S54" s="10">
        <v>5</v>
      </c>
      <c r="T54" t="s">
        <v>74</v>
      </c>
      <c r="U54" s="10">
        <v>6023.8095000000003</v>
      </c>
      <c r="V54" s="4">
        <v>30119.047500000001</v>
      </c>
      <c r="X54" s="3" t="s">
        <v>130</v>
      </c>
      <c r="Y54" t="s">
        <v>131</v>
      </c>
      <c r="Z54" t="s">
        <v>123</v>
      </c>
      <c r="AA54" s="10">
        <v>47</v>
      </c>
      <c r="AB54" t="s">
        <v>5</v>
      </c>
      <c r="AC54" s="10">
        <v>6354.5132000000003</v>
      </c>
      <c r="AD54" s="4">
        <v>298662.12040000001</v>
      </c>
      <c r="AG54" s="20">
        <v>4</v>
      </c>
      <c r="AH54" s="18" t="s">
        <v>230</v>
      </c>
      <c r="AI54" s="18" t="s">
        <v>231</v>
      </c>
      <c r="AJ54" s="18" t="s">
        <v>67</v>
      </c>
      <c r="AK54" s="21">
        <v>8</v>
      </c>
      <c r="AL54" s="18" t="s">
        <v>5</v>
      </c>
      <c r="AM54" s="21">
        <v>10008.944544203334</v>
      </c>
      <c r="AN54" s="19">
        <v>80071.556354</v>
      </c>
      <c r="AP54" s="20" t="s">
        <v>254</v>
      </c>
      <c r="AQ54" s="18" t="s">
        <v>255</v>
      </c>
      <c r="AR54" s="18" t="s">
        <v>67</v>
      </c>
      <c r="AS54" s="21">
        <v>3</v>
      </c>
      <c r="AT54" s="18" t="s">
        <v>5</v>
      </c>
      <c r="AU54" s="21">
        <v>30950.2222</v>
      </c>
      <c r="AV54" s="19">
        <v>92850.666599999997</v>
      </c>
      <c r="AX54" s="20" t="s">
        <v>254</v>
      </c>
      <c r="AY54" s="18" t="s">
        <v>255</v>
      </c>
      <c r="AZ54" s="18" t="s">
        <v>67</v>
      </c>
      <c r="BA54" s="21">
        <v>3</v>
      </c>
      <c r="BB54" s="18" t="s">
        <v>5</v>
      </c>
      <c r="BC54" s="21">
        <v>30950.2222</v>
      </c>
      <c r="BD54" s="19">
        <v>92850.666599999997</v>
      </c>
    </row>
    <row r="55" spans="1:56" x14ac:dyDescent="0.35">
      <c r="A55" s="38" t="str">
        <v>STA00096</v>
      </c>
      <c r="B55" s="31" t="str">
        <f t="shared" si="4"/>
        <v>HANSAPLAS</v>
      </c>
      <c r="C55" s="31" t="str">
        <f t="shared" si="11"/>
        <v>STATIONARY AND OFFICE SUPPLIES</v>
      </c>
      <c r="D55" s="39" t="str">
        <f t="shared" si="5"/>
        <v>pack</v>
      </c>
      <c r="E55" s="47">
        <f t="shared" si="6"/>
        <v>30950.22</v>
      </c>
      <c r="F55" s="48" t="str">
        <f t="shared" si="7"/>
        <v>0</v>
      </c>
      <c r="G55" s="48">
        <f t="shared" si="8"/>
        <v>3</v>
      </c>
      <c r="H55" s="48">
        <f t="shared" si="9"/>
        <v>3</v>
      </c>
      <c r="I55" s="40">
        <f t="shared" si="10"/>
        <v>92850.66</v>
      </c>
      <c r="J55" s="31" t="str">
        <f t="shared" si="12"/>
        <v>Kenaikan IU</v>
      </c>
      <c r="K55" s="42" t="s">
        <v>981</v>
      </c>
      <c r="O55" s="3">
        <v>6</v>
      </c>
      <c r="P55" t="s">
        <v>77</v>
      </c>
      <c r="Q55" t="s">
        <v>78</v>
      </c>
      <c r="R55" t="s">
        <v>67</v>
      </c>
      <c r="S55" s="10">
        <v>2</v>
      </c>
      <c r="T55" t="s">
        <v>20</v>
      </c>
      <c r="U55" s="10">
        <v>1550</v>
      </c>
      <c r="V55" s="4">
        <v>3100</v>
      </c>
      <c r="X55" s="3" t="s">
        <v>132</v>
      </c>
      <c r="Y55" t="s">
        <v>133</v>
      </c>
      <c r="Z55" t="s">
        <v>123</v>
      </c>
      <c r="AA55" s="10">
        <v>95</v>
      </c>
      <c r="AB55" t="s">
        <v>134</v>
      </c>
      <c r="AC55" s="10">
        <v>12999.9997</v>
      </c>
      <c r="AD55" s="4">
        <v>1234999.9715</v>
      </c>
      <c r="AG55" s="20">
        <v>5</v>
      </c>
      <c r="AH55" s="18" t="s">
        <v>232</v>
      </c>
      <c r="AI55" s="18" t="s">
        <v>233</v>
      </c>
      <c r="AJ55" s="18" t="s">
        <v>67</v>
      </c>
      <c r="AK55" s="21">
        <v>2</v>
      </c>
      <c r="AL55" s="18" t="s">
        <v>20</v>
      </c>
      <c r="AM55" s="21">
        <v>8579.6296999999995</v>
      </c>
      <c r="AN55" s="19">
        <v>17159.259399999999</v>
      </c>
      <c r="AP55" s="20" t="s">
        <v>256</v>
      </c>
      <c r="AQ55" s="18" t="s">
        <v>257</v>
      </c>
      <c r="AR55" s="18" t="s">
        <v>67</v>
      </c>
      <c r="AS55" s="21">
        <v>1</v>
      </c>
      <c r="AT55" s="18" t="s">
        <v>20</v>
      </c>
      <c r="AU55" s="21">
        <v>3014.705882352941</v>
      </c>
      <c r="AV55" s="19">
        <v>3014.7058820000002</v>
      </c>
      <c r="AX55" s="20" t="s">
        <v>256</v>
      </c>
      <c r="AY55" s="18" t="s">
        <v>257</v>
      </c>
      <c r="AZ55" s="18" t="s">
        <v>67</v>
      </c>
      <c r="BA55" s="21">
        <v>1</v>
      </c>
      <c r="BB55" s="18" t="s">
        <v>20</v>
      </c>
      <c r="BC55" s="21">
        <v>3014.705882352941</v>
      </c>
      <c r="BD55" s="19">
        <v>3014.7058820000002</v>
      </c>
    </row>
    <row r="56" spans="1:56" x14ac:dyDescent="0.35">
      <c r="A56" s="38" t="str">
        <v>STA00099</v>
      </c>
      <c r="B56" s="31" t="str">
        <f t="shared" si="4"/>
        <v>BUSINESS FILE</v>
      </c>
      <c r="C56" s="31" t="str">
        <f t="shared" si="11"/>
        <v>STATIONARY AND OFFICE SUPPLIES</v>
      </c>
      <c r="D56" s="39" t="str">
        <f t="shared" si="5"/>
        <v>pcs</v>
      </c>
      <c r="E56" s="47">
        <f t="shared" si="6"/>
        <v>3014.71</v>
      </c>
      <c r="F56" s="48" t="str">
        <f t="shared" si="7"/>
        <v>0</v>
      </c>
      <c r="G56" s="48">
        <f t="shared" si="8"/>
        <v>1</v>
      </c>
      <c r="H56" s="48">
        <f t="shared" si="9"/>
        <v>1</v>
      </c>
      <c r="I56" s="40">
        <f t="shared" si="10"/>
        <v>3014.71</v>
      </c>
      <c r="J56" s="31" t="str">
        <f t="shared" si="12"/>
        <v>Kenaikan IU</v>
      </c>
      <c r="K56" s="42" t="s">
        <v>982</v>
      </c>
      <c r="O56" s="3">
        <v>7</v>
      </c>
      <c r="P56" t="s">
        <v>79</v>
      </c>
      <c r="Q56" t="s">
        <v>80</v>
      </c>
      <c r="R56" t="s">
        <v>67</v>
      </c>
      <c r="S56" s="10">
        <v>1</v>
      </c>
      <c r="T56" t="s">
        <v>20</v>
      </c>
      <c r="U56" s="10">
        <v>15000</v>
      </c>
      <c r="V56" s="4">
        <v>15000</v>
      </c>
      <c r="X56" s="3" t="s">
        <v>135</v>
      </c>
      <c r="Y56" t="s">
        <v>136</v>
      </c>
      <c r="Z56" t="s">
        <v>123</v>
      </c>
      <c r="AA56" s="10">
        <v>15</v>
      </c>
      <c r="AB56" t="s">
        <v>5</v>
      </c>
      <c r="AC56" s="10">
        <v>5676.6629000000003</v>
      </c>
      <c r="AD56" s="4">
        <v>85149.943499999994</v>
      </c>
      <c r="AG56" s="20">
        <v>6</v>
      </c>
      <c r="AH56" s="18" t="s">
        <v>72</v>
      </c>
      <c r="AI56" s="18" t="s">
        <v>73</v>
      </c>
      <c r="AJ56" s="18" t="s">
        <v>67</v>
      </c>
      <c r="AK56" s="21">
        <v>7</v>
      </c>
      <c r="AL56" s="18" t="s">
        <v>74</v>
      </c>
      <c r="AM56" s="21">
        <v>2890.8703999999998</v>
      </c>
      <c r="AN56" s="19">
        <v>20236.092799999999</v>
      </c>
      <c r="AP56" s="20" t="s">
        <v>104</v>
      </c>
      <c r="AQ56" s="18" t="s">
        <v>105</v>
      </c>
      <c r="AR56" s="18" t="s">
        <v>67</v>
      </c>
      <c r="AS56" s="21">
        <v>5</v>
      </c>
      <c r="AT56" s="18" t="s">
        <v>5</v>
      </c>
      <c r="AU56" s="21">
        <v>6232.0667000000003</v>
      </c>
      <c r="AV56" s="19">
        <v>31160.333500000001</v>
      </c>
      <c r="AX56" s="20" t="s">
        <v>104</v>
      </c>
      <c r="AY56" s="18" t="s">
        <v>105</v>
      </c>
      <c r="AZ56" s="18" t="s">
        <v>67</v>
      </c>
      <c r="BA56" s="21">
        <v>5</v>
      </c>
      <c r="BB56" s="18" t="s">
        <v>5</v>
      </c>
      <c r="BC56" s="21">
        <v>6232.0667000000003</v>
      </c>
      <c r="BD56" s="19">
        <v>31160.333500000001</v>
      </c>
    </row>
    <row r="57" spans="1:56" x14ac:dyDescent="0.35">
      <c r="A57" s="38" t="str">
        <v>STA00107</v>
      </c>
      <c r="B57" s="31" t="str">
        <f t="shared" si="4"/>
        <v>LABEL/STICKER TOM &amp; JERRY 105</v>
      </c>
      <c r="C57" s="31" t="str">
        <f t="shared" si="11"/>
        <v>STATIONARY AND OFFICE SUPPLIES</v>
      </c>
      <c r="D57" s="39" t="str">
        <f t="shared" si="5"/>
        <v>pack</v>
      </c>
      <c r="E57" s="47">
        <f t="shared" si="6"/>
        <v>6232.07</v>
      </c>
      <c r="F57" s="48">
        <f t="shared" si="7"/>
        <v>1</v>
      </c>
      <c r="G57" s="48">
        <f t="shared" si="8"/>
        <v>5</v>
      </c>
      <c r="H57" s="48">
        <f t="shared" si="9"/>
        <v>4</v>
      </c>
      <c r="I57" s="40">
        <f t="shared" si="10"/>
        <v>24928.28</v>
      </c>
      <c r="J57" s="31" t="str">
        <f t="shared" si="12"/>
        <v>Kenaikan IU</v>
      </c>
      <c r="K57" s="42" t="s">
        <v>983</v>
      </c>
      <c r="O57" s="3">
        <v>8</v>
      </c>
      <c r="P57" t="s">
        <v>81</v>
      </c>
      <c r="Q57" t="s">
        <v>82</v>
      </c>
      <c r="R57" t="s">
        <v>67</v>
      </c>
      <c r="S57" s="10">
        <v>2</v>
      </c>
      <c r="T57" t="s">
        <v>20</v>
      </c>
      <c r="U57" s="10">
        <v>8799.25</v>
      </c>
      <c r="V57" s="4">
        <v>17598.5</v>
      </c>
      <c r="X57" s="3" t="s">
        <v>137</v>
      </c>
      <c r="Y57" t="s">
        <v>138</v>
      </c>
      <c r="Z57" t="s">
        <v>123</v>
      </c>
      <c r="AA57" s="10">
        <v>19</v>
      </c>
      <c r="AB57" t="s">
        <v>5</v>
      </c>
      <c r="AC57" s="10">
        <v>16089.183300000001</v>
      </c>
      <c r="AD57" s="4">
        <v>305694.48269999999</v>
      </c>
      <c r="AG57" s="20">
        <v>7</v>
      </c>
      <c r="AH57" s="18" t="s">
        <v>75</v>
      </c>
      <c r="AI57" s="18" t="s">
        <v>76</v>
      </c>
      <c r="AJ57" s="18" t="s">
        <v>67</v>
      </c>
      <c r="AK57" s="21">
        <v>3</v>
      </c>
      <c r="AL57" s="18" t="s">
        <v>74</v>
      </c>
      <c r="AM57" s="21">
        <v>5628.9683000000005</v>
      </c>
      <c r="AN57" s="19">
        <v>16886.904900000001</v>
      </c>
      <c r="AP57" s="20" t="s">
        <v>258</v>
      </c>
      <c r="AQ57" s="18" t="s">
        <v>259</v>
      </c>
      <c r="AR57" s="18" t="s">
        <v>67</v>
      </c>
      <c r="AS57" s="21">
        <v>2.5</v>
      </c>
      <c r="AT57" s="18" t="s">
        <v>5</v>
      </c>
      <c r="AU57" s="21">
        <v>24500</v>
      </c>
      <c r="AV57" s="19">
        <v>61250</v>
      </c>
      <c r="AX57" s="20" t="s">
        <v>258</v>
      </c>
      <c r="AY57" s="18" t="s">
        <v>259</v>
      </c>
      <c r="AZ57" s="18" t="s">
        <v>67</v>
      </c>
      <c r="BA57" s="21">
        <v>2.5</v>
      </c>
      <c r="BB57" s="18" t="s">
        <v>5</v>
      </c>
      <c r="BC57" s="21">
        <v>24500</v>
      </c>
      <c r="BD57" s="19">
        <v>61250</v>
      </c>
    </row>
    <row r="58" spans="1:56" x14ac:dyDescent="0.35">
      <c r="A58" s="38" t="str">
        <v>STA00121</v>
      </c>
      <c r="B58" s="31" t="str">
        <f t="shared" si="4"/>
        <v>KERTAS BURAM A4</v>
      </c>
      <c r="C58" s="31" t="str">
        <f t="shared" si="11"/>
        <v>STATIONARY AND OFFICE SUPPLIES</v>
      </c>
      <c r="D58" s="39" t="str">
        <f t="shared" si="5"/>
        <v>pack</v>
      </c>
      <c r="E58" s="47">
        <f t="shared" si="6"/>
        <v>24500</v>
      </c>
      <c r="F58" s="48" t="str">
        <f t="shared" si="7"/>
        <v>0</v>
      </c>
      <c r="G58" s="48">
        <f t="shared" si="8"/>
        <v>2.5</v>
      </c>
      <c r="H58" s="48">
        <f t="shared" si="9"/>
        <v>2.5</v>
      </c>
      <c r="I58" s="40">
        <f t="shared" si="10"/>
        <v>61250</v>
      </c>
      <c r="J58" s="31" t="str">
        <f t="shared" si="12"/>
        <v>Kenaikan IU</v>
      </c>
      <c r="K58" s="42" t="s">
        <v>984</v>
      </c>
      <c r="O58" s="3">
        <v>9</v>
      </c>
      <c r="P58" t="s">
        <v>83</v>
      </c>
      <c r="Q58" t="s">
        <v>84</v>
      </c>
      <c r="R58" t="s">
        <v>67</v>
      </c>
      <c r="S58" s="10">
        <v>2</v>
      </c>
      <c r="T58" t="s">
        <v>20</v>
      </c>
      <c r="U58" s="10">
        <v>7250</v>
      </c>
      <c r="V58" s="4">
        <v>14500</v>
      </c>
      <c r="X58" s="3" t="s">
        <v>139</v>
      </c>
      <c r="Y58" t="s">
        <v>140</v>
      </c>
      <c r="Z58" t="s">
        <v>123</v>
      </c>
      <c r="AA58" s="10">
        <v>15</v>
      </c>
      <c r="AB58" t="s">
        <v>5</v>
      </c>
      <c r="AC58" s="10">
        <v>42453.578999999998</v>
      </c>
      <c r="AD58" s="4">
        <v>636803.68500000006</v>
      </c>
      <c r="AG58" s="20">
        <v>8</v>
      </c>
      <c r="AH58" s="18" t="s">
        <v>234</v>
      </c>
      <c r="AI58" s="18" t="s">
        <v>235</v>
      </c>
      <c r="AJ58" s="18" t="s">
        <v>67</v>
      </c>
      <c r="AK58" s="21">
        <v>1</v>
      </c>
      <c r="AL58" s="18" t="s">
        <v>20</v>
      </c>
      <c r="AM58" s="21">
        <v>1550</v>
      </c>
      <c r="AN58" s="19">
        <v>1550</v>
      </c>
      <c r="AP58" s="20" t="s">
        <v>260</v>
      </c>
      <c r="AQ58" s="18" t="s">
        <v>261</v>
      </c>
      <c r="AR58" s="18" t="s">
        <v>67</v>
      </c>
      <c r="AS58" s="21">
        <v>2</v>
      </c>
      <c r="AT58" s="18" t="s">
        <v>5</v>
      </c>
      <c r="AU58" s="21">
        <v>1998</v>
      </c>
      <c r="AV58" s="19">
        <v>3996</v>
      </c>
      <c r="AX58" s="20" t="s">
        <v>260</v>
      </c>
      <c r="AY58" s="18" t="s">
        <v>261</v>
      </c>
      <c r="AZ58" s="18" t="s">
        <v>67</v>
      </c>
      <c r="BA58" s="21">
        <v>2</v>
      </c>
      <c r="BB58" s="18" t="s">
        <v>5</v>
      </c>
      <c r="BC58" s="21">
        <v>1998</v>
      </c>
      <c r="BD58" s="19">
        <v>3996</v>
      </c>
    </row>
    <row r="59" spans="1:56" x14ac:dyDescent="0.35">
      <c r="A59" s="38" t="str">
        <v>STA00125</v>
      </c>
      <c r="B59" s="31" t="str">
        <f t="shared" si="4"/>
        <v>PAPER CLIP NO. 1</v>
      </c>
      <c r="C59" s="31" t="str">
        <f t="shared" si="11"/>
        <v>STATIONARY AND OFFICE SUPPLIES</v>
      </c>
      <c r="D59" s="39" t="str">
        <f t="shared" si="5"/>
        <v>pack</v>
      </c>
      <c r="E59" s="47">
        <f t="shared" si="6"/>
        <v>1998</v>
      </c>
      <c r="F59" s="48" t="str">
        <f t="shared" si="7"/>
        <v>0</v>
      </c>
      <c r="G59" s="48">
        <f t="shared" si="8"/>
        <v>2</v>
      </c>
      <c r="H59" s="48">
        <f t="shared" si="9"/>
        <v>2</v>
      </c>
      <c r="I59" s="40">
        <f t="shared" si="10"/>
        <v>3996</v>
      </c>
      <c r="J59" s="31" t="str">
        <f t="shared" si="12"/>
        <v>Kenaikan IU</v>
      </c>
      <c r="K59" s="42" t="s">
        <v>980</v>
      </c>
      <c r="O59" s="3">
        <v>10</v>
      </c>
      <c r="P59" t="s">
        <v>85</v>
      </c>
      <c r="Q59" t="s">
        <v>86</v>
      </c>
      <c r="R59" t="s">
        <v>67</v>
      </c>
      <c r="S59" s="10">
        <v>0.5</v>
      </c>
      <c r="T59" t="s">
        <v>87</v>
      </c>
      <c r="U59" s="10">
        <v>18500</v>
      </c>
      <c r="V59" s="4">
        <v>9250</v>
      </c>
      <c r="X59" s="3" t="s">
        <v>141</v>
      </c>
      <c r="Y59" t="s">
        <v>142</v>
      </c>
      <c r="Z59" t="s">
        <v>123</v>
      </c>
      <c r="AA59" s="10">
        <v>9</v>
      </c>
      <c r="AB59" t="s">
        <v>5</v>
      </c>
      <c r="AC59" s="10">
        <v>41773.5821</v>
      </c>
      <c r="AD59" s="4">
        <v>375962.2389</v>
      </c>
      <c r="AG59" s="20">
        <v>9</v>
      </c>
      <c r="AH59" s="18" t="s">
        <v>236</v>
      </c>
      <c r="AI59" s="18" t="s">
        <v>237</v>
      </c>
      <c r="AJ59" s="18" t="s">
        <v>67</v>
      </c>
      <c r="AK59" s="21">
        <v>1</v>
      </c>
      <c r="AL59" s="18" t="s">
        <v>20</v>
      </c>
      <c r="AM59" s="21">
        <v>7500</v>
      </c>
      <c r="AN59" s="19">
        <v>7500</v>
      </c>
      <c r="AP59" s="20" t="s">
        <v>113</v>
      </c>
      <c r="AQ59" s="18" t="s">
        <v>114</v>
      </c>
      <c r="AR59" s="18" t="s">
        <v>67</v>
      </c>
      <c r="AS59" s="18">
        <v>300</v>
      </c>
      <c r="AT59" s="18" t="s">
        <v>20</v>
      </c>
      <c r="AU59" s="18">
        <v>143</v>
      </c>
      <c r="AV59" s="19">
        <v>42900</v>
      </c>
      <c r="AX59" s="20" t="s">
        <v>113</v>
      </c>
      <c r="AY59" s="18" t="s">
        <v>114</v>
      </c>
      <c r="AZ59" s="18" t="s">
        <v>67</v>
      </c>
      <c r="BA59" s="18">
        <v>300</v>
      </c>
      <c r="BB59" s="18" t="s">
        <v>20</v>
      </c>
      <c r="BC59" s="18">
        <v>143</v>
      </c>
      <c r="BD59" s="19">
        <v>42900</v>
      </c>
    </row>
    <row r="60" spans="1:56" x14ac:dyDescent="0.35">
      <c r="A60" s="38" t="str">
        <v>STA00183</v>
      </c>
      <c r="B60" s="31" t="str">
        <f t="shared" si="4"/>
        <v>STICKER TANGGAL EXP WATERPROOF@500PCS</v>
      </c>
      <c r="C60" s="31" t="str">
        <f t="shared" si="11"/>
        <v>STATIONARY AND OFFICE SUPPLIES</v>
      </c>
      <c r="D60" s="39" t="str">
        <f t="shared" si="5"/>
        <v>pcs</v>
      </c>
      <c r="E60" s="47">
        <f t="shared" si="6"/>
        <v>143</v>
      </c>
      <c r="F60" s="48">
        <f t="shared" si="7"/>
        <v>200</v>
      </c>
      <c r="G60" s="48">
        <f t="shared" si="8"/>
        <v>300</v>
      </c>
      <c r="H60" s="48">
        <f t="shared" si="9"/>
        <v>100</v>
      </c>
      <c r="I60" s="40">
        <f t="shared" si="10"/>
        <v>14300</v>
      </c>
      <c r="J60" s="31" t="str">
        <f t="shared" si="12"/>
        <v>Kenaikan IU</v>
      </c>
      <c r="K60" s="42" t="s">
        <v>985</v>
      </c>
      <c r="O60" s="3">
        <v>11</v>
      </c>
      <c r="P60" t="s">
        <v>88</v>
      </c>
      <c r="Q60" t="s">
        <v>89</v>
      </c>
      <c r="R60" t="s">
        <v>67</v>
      </c>
      <c r="S60" s="10">
        <v>3</v>
      </c>
      <c r="T60" t="s">
        <v>5</v>
      </c>
      <c r="U60" s="10">
        <v>1750</v>
      </c>
      <c r="V60" s="4">
        <v>5250</v>
      </c>
      <c r="X60" s="3" t="s">
        <v>143</v>
      </c>
      <c r="Y60" t="s">
        <v>144</v>
      </c>
      <c r="Z60" t="s">
        <v>123</v>
      </c>
      <c r="AA60" s="10">
        <v>0.25</v>
      </c>
      <c r="AB60" t="s">
        <v>5</v>
      </c>
      <c r="AC60" s="10">
        <v>55200</v>
      </c>
      <c r="AD60" s="4">
        <v>13800</v>
      </c>
      <c r="AG60" s="20">
        <v>10</v>
      </c>
      <c r="AH60" s="18" t="s">
        <v>238</v>
      </c>
      <c r="AI60" s="18" t="s">
        <v>239</v>
      </c>
      <c r="AJ60" s="18" t="s">
        <v>67</v>
      </c>
      <c r="AK60" s="21">
        <v>0.2</v>
      </c>
      <c r="AL60" s="18" t="s">
        <v>74</v>
      </c>
      <c r="AM60" s="21">
        <v>8831.1828000000005</v>
      </c>
      <c r="AN60" s="19">
        <v>1766.2365600000001</v>
      </c>
      <c r="AP60" s="20" t="s">
        <v>115</v>
      </c>
      <c r="AQ60" s="18" t="s">
        <v>116</v>
      </c>
      <c r="AR60" s="18" t="s">
        <v>117</v>
      </c>
      <c r="AS60" s="21">
        <v>181</v>
      </c>
      <c r="AT60" s="18" t="s">
        <v>52</v>
      </c>
      <c r="AU60" s="21">
        <v>600</v>
      </c>
      <c r="AV60" s="19">
        <v>108600</v>
      </c>
      <c r="AX60" s="20" t="s">
        <v>115</v>
      </c>
      <c r="AY60" s="18" t="s">
        <v>116</v>
      </c>
      <c r="AZ60" s="18" t="s">
        <v>117</v>
      </c>
      <c r="BA60" s="21">
        <v>181</v>
      </c>
      <c r="BB60" s="18" t="s">
        <v>52</v>
      </c>
      <c r="BC60" s="21">
        <v>600</v>
      </c>
      <c r="BD60" s="19">
        <v>108600</v>
      </c>
    </row>
    <row r="61" spans="1:56" x14ac:dyDescent="0.35">
      <c r="A61" s="38" t="str">
        <v>MKT00032</v>
      </c>
      <c r="B61" s="31" t="str">
        <f t="shared" si="4"/>
        <v>FLYER A5</v>
      </c>
      <c r="C61" s="31" t="str">
        <f t="shared" si="11"/>
        <v>MARKETING</v>
      </c>
      <c r="D61" s="39" t="str">
        <f t="shared" si="5"/>
        <v>lembar</v>
      </c>
      <c r="E61" s="47">
        <f t="shared" si="6"/>
        <v>600</v>
      </c>
      <c r="F61" s="48">
        <f t="shared" si="7"/>
        <v>1000</v>
      </c>
      <c r="G61" s="48">
        <f t="shared" si="8"/>
        <v>181</v>
      </c>
      <c r="H61" s="48">
        <f t="shared" si="9"/>
        <v>-819</v>
      </c>
      <c r="I61" s="40">
        <f t="shared" si="10"/>
        <v>-491400</v>
      </c>
      <c r="J61" s="31" t="str">
        <f t="shared" si="12"/>
        <v>Penurunan IU</v>
      </c>
      <c r="K61" s="42" t="s">
        <v>986</v>
      </c>
      <c r="O61" s="3">
        <v>12</v>
      </c>
      <c r="P61" t="s">
        <v>90</v>
      </c>
      <c r="Q61" t="s">
        <v>91</v>
      </c>
      <c r="R61" t="s">
        <v>67</v>
      </c>
      <c r="S61" s="10">
        <v>3</v>
      </c>
      <c r="T61" t="s">
        <v>5</v>
      </c>
      <c r="U61" s="10">
        <v>5820.3125</v>
      </c>
      <c r="V61" s="4">
        <v>17460.9375</v>
      </c>
      <c r="X61" s="3" t="s">
        <v>145</v>
      </c>
      <c r="Y61" t="s">
        <v>146</v>
      </c>
      <c r="Z61" t="s">
        <v>123</v>
      </c>
      <c r="AA61" s="10">
        <v>56</v>
      </c>
      <c r="AB61" t="s">
        <v>5</v>
      </c>
      <c r="AC61" s="10">
        <v>4604.1441999999997</v>
      </c>
      <c r="AD61" s="4">
        <v>257832.07519999999</v>
      </c>
      <c r="AG61" s="20">
        <v>11</v>
      </c>
      <c r="AH61" s="18" t="s">
        <v>240</v>
      </c>
      <c r="AI61" s="18" t="s">
        <v>241</v>
      </c>
      <c r="AJ61" s="18" t="s">
        <v>67</v>
      </c>
      <c r="AK61" s="21">
        <v>1</v>
      </c>
      <c r="AL61" s="18" t="s">
        <v>20</v>
      </c>
      <c r="AM61" s="21">
        <v>22518.920399999999</v>
      </c>
      <c r="AN61" s="19">
        <v>22518.920399999999</v>
      </c>
      <c r="AP61" s="20" t="s">
        <v>124</v>
      </c>
      <c r="AQ61" s="18" t="s">
        <v>125</v>
      </c>
      <c r="AR61" s="18" t="s">
        <v>123</v>
      </c>
      <c r="AS61" s="21">
        <v>37</v>
      </c>
      <c r="AT61" s="18" t="s">
        <v>5</v>
      </c>
      <c r="AU61" s="21">
        <v>5685.4389000000001</v>
      </c>
      <c r="AV61" s="19">
        <v>210361.23929999999</v>
      </c>
      <c r="AX61" s="20" t="s">
        <v>124</v>
      </c>
      <c r="AY61" s="18" t="s">
        <v>125</v>
      </c>
      <c r="AZ61" s="18" t="s">
        <v>123</v>
      </c>
      <c r="BA61" s="21">
        <v>37</v>
      </c>
      <c r="BB61" s="18" t="s">
        <v>5</v>
      </c>
      <c r="BC61" s="21">
        <v>5685.4389000000001</v>
      </c>
      <c r="BD61" s="19">
        <v>210361.23929999999</v>
      </c>
    </row>
    <row r="62" spans="1:56" x14ac:dyDescent="0.35">
      <c r="A62" s="38" t="str">
        <v>NCGK0001</v>
      </c>
      <c r="B62" s="31" t="str">
        <f t="shared" si="4"/>
        <v>PLASTIK PE 2 KG 20 x 35 (Kitchen)</v>
      </c>
      <c r="C62" s="31" t="str">
        <f t="shared" si="11"/>
        <v>NCG</v>
      </c>
      <c r="D62" s="39" t="str">
        <f t="shared" si="5"/>
        <v>pack</v>
      </c>
      <c r="E62" s="47">
        <f t="shared" si="6"/>
        <v>5685.44</v>
      </c>
      <c r="F62" s="48">
        <f t="shared" si="7"/>
        <v>38</v>
      </c>
      <c r="G62" s="48">
        <f t="shared" si="8"/>
        <v>37</v>
      </c>
      <c r="H62" s="48">
        <f t="shared" si="9"/>
        <v>-1</v>
      </c>
      <c r="I62" s="40">
        <f t="shared" si="10"/>
        <v>-5685.44</v>
      </c>
      <c r="J62" s="31" t="str">
        <f t="shared" si="12"/>
        <v>Penurunan IU</v>
      </c>
      <c r="K62" s="42" t="s">
        <v>987</v>
      </c>
      <c r="O62" s="3">
        <v>13</v>
      </c>
      <c r="P62" t="s">
        <v>92</v>
      </c>
      <c r="Q62" t="s">
        <v>93</v>
      </c>
      <c r="R62" t="s">
        <v>67</v>
      </c>
      <c r="S62" s="10">
        <v>20</v>
      </c>
      <c r="T62" t="s">
        <v>94</v>
      </c>
      <c r="U62" s="10">
        <v>11800.8393</v>
      </c>
      <c r="V62" s="4">
        <v>236016.78599999999</v>
      </c>
      <c r="X62" s="3" t="s">
        <v>147</v>
      </c>
      <c r="Y62" t="s">
        <v>148</v>
      </c>
      <c r="Z62" t="s">
        <v>123</v>
      </c>
      <c r="AA62" s="10">
        <v>0.5</v>
      </c>
      <c r="AB62" t="s">
        <v>5</v>
      </c>
      <c r="AC62" s="10">
        <v>14782.333300000004</v>
      </c>
      <c r="AD62" s="4">
        <v>7391.1666500000001</v>
      </c>
      <c r="AG62" s="20">
        <v>12</v>
      </c>
      <c r="AH62" s="18" t="s">
        <v>83</v>
      </c>
      <c r="AI62" s="18" t="s">
        <v>84</v>
      </c>
      <c r="AJ62" s="18" t="s">
        <v>67</v>
      </c>
      <c r="AK62" s="21">
        <v>2</v>
      </c>
      <c r="AL62" s="18" t="s">
        <v>20</v>
      </c>
      <c r="AM62" s="21">
        <v>13625</v>
      </c>
      <c r="AN62" s="19">
        <v>27250</v>
      </c>
      <c r="AP62" s="20" t="s">
        <v>126</v>
      </c>
      <c r="AQ62" s="18" t="s">
        <v>127</v>
      </c>
      <c r="AR62" s="18" t="s">
        <v>123</v>
      </c>
      <c r="AS62" s="21">
        <v>27</v>
      </c>
      <c r="AT62" s="18" t="s">
        <v>5</v>
      </c>
      <c r="AU62" s="21">
        <v>6840.7210999999998</v>
      </c>
      <c r="AV62" s="19">
        <v>184699.46969999999</v>
      </c>
      <c r="AX62" s="20" t="s">
        <v>126</v>
      </c>
      <c r="AY62" s="18" t="s">
        <v>127</v>
      </c>
      <c r="AZ62" s="18" t="s">
        <v>123</v>
      </c>
      <c r="BA62" s="21">
        <v>27</v>
      </c>
      <c r="BB62" s="18" t="s">
        <v>5</v>
      </c>
      <c r="BC62" s="21">
        <v>6840.7210999999998</v>
      </c>
      <c r="BD62" s="19">
        <v>184699.46969999999</v>
      </c>
    </row>
    <row r="63" spans="1:56" x14ac:dyDescent="0.35">
      <c r="A63" s="38" t="str">
        <v>NCGK0003</v>
      </c>
      <c r="B63" s="31" t="str">
        <f t="shared" si="4"/>
        <v>PLASTIK PE 1 KG 15 x 30</v>
      </c>
      <c r="C63" s="31" t="str">
        <f t="shared" si="11"/>
        <v>NCG</v>
      </c>
      <c r="D63" s="39" t="str">
        <f t="shared" si="5"/>
        <v>pack</v>
      </c>
      <c r="E63" s="47">
        <f t="shared" si="6"/>
        <v>6840.72</v>
      </c>
      <c r="F63" s="48">
        <f t="shared" si="7"/>
        <v>10</v>
      </c>
      <c r="G63" s="48">
        <f t="shared" si="8"/>
        <v>27</v>
      </c>
      <c r="H63" s="48">
        <f t="shared" si="9"/>
        <v>17</v>
      </c>
      <c r="I63" s="40">
        <f t="shared" si="10"/>
        <v>116292.24</v>
      </c>
      <c r="J63" s="31" t="str">
        <f t="shared" si="12"/>
        <v>Kenaikan IU</v>
      </c>
      <c r="K63" s="42" t="s">
        <v>988</v>
      </c>
      <c r="O63" s="3">
        <v>14</v>
      </c>
      <c r="P63" t="s">
        <v>96</v>
      </c>
      <c r="Q63" t="s">
        <v>97</v>
      </c>
      <c r="R63" t="s">
        <v>67</v>
      </c>
      <c r="S63" s="10">
        <v>4</v>
      </c>
      <c r="T63" t="s">
        <v>98</v>
      </c>
      <c r="U63" s="10">
        <v>9100</v>
      </c>
      <c r="V63" s="4">
        <v>36400</v>
      </c>
      <c r="X63" s="3" t="s">
        <v>149</v>
      </c>
      <c r="Y63" t="s">
        <v>150</v>
      </c>
      <c r="Z63" t="s">
        <v>151</v>
      </c>
      <c r="AA63" s="10">
        <v>1</v>
      </c>
      <c r="AB63" t="s">
        <v>20</v>
      </c>
      <c r="AC63" s="10">
        <v>14620.625</v>
      </c>
      <c r="AD63" s="4">
        <v>14620.625</v>
      </c>
      <c r="AG63" s="20">
        <v>13</v>
      </c>
      <c r="AH63" s="18" t="s">
        <v>85</v>
      </c>
      <c r="AI63" s="18" t="s">
        <v>86</v>
      </c>
      <c r="AJ63" s="18" t="s">
        <v>67</v>
      </c>
      <c r="AK63" s="21">
        <v>0.7</v>
      </c>
      <c r="AL63" s="18" t="s">
        <v>87</v>
      </c>
      <c r="AM63" s="21">
        <v>16500</v>
      </c>
      <c r="AN63" s="19">
        <v>11550</v>
      </c>
      <c r="AP63" s="20" t="s">
        <v>128</v>
      </c>
      <c r="AQ63" s="18" t="s">
        <v>129</v>
      </c>
      <c r="AR63" s="18" t="s">
        <v>123</v>
      </c>
      <c r="AS63" s="21">
        <v>4.3</v>
      </c>
      <c r="AT63" s="18" t="s">
        <v>74</v>
      </c>
      <c r="AU63" s="21">
        <v>142077.6966</v>
      </c>
      <c r="AV63" s="19">
        <v>610934.09537999996</v>
      </c>
      <c r="AX63" s="20" t="s">
        <v>128</v>
      </c>
      <c r="AY63" s="18" t="s">
        <v>129</v>
      </c>
      <c r="AZ63" s="18" t="s">
        <v>123</v>
      </c>
      <c r="BA63" s="21">
        <v>4.3</v>
      </c>
      <c r="BB63" s="18" t="s">
        <v>74</v>
      </c>
      <c r="BC63" s="21">
        <v>142077.6966</v>
      </c>
      <c r="BD63" s="19">
        <v>610934.09537999996</v>
      </c>
    </row>
    <row r="64" spans="1:56" x14ac:dyDescent="0.35">
      <c r="A64" s="38" t="str">
        <v>NCGK0005</v>
      </c>
      <c r="B64" s="31" t="str">
        <f t="shared" si="4"/>
        <v>CLING WRAP 45 x 50 @ 6 ROLL</v>
      </c>
      <c r="C64" s="31" t="str">
        <f t="shared" si="11"/>
        <v>NCG</v>
      </c>
      <c r="D64" s="39" t="str">
        <f t="shared" si="5"/>
        <v>roll</v>
      </c>
      <c r="E64" s="47">
        <f t="shared" si="6"/>
        <v>142077.70000000001</v>
      </c>
      <c r="F64" s="48">
        <f t="shared" si="7"/>
        <v>2.7</v>
      </c>
      <c r="G64" s="48">
        <f t="shared" si="8"/>
        <v>4.3</v>
      </c>
      <c r="H64" s="48">
        <f t="shared" si="9"/>
        <v>1.5999999999999996</v>
      </c>
      <c r="I64" s="40">
        <f t="shared" si="10"/>
        <v>227324.31999999998</v>
      </c>
      <c r="J64" s="31" t="str">
        <f t="shared" si="12"/>
        <v>Kenaikan IU</v>
      </c>
      <c r="K64" s="42" t="s">
        <v>989</v>
      </c>
      <c r="O64" s="3">
        <v>15</v>
      </c>
      <c r="P64" t="s">
        <v>100</v>
      </c>
      <c r="Q64" t="s">
        <v>101</v>
      </c>
      <c r="R64" t="s">
        <v>67</v>
      </c>
      <c r="S64" s="10">
        <v>0.2</v>
      </c>
      <c r="T64" t="s">
        <v>87</v>
      </c>
      <c r="U64" s="10">
        <v>4650</v>
      </c>
      <c r="V64" s="4">
        <v>930</v>
      </c>
      <c r="X64" s="3" t="s">
        <v>152</v>
      </c>
      <c r="Y64" t="s">
        <v>153</v>
      </c>
      <c r="Z64" t="s">
        <v>151</v>
      </c>
      <c r="AA64" s="10">
        <v>2</v>
      </c>
      <c r="AB64" t="s">
        <v>20</v>
      </c>
      <c r="AC64" s="10">
        <v>13786</v>
      </c>
      <c r="AD64" s="4">
        <v>27572</v>
      </c>
      <c r="AG64" s="20">
        <v>14</v>
      </c>
      <c r="AH64" s="18" t="s">
        <v>242</v>
      </c>
      <c r="AI64" s="18" t="s">
        <v>243</v>
      </c>
      <c r="AJ64" s="18" t="s">
        <v>67</v>
      </c>
      <c r="AK64" s="21">
        <v>1.8</v>
      </c>
      <c r="AL64" s="18" t="s">
        <v>87</v>
      </c>
      <c r="AM64" s="21">
        <v>8558.4905999999992</v>
      </c>
      <c r="AN64" s="19">
        <v>15405.283079999999</v>
      </c>
      <c r="AP64" s="20" t="s">
        <v>130</v>
      </c>
      <c r="AQ64" s="18" t="s">
        <v>131</v>
      </c>
      <c r="AR64" s="18" t="s">
        <v>123</v>
      </c>
      <c r="AS64" s="21">
        <v>56</v>
      </c>
      <c r="AT64" s="18" t="s">
        <v>5</v>
      </c>
      <c r="AU64" s="21">
        <v>6355.3806999999997</v>
      </c>
      <c r="AV64" s="19">
        <v>355901.31920000003</v>
      </c>
      <c r="AX64" s="20" t="s">
        <v>130</v>
      </c>
      <c r="AY64" s="18" t="s">
        <v>131</v>
      </c>
      <c r="AZ64" s="18" t="s">
        <v>123</v>
      </c>
      <c r="BA64" s="21">
        <v>56</v>
      </c>
      <c r="BB64" s="18" t="s">
        <v>5</v>
      </c>
      <c r="BC64" s="21">
        <v>6355.3806999999997</v>
      </c>
      <c r="BD64" s="19">
        <v>355901.31920000003</v>
      </c>
    </row>
    <row r="65" spans="1:56" x14ac:dyDescent="0.35">
      <c r="A65" s="38" t="str">
        <v>NCGK0006</v>
      </c>
      <c r="B65" s="31" t="str">
        <f t="shared" si="4"/>
        <v>TISSUE SEE-U HANDTOWELS @ 20 PACK</v>
      </c>
      <c r="C65" s="31" t="str">
        <f t="shared" si="11"/>
        <v>NCG</v>
      </c>
      <c r="D65" s="39" t="str">
        <f t="shared" si="5"/>
        <v>pack</v>
      </c>
      <c r="E65" s="47">
        <f t="shared" si="6"/>
        <v>6355.38</v>
      </c>
      <c r="F65" s="48">
        <f t="shared" si="7"/>
        <v>47</v>
      </c>
      <c r="G65" s="48">
        <f t="shared" si="8"/>
        <v>56</v>
      </c>
      <c r="H65" s="48">
        <f t="shared" si="9"/>
        <v>9</v>
      </c>
      <c r="I65" s="40">
        <f t="shared" si="10"/>
        <v>57198.42</v>
      </c>
      <c r="J65" s="31" t="str">
        <f t="shared" si="12"/>
        <v>Kenaikan IU</v>
      </c>
      <c r="K65" s="42" t="s">
        <v>990</v>
      </c>
      <c r="O65" s="3">
        <v>16</v>
      </c>
      <c r="P65" t="s">
        <v>102</v>
      </c>
      <c r="Q65" t="s">
        <v>103</v>
      </c>
      <c r="R65" t="s">
        <v>67</v>
      </c>
      <c r="S65" s="10">
        <v>0.1</v>
      </c>
      <c r="T65" t="s">
        <v>87</v>
      </c>
      <c r="U65" s="10">
        <v>8000</v>
      </c>
      <c r="V65" s="4">
        <v>800</v>
      </c>
      <c r="X65" s="3" t="s">
        <v>154</v>
      </c>
      <c r="Y65" t="s">
        <v>155</v>
      </c>
      <c r="Z65" t="s">
        <v>151</v>
      </c>
      <c r="AA65" s="10">
        <v>49</v>
      </c>
      <c r="AB65" t="s">
        <v>20</v>
      </c>
      <c r="AC65" s="10">
        <v>1000.6605</v>
      </c>
      <c r="AD65" s="4">
        <v>49032.364500000003</v>
      </c>
      <c r="AG65" s="20">
        <v>15</v>
      </c>
      <c r="AH65" s="18" t="s">
        <v>244</v>
      </c>
      <c r="AI65" s="18" t="s">
        <v>245</v>
      </c>
      <c r="AJ65" s="18" t="s">
        <v>67</v>
      </c>
      <c r="AK65" s="21">
        <v>2</v>
      </c>
      <c r="AL65" s="18" t="s">
        <v>20</v>
      </c>
      <c r="AM65" s="21">
        <v>6000</v>
      </c>
      <c r="AN65" s="19">
        <v>12000</v>
      </c>
      <c r="AP65" s="20" t="s">
        <v>132</v>
      </c>
      <c r="AQ65" s="18" t="s">
        <v>133</v>
      </c>
      <c r="AR65" s="18" t="s">
        <v>123</v>
      </c>
      <c r="AS65" s="21">
        <v>127</v>
      </c>
      <c r="AT65" s="18" t="s">
        <v>134</v>
      </c>
      <c r="AU65" s="21">
        <v>12999.999900000001</v>
      </c>
      <c r="AV65" s="19">
        <v>1650999.9872999999</v>
      </c>
      <c r="AX65" s="20" t="s">
        <v>132</v>
      </c>
      <c r="AY65" s="18" t="s">
        <v>133</v>
      </c>
      <c r="AZ65" s="18" t="s">
        <v>123</v>
      </c>
      <c r="BA65" s="21">
        <v>127</v>
      </c>
      <c r="BB65" s="18" t="s">
        <v>134</v>
      </c>
      <c r="BC65" s="21">
        <v>12999.999900000001</v>
      </c>
      <c r="BD65" s="19">
        <v>1650999.9872999999</v>
      </c>
    </row>
    <row r="66" spans="1:56" x14ac:dyDescent="0.35">
      <c r="A66" s="38" t="str">
        <v>NCGK0007</v>
      </c>
      <c r="B66" s="31" t="str">
        <f t="shared" si="4"/>
        <v>GAS BUTANE PORTABLE PURITY 230G @24 CAN</v>
      </c>
      <c r="C66" s="31" t="str">
        <f t="shared" si="11"/>
        <v>NCG</v>
      </c>
      <c r="D66" s="39" t="str">
        <f t="shared" si="5"/>
        <v>can</v>
      </c>
      <c r="E66" s="47">
        <f t="shared" si="6"/>
        <v>13000</v>
      </c>
      <c r="F66" s="48">
        <f t="shared" si="7"/>
        <v>95</v>
      </c>
      <c r="G66" s="48">
        <f t="shared" si="8"/>
        <v>127</v>
      </c>
      <c r="H66" s="48">
        <f t="shared" si="9"/>
        <v>32</v>
      </c>
      <c r="I66" s="40">
        <f t="shared" si="10"/>
        <v>416000</v>
      </c>
      <c r="J66" s="31" t="str">
        <f t="shared" si="12"/>
        <v>Kenaikan IU</v>
      </c>
      <c r="K66" s="42" t="s">
        <v>991</v>
      </c>
      <c r="O66" s="3">
        <v>17</v>
      </c>
      <c r="P66" t="s">
        <v>104</v>
      </c>
      <c r="Q66" t="s">
        <v>105</v>
      </c>
      <c r="R66" t="s">
        <v>67</v>
      </c>
      <c r="S66" s="10">
        <v>1</v>
      </c>
      <c r="T66" t="s">
        <v>5</v>
      </c>
      <c r="U66" s="10">
        <v>6232.0667000000003</v>
      </c>
      <c r="V66" s="4">
        <v>6232.0667000000003</v>
      </c>
      <c r="X66" s="3" t="s">
        <v>156</v>
      </c>
      <c r="Y66" t="s">
        <v>157</v>
      </c>
      <c r="Z66" t="s">
        <v>151</v>
      </c>
      <c r="AA66" s="10">
        <v>2</v>
      </c>
      <c r="AB66" t="s">
        <v>20</v>
      </c>
      <c r="AC66" s="10">
        <v>2042.27</v>
      </c>
      <c r="AD66" s="4">
        <v>4084.54</v>
      </c>
      <c r="AG66" s="20">
        <v>16</v>
      </c>
      <c r="AH66" s="18" t="s">
        <v>246</v>
      </c>
      <c r="AI66" s="18" t="s">
        <v>247</v>
      </c>
      <c r="AJ66" s="18" t="s">
        <v>67</v>
      </c>
      <c r="AK66" s="21">
        <v>4</v>
      </c>
      <c r="AL66" s="18" t="s">
        <v>5</v>
      </c>
      <c r="AM66" s="21">
        <v>1451.4492</v>
      </c>
      <c r="AN66" s="19">
        <v>5805.7968000000001</v>
      </c>
      <c r="AP66" s="20" t="s">
        <v>135</v>
      </c>
      <c r="AQ66" s="18" t="s">
        <v>136</v>
      </c>
      <c r="AR66" s="18" t="s">
        <v>123</v>
      </c>
      <c r="AS66" s="21">
        <v>32</v>
      </c>
      <c r="AT66" s="18" t="s">
        <v>5</v>
      </c>
      <c r="AU66" s="21">
        <v>5710.8161</v>
      </c>
      <c r="AV66" s="19">
        <v>182746.1152</v>
      </c>
      <c r="AX66" s="20" t="s">
        <v>135</v>
      </c>
      <c r="AY66" s="18" t="s">
        <v>136</v>
      </c>
      <c r="AZ66" s="18" t="s">
        <v>123</v>
      </c>
      <c r="BA66" s="21">
        <v>32</v>
      </c>
      <c r="BB66" s="18" t="s">
        <v>5</v>
      </c>
      <c r="BC66" s="21">
        <v>5710.8161</v>
      </c>
      <c r="BD66" s="19">
        <v>182746.1152</v>
      </c>
    </row>
    <row r="67" spans="1:56" x14ac:dyDescent="0.35">
      <c r="A67" s="38" t="str">
        <v>NCGK0008</v>
      </c>
      <c r="B67" s="31" t="str">
        <f t="shared" si="4"/>
        <v>PLASTIK PE 1/4 KG 10x20</v>
      </c>
      <c r="C67" s="31" t="str">
        <f t="shared" si="11"/>
        <v>NCG</v>
      </c>
      <c r="D67" s="39" t="str">
        <f t="shared" si="5"/>
        <v>pack</v>
      </c>
      <c r="E67" s="47">
        <f t="shared" si="6"/>
        <v>5710.82</v>
      </c>
      <c r="F67" s="48">
        <f t="shared" si="7"/>
        <v>15</v>
      </c>
      <c r="G67" s="48">
        <f t="shared" si="8"/>
        <v>32</v>
      </c>
      <c r="H67" s="48">
        <f t="shared" si="9"/>
        <v>17</v>
      </c>
      <c r="I67" s="40">
        <f t="shared" si="10"/>
        <v>97083.94</v>
      </c>
      <c r="J67" s="31" t="str">
        <f t="shared" si="12"/>
        <v>Kenaikan IU</v>
      </c>
      <c r="K67" s="42" t="s">
        <v>992</v>
      </c>
      <c r="O67" s="3">
        <v>18</v>
      </c>
      <c r="P67" t="s">
        <v>107</v>
      </c>
      <c r="Q67" t="s">
        <v>108</v>
      </c>
      <c r="R67" t="s">
        <v>67</v>
      </c>
      <c r="S67" s="10">
        <v>2</v>
      </c>
      <c r="T67" t="s">
        <v>5</v>
      </c>
      <c r="U67" s="10">
        <v>16237.422100000002</v>
      </c>
      <c r="V67" s="4">
        <v>32474.8442</v>
      </c>
      <c r="X67" s="3" t="s">
        <v>158</v>
      </c>
      <c r="Y67" t="s">
        <v>159</v>
      </c>
      <c r="Z67" t="s">
        <v>151</v>
      </c>
      <c r="AA67" s="10">
        <v>2</v>
      </c>
      <c r="AB67" t="s">
        <v>160</v>
      </c>
      <c r="AC67" s="10">
        <v>11281.2646</v>
      </c>
      <c r="AD67" s="4">
        <v>22562.529200000001</v>
      </c>
      <c r="AG67" s="20">
        <v>17</v>
      </c>
      <c r="AH67" s="18" t="s">
        <v>248</v>
      </c>
      <c r="AI67" s="18" t="s">
        <v>249</v>
      </c>
      <c r="AJ67" s="18" t="s">
        <v>67</v>
      </c>
      <c r="AK67" s="21">
        <v>1</v>
      </c>
      <c r="AL67" s="18" t="s">
        <v>98</v>
      </c>
      <c r="AM67" s="21">
        <v>5000</v>
      </c>
      <c r="AN67" s="19">
        <v>5000</v>
      </c>
      <c r="AP67" s="20" t="s">
        <v>137</v>
      </c>
      <c r="AQ67" s="18" t="s">
        <v>138</v>
      </c>
      <c r="AR67" s="18" t="s">
        <v>123</v>
      </c>
      <c r="AS67" s="21">
        <v>26</v>
      </c>
      <c r="AT67" s="18" t="s">
        <v>5</v>
      </c>
      <c r="AU67" s="21">
        <v>16096.584699999999</v>
      </c>
      <c r="AV67" s="19">
        <v>418511.2022</v>
      </c>
      <c r="AX67" s="20" t="s">
        <v>137</v>
      </c>
      <c r="AY67" s="18" t="s">
        <v>138</v>
      </c>
      <c r="AZ67" s="18" t="s">
        <v>123</v>
      </c>
      <c r="BA67" s="21">
        <v>26</v>
      </c>
      <c r="BB67" s="18" t="s">
        <v>5</v>
      </c>
      <c r="BC67" s="21">
        <v>16096.584699999999</v>
      </c>
      <c r="BD67" s="19">
        <v>418511.2022</v>
      </c>
    </row>
    <row r="68" spans="1:56" x14ac:dyDescent="0.35">
      <c r="A68" s="38" t="str">
        <v>NCGK0009</v>
      </c>
      <c r="B68" s="31" t="str">
        <f t="shared" si="4"/>
        <v>PLASTIK PE 10 KG 40 x 60</v>
      </c>
      <c r="C68" s="31" t="str">
        <f t="shared" si="11"/>
        <v>NCG</v>
      </c>
      <c r="D68" s="39" t="str">
        <f t="shared" si="5"/>
        <v>pack</v>
      </c>
      <c r="E68" s="47">
        <f t="shared" si="6"/>
        <v>16096.58</v>
      </c>
      <c r="F68" s="48">
        <f t="shared" si="7"/>
        <v>19</v>
      </c>
      <c r="G68" s="48">
        <f t="shared" si="8"/>
        <v>26</v>
      </c>
      <c r="H68" s="48">
        <f t="shared" si="9"/>
        <v>7</v>
      </c>
      <c r="I68" s="40">
        <f t="shared" si="10"/>
        <v>112676.06</v>
      </c>
      <c r="J68" s="31" t="str">
        <f t="shared" si="12"/>
        <v>Kenaikan IU</v>
      </c>
      <c r="K68" s="42" t="s">
        <v>993</v>
      </c>
      <c r="O68" s="3">
        <v>19</v>
      </c>
      <c r="P68" t="s">
        <v>110</v>
      </c>
      <c r="Q68" t="s">
        <v>111</v>
      </c>
      <c r="R68" t="s">
        <v>67</v>
      </c>
      <c r="S68" s="10">
        <v>1</v>
      </c>
      <c r="T68" t="s">
        <v>94</v>
      </c>
      <c r="U68" s="10">
        <v>8474.10664</v>
      </c>
      <c r="V68" s="4">
        <v>8474.10664</v>
      </c>
      <c r="X68" s="3" t="s">
        <v>161</v>
      </c>
      <c r="Y68" t="s">
        <v>162</v>
      </c>
      <c r="Z68" t="s">
        <v>151</v>
      </c>
      <c r="AA68">
        <v>1.6</v>
      </c>
      <c r="AB68" t="s">
        <v>5</v>
      </c>
      <c r="AC68">
        <v>3776.1725000000001</v>
      </c>
      <c r="AD68" s="4">
        <v>6041.8760000000002</v>
      </c>
      <c r="AG68" s="20">
        <v>18</v>
      </c>
      <c r="AH68" s="18" t="s">
        <v>250</v>
      </c>
      <c r="AI68" s="18" t="s">
        <v>251</v>
      </c>
      <c r="AJ68" s="18" t="s">
        <v>67</v>
      </c>
      <c r="AK68" s="21">
        <v>1</v>
      </c>
      <c r="AL68" s="18" t="s">
        <v>20</v>
      </c>
      <c r="AM68" s="21">
        <v>5500</v>
      </c>
      <c r="AN68" s="19">
        <v>5500</v>
      </c>
      <c r="AP68" s="20" t="s">
        <v>139</v>
      </c>
      <c r="AQ68" s="18" t="s">
        <v>140</v>
      </c>
      <c r="AR68" s="18" t="s">
        <v>123</v>
      </c>
      <c r="AS68" s="21">
        <v>25.8</v>
      </c>
      <c r="AT68" s="18" t="s">
        <v>5</v>
      </c>
      <c r="AU68" s="21">
        <v>43192.491900000001</v>
      </c>
      <c r="AV68" s="19">
        <v>1114366.2910199999</v>
      </c>
      <c r="AX68" s="20" t="s">
        <v>139</v>
      </c>
      <c r="AY68" s="18" t="s">
        <v>140</v>
      </c>
      <c r="AZ68" s="18" t="s">
        <v>123</v>
      </c>
      <c r="BA68" s="21">
        <v>25.8</v>
      </c>
      <c r="BB68" s="18" t="s">
        <v>5</v>
      </c>
      <c r="BC68" s="21">
        <v>43192.491900000001</v>
      </c>
      <c r="BD68" s="19">
        <v>1114366.2910199999</v>
      </c>
    </row>
    <row r="69" spans="1:56" ht="15" thickBot="1" x14ac:dyDescent="0.4">
      <c r="A69" s="38" t="str">
        <v>NCGK0011</v>
      </c>
      <c r="B69" s="31" t="str">
        <f t="shared" si="4"/>
        <v>HAND GLOVES NITRILE SIZE M</v>
      </c>
      <c r="C69" s="31" t="str">
        <f t="shared" si="11"/>
        <v>NCG</v>
      </c>
      <c r="D69" s="39" t="str">
        <f t="shared" si="5"/>
        <v>pack</v>
      </c>
      <c r="E69" s="47">
        <f t="shared" si="6"/>
        <v>43192.49</v>
      </c>
      <c r="F69" s="48">
        <f t="shared" si="7"/>
        <v>15</v>
      </c>
      <c r="G69" s="48">
        <f t="shared" si="8"/>
        <v>25.8</v>
      </c>
      <c r="H69" s="48">
        <f t="shared" si="9"/>
        <v>10.8</v>
      </c>
      <c r="I69" s="40">
        <f t="shared" si="10"/>
        <v>466478.89199999999</v>
      </c>
      <c r="J69" s="31" t="str">
        <f t="shared" si="12"/>
        <v>Kenaikan IU</v>
      </c>
      <c r="K69" s="42" t="s">
        <v>994</v>
      </c>
      <c r="O69" s="11">
        <v>20</v>
      </c>
      <c r="P69" s="12" t="s">
        <v>113</v>
      </c>
      <c r="Q69" s="12" t="s">
        <v>114</v>
      </c>
      <c r="R69" s="12" t="s">
        <v>67</v>
      </c>
      <c r="S69" s="12">
        <v>200</v>
      </c>
      <c r="T69" s="12" t="s">
        <v>20</v>
      </c>
      <c r="U69" s="12">
        <v>143</v>
      </c>
      <c r="V69" s="13">
        <v>28600</v>
      </c>
      <c r="X69" s="3" t="s">
        <v>163</v>
      </c>
      <c r="Y69" t="s">
        <v>164</v>
      </c>
      <c r="Z69" t="s">
        <v>165</v>
      </c>
      <c r="AA69" s="10">
        <v>1</v>
      </c>
      <c r="AB69" t="s">
        <v>20</v>
      </c>
      <c r="AC69" s="10">
        <v>23194.6</v>
      </c>
      <c r="AD69" s="4">
        <v>23194.6</v>
      </c>
      <c r="AG69" s="20">
        <v>19</v>
      </c>
      <c r="AH69" s="18" t="s">
        <v>88</v>
      </c>
      <c r="AI69" s="18" t="s">
        <v>89</v>
      </c>
      <c r="AJ69" s="18" t="s">
        <v>67</v>
      </c>
      <c r="AK69" s="21">
        <v>0.2</v>
      </c>
      <c r="AL69" s="18" t="s">
        <v>5</v>
      </c>
      <c r="AM69" s="21">
        <v>1750</v>
      </c>
      <c r="AN69" s="19">
        <v>350</v>
      </c>
      <c r="AP69" s="20" t="s">
        <v>141</v>
      </c>
      <c r="AQ69" s="18" t="s">
        <v>142</v>
      </c>
      <c r="AR69" s="18" t="s">
        <v>123</v>
      </c>
      <c r="AS69" s="21">
        <v>4</v>
      </c>
      <c r="AT69" s="18" t="s">
        <v>5</v>
      </c>
      <c r="AU69" s="21">
        <v>42527.913200000003</v>
      </c>
      <c r="AV69" s="19">
        <v>170111.65280000001</v>
      </c>
      <c r="AX69" s="20" t="s">
        <v>141</v>
      </c>
      <c r="AY69" s="18" t="s">
        <v>142</v>
      </c>
      <c r="AZ69" s="18" t="s">
        <v>123</v>
      </c>
      <c r="BA69" s="21">
        <v>4</v>
      </c>
      <c r="BB69" s="18" t="s">
        <v>5</v>
      </c>
      <c r="BC69" s="21">
        <v>42527.913200000003</v>
      </c>
      <c r="BD69" s="19">
        <v>170111.65280000001</v>
      </c>
    </row>
    <row r="70" spans="1:56" ht="15.5" thickTop="1" thickBot="1" x14ac:dyDescent="0.4">
      <c r="A70" s="38" t="str">
        <v>NCGK0012</v>
      </c>
      <c r="B70" s="31" t="str">
        <f t="shared" si="4"/>
        <v>HAND GLOVES NITRILE SIZE L</v>
      </c>
      <c r="C70" s="31" t="str">
        <f t="shared" si="11"/>
        <v>NCG</v>
      </c>
      <c r="D70" s="39" t="str">
        <f t="shared" si="5"/>
        <v>pack</v>
      </c>
      <c r="E70" s="47">
        <f t="shared" si="6"/>
        <v>42527.91</v>
      </c>
      <c r="F70" s="48">
        <f t="shared" si="7"/>
        <v>9</v>
      </c>
      <c r="G70" s="48">
        <f t="shared" si="8"/>
        <v>4</v>
      </c>
      <c r="H70" s="48">
        <f t="shared" si="9"/>
        <v>-5</v>
      </c>
      <c r="I70" s="40">
        <f t="shared" si="10"/>
        <v>-212639.55000000002</v>
      </c>
      <c r="J70" s="31" t="str">
        <f t="shared" si="12"/>
        <v>Penurunan IU</v>
      </c>
      <c r="K70" s="42" t="s">
        <v>995</v>
      </c>
      <c r="X70" s="3" t="s">
        <v>166</v>
      </c>
      <c r="Y70" t="s">
        <v>167</v>
      </c>
      <c r="Z70" t="s">
        <v>165</v>
      </c>
      <c r="AA70" s="10">
        <v>1</v>
      </c>
      <c r="AB70" t="s">
        <v>20</v>
      </c>
      <c r="AC70" s="10">
        <v>24650</v>
      </c>
      <c r="AD70" s="4">
        <v>24650</v>
      </c>
      <c r="AG70" s="20">
        <v>20</v>
      </c>
      <c r="AH70" s="18" t="s">
        <v>90</v>
      </c>
      <c r="AI70" s="18" t="s">
        <v>91</v>
      </c>
      <c r="AJ70" s="18" t="s">
        <v>67</v>
      </c>
      <c r="AK70" s="21">
        <v>3</v>
      </c>
      <c r="AL70" s="18" t="s">
        <v>5</v>
      </c>
      <c r="AM70" s="21">
        <v>5617.5780999999997</v>
      </c>
      <c r="AN70" s="19">
        <v>16852.7343</v>
      </c>
      <c r="AP70" s="20" t="s">
        <v>145</v>
      </c>
      <c r="AQ70" s="18" t="s">
        <v>146</v>
      </c>
      <c r="AR70" s="18" t="s">
        <v>123</v>
      </c>
      <c r="AS70" s="21">
        <v>81</v>
      </c>
      <c r="AT70" s="18" t="s">
        <v>5</v>
      </c>
      <c r="AU70" s="21">
        <v>4604.1441999999997</v>
      </c>
      <c r="AV70" s="19">
        <v>372935.6802</v>
      </c>
      <c r="AX70" s="20" t="s">
        <v>145</v>
      </c>
      <c r="AY70" s="18" t="s">
        <v>146</v>
      </c>
      <c r="AZ70" s="18" t="s">
        <v>123</v>
      </c>
      <c r="BA70" s="21">
        <v>81</v>
      </c>
      <c r="BB70" s="18" t="s">
        <v>5</v>
      </c>
      <c r="BC70" s="21">
        <v>4604.1441999999997</v>
      </c>
      <c r="BD70" s="19">
        <v>372935.6802</v>
      </c>
    </row>
    <row r="71" spans="1:56" ht="15" thickTop="1" x14ac:dyDescent="0.35">
      <c r="A71" s="38" t="str">
        <v>NCGS0001</v>
      </c>
      <c r="B71" s="31" t="str">
        <f t="shared" si="4"/>
        <v>TISSUE COCKTAIL NAPKIN 11x11 (48 PACK)</v>
      </c>
      <c r="C71" s="31" t="str">
        <f t="shared" si="11"/>
        <v>NCG</v>
      </c>
      <c r="D71" s="39" t="str">
        <f t="shared" si="5"/>
        <v>pack</v>
      </c>
      <c r="E71" s="47">
        <f t="shared" si="6"/>
        <v>4604.1400000000003</v>
      </c>
      <c r="F71" s="48">
        <f t="shared" si="7"/>
        <v>56</v>
      </c>
      <c r="G71" s="48">
        <f t="shared" si="8"/>
        <v>81</v>
      </c>
      <c r="H71" s="48">
        <f t="shared" si="9"/>
        <v>25</v>
      </c>
      <c r="I71" s="40">
        <f t="shared" si="10"/>
        <v>115103.50000000001</v>
      </c>
      <c r="J71" s="31" t="str">
        <f t="shared" si="12"/>
        <v>Kenaikan IU</v>
      </c>
      <c r="K71" s="42" t="s">
        <v>996</v>
      </c>
      <c r="O71" s="88" t="s">
        <v>0</v>
      </c>
      <c r="P71" s="89"/>
      <c r="Q71" s="89"/>
      <c r="R71" s="89"/>
      <c r="S71" s="89"/>
      <c r="T71" s="1"/>
      <c r="U71" s="1"/>
      <c r="V71" s="2"/>
      <c r="X71" s="3" t="s">
        <v>168</v>
      </c>
      <c r="Y71" t="s">
        <v>169</v>
      </c>
      <c r="Z71" t="s">
        <v>165</v>
      </c>
      <c r="AA71" s="10">
        <v>7</v>
      </c>
      <c r="AB71" t="s">
        <v>20</v>
      </c>
      <c r="AC71" s="10">
        <v>41934.239000000001</v>
      </c>
      <c r="AD71" s="4">
        <v>293539.67300000001</v>
      </c>
      <c r="AG71" s="20">
        <v>21</v>
      </c>
      <c r="AH71" s="18" t="s">
        <v>252</v>
      </c>
      <c r="AI71" s="18" t="s">
        <v>253</v>
      </c>
      <c r="AJ71" s="18" t="s">
        <v>67</v>
      </c>
      <c r="AK71" s="21">
        <v>2</v>
      </c>
      <c r="AL71" s="18" t="s">
        <v>5</v>
      </c>
      <c r="AM71" s="21">
        <v>5000</v>
      </c>
      <c r="AN71" s="19">
        <v>10000</v>
      </c>
      <c r="AP71" s="20" t="s">
        <v>147</v>
      </c>
      <c r="AQ71" s="18" t="s">
        <v>148</v>
      </c>
      <c r="AR71" s="18" t="s">
        <v>123</v>
      </c>
      <c r="AS71" s="21">
        <v>1.5</v>
      </c>
      <c r="AT71" s="18" t="s">
        <v>5</v>
      </c>
      <c r="AU71" s="21">
        <v>14879.074100000002</v>
      </c>
      <c r="AV71" s="19">
        <v>22318.611150000001</v>
      </c>
      <c r="AX71" s="20" t="s">
        <v>147</v>
      </c>
      <c r="AY71" s="18" t="s">
        <v>148</v>
      </c>
      <c r="AZ71" s="18" t="s">
        <v>123</v>
      </c>
      <c r="BA71" s="21">
        <v>1.5</v>
      </c>
      <c r="BB71" s="18" t="s">
        <v>5</v>
      </c>
      <c r="BC71" s="21">
        <v>14879.074100000002</v>
      </c>
      <c r="BD71" s="19">
        <v>22318.611150000001</v>
      </c>
    </row>
    <row r="72" spans="1:56" x14ac:dyDescent="0.35">
      <c r="A72" s="38" t="str">
        <v>NCGS0002</v>
      </c>
      <c r="B72" s="31" t="str">
        <f t="shared" si="4"/>
        <v>TUSUK GIGI ION @ 500 PCS</v>
      </c>
      <c r="C72" s="31" t="str">
        <f t="shared" si="11"/>
        <v>NCG</v>
      </c>
      <c r="D72" s="39" t="str">
        <f t="shared" si="5"/>
        <v>pack</v>
      </c>
      <c r="E72" s="47">
        <f t="shared" si="6"/>
        <v>14879.07</v>
      </c>
      <c r="F72" s="48">
        <f t="shared" si="7"/>
        <v>0.5</v>
      </c>
      <c r="G72" s="48">
        <f t="shared" si="8"/>
        <v>1.5</v>
      </c>
      <c r="H72" s="48">
        <f t="shared" si="9"/>
        <v>1</v>
      </c>
      <c r="I72" s="40">
        <f t="shared" si="10"/>
        <v>14879.07</v>
      </c>
      <c r="J72" s="31" t="str">
        <f t="shared" si="12"/>
        <v>Kenaikan IU</v>
      </c>
      <c r="K72" s="42" t="s">
        <v>997</v>
      </c>
      <c r="O72" s="86" t="s">
        <v>1</v>
      </c>
      <c r="P72" s="87"/>
      <c r="Q72" s="87"/>
      <c r="R72" s="87"/>
      <c r="S72" s="87"/>
      <c r="V72" s="4"/>
      <c r="X72" s="3" t="s">
        <v>170</v>
      </c>
      <c r="Y72" t="s">
        <v>171</v>
      </c>
      <c r="Z72" t="s">
        <v>165</v>
      </c>
      <c r="AA72" s="10">
        <v>1</v>
      </c>
      <c r="AB72" t="s">
        <v>20</v>
      </c>
      <c r="AC72" s="10">
        <v>16850</v>
      </c>
      <c r="AD72" s="4">
        <v>16850</v>
      </c>
      <c r="AG72" s="20">
        <v>22</v>
      </c>
      <c r="AH72" s="18" t="s">
        <v>92</v>
      </c>
      <c r="AI72" s="18" t="s">
        <v>93</v>
      </c>
      <c r="AJ72" s="18" t="s">
        <v>67</v>
      </c>
      <c r="AK72" s="21">
        <v>43</v>
      </c>
      <c r="AL72" s="18" t="s">
        <v>94</v>
      </c>
      <c r="AM72" s="21">
        <v>11800.327499999999</v>
      </c>
      <c r="AN72" s="19">
        <v>507414.08250000002</v>
      </c>
      <c r="AP72" s="20" t="s">
        <v>265</v>
      </c>
      <c r="AQ72" s="18" t="s">
        <v>266</v>
      </c>
      <c r="AR72" s="18" t="s">
        <v>151</v>
      </c>
      <c r="AS72" s="21">
        <v>1</v>
      </c>
      <c r="AT72" s="18" t="s">
        <v>267</v>
      </c>
      <c r="AU72" s="21">
        <v>25293.35</v>
      </c>
      <c r="AV72" s="19">
        <v>25293.35</v>
      </c>
      <c r="AX72" s="20" t="s">
        <v>265</v>
      </c>
      <c r="AY72" s="18" t="s">
        <v>266</v>
      </c>
      <c r="AZ72" s="18" t="s">
        <v>151</v>
      </c>
      <c r="BA72" s="21">
        <v>1</v>
      </c>
      <c r="BB72" s="18" t="s">
        <v>267</v>
      </c>
      <c r="BC72" s="21">
        <v>25293.35</v>
      </c>
      <c r="BD72" s="19">
        <v>25293.35</v>
      </c>
    </row>
    <row r="73" spans="1:56" x14ac:dyDescent="0.35">
      <c r="A73" s="38" t="str">
        <v>OTH00023</v>
      </c>
      <c r="B73" s="31" t="str">
        <f t="shared" si="4"/>
        <v>TANK HOLEDER/DUDUKAN TABUNG GAS HI-COOKED</v>
      </c>
      <c r="C73" s="31" t="str">
        <f t="shared" si="11"/>
        <v>OTHERS</v>
      </c>
      <c r="D73" s="39" t="str">
        <f t="shared" si="5"/>
        <v>unit</v>
      </c>
      <c r="E73" s="47">
        <f t="shared" si="6"/>
        <v>25293.35</v>
      </c>
      <c r="F73" s="48" t="str">
        <f t="shared" si="7"/>
        <v>0</v>
      </c>
      <c r="G73" s="48">
        <f t="shared" si="8"/>
        <v>1</v>
      </c>
      <c r="H73" s="48">
        <f t="shared" si="9"/>
        <v>1</v>
      </c>
      <c r="I73" s="40">
        <f t="shared" si="10"/>
        <v>25293.35</v>
      </c>
      <c r="J73" s="31" t="str">
        <f t="shared" si="12"/>
        <v>Kenaikan IU</v>
      </c>
      <c r="K73" s="42" t="s">
        <v>998</v>
      </c>
      <c r="O73" s="3"/>
      <c r="Q73" s="9" t="s">
        <v>172</v>
      </c>
      <c r="V73" s="4"/>
      <c r="X73" s="3" t="s">
        <v>173</v>
      </c>
      <c r="Y73" t="s">
        <v>174</v>
      </c>
      <c r="Z73" t="s">
        <v>165</v>
      </c>
      <c r="AA73" s="10">
        <v>5</v>
      </c>
      <c r="AB73" t="s">
        <v>20</v>
      </c>
      <c r="AC73" s="10">
        <v>18772.62380895</v>
      </c>
      <c r="AD73" s="4">
        <v>93863.119044999999</v>
      </c>
      <c r="AG73" s="20">
        <v>23</v>
      </c>
      <c r="AH73" s="18" t="s">
        <v>100</v>
      </c>
      <c r="AI73" s="18" t="s">
        <v>101</v>
      </c>
      <c r="AJ73" s="18" t="s">
        <v>67</v>
      </c>
      <c r="AK73" s="21">
        <v>0.8</v>
      </c>
      <c r="AL73" s="18" t="s">
        <v>87</v>
      </c>
      <c r="AM73" s="21">
        <v>4650</v>
      </c>
      <c r="AN73" s="19">
        <v>3720</v>
      </c>
      <c r="AP73" s="20" t="s">
        <v>268</v>
      </c>
      <c r="AQ73" s="18" t="s">
        <v>269</v>
      </c>
      <c r="AR73" s="18" t="s">
        <v>151</v>
      </c>
      <c r="AS73" s="21">
        <v>1</v>
      </c>
      <c r="AT73" s="18" t="s">
        <v>87</v>
      </c>
      <c r="AU73" s="21">
        <v>5500</v>
      </c>
      <c r="AV73" s="19">
        <v>5500</v>
      </c>
      <c r="AX73" s="20" t="s">
        <v>268</v>
      </c>
      <c r="AY73" s="18" t="s">
        <v>269</v>
      </c>
      <c r="AZ73" s="18" t="s">
        <v>151</v>
      </c>
      <c r="BA73" s="21">
        <v>1</v>
      </c>
      <c r="BB73" s="18" t="s">
        <v>87</v>
      </c>
      <c r="BC73" s="21">
        <v>5500</v>
      </c>
      <c r="BD73" s="19">
        <v>5500</v>
      </c>
    </row>
    <row r="74" spans="1:56" x14ac:dyDescent="0.35">
      <c r="A74" s="38" t="str">
        <v>OTH00060</v>
      </c>
      <c r="B74" s="31" t="str">
        <f t="shared" si="4"/>
        <v>BODREX</v>
      </c>
      <c r="C74" s="31" t="str">
        <f t="shared" si="11"/>
        <v>OTHERS</v>
      </c>
      <c r="D74" s="39" t="str">
        <f t="shared" si="5"/>
        <v>str</v>
      </c>
      <c r="E74" s="47">
        <f t="shared" si="6"/>
        <v>5500</v>
      </c>
      <c r="F74" s="48" t="str">
        <f t="shared" si="7"/>
        <v>0</v>
      </c>
      <c r="G74" s="48">
        <f t="shared" si="8"/>
        <v>1</v>
      </c>
      <c r="H74" s="48">
        <f t="shared" si="9"/>
        <v>1</v>
      </c>
      <c r="I74" s="40">
        <f t="shared" si="10"/>
        <v>5500</v>
      </c>
      <c r="J74" s="31" t="str">
        <f t="shared" si="12"/>
        <v>Kenaikan IU</v>
      </c>
      <c r="K74" s="42" t="s">
        <v>999</v>
      </c>
      <c r="O74" s="86" t="s">
        <v>10</v>
      </c>
      <c r="P74" s="87" t="s">
        <v>11</v>
      </c>
      <c r="Q74" t="s">
        <v>175</v>
      </c>
      <c r="V74" s="4"/>
      <c r="X74" s="3" t="s">
        <v>176</v>
      </c>
      <c r="Y74" t="s">
        <v>177</v>
      </c>
      <c r="Z74" t="s">
        <v>165</v>
      </c>
      <c r="AA74" s="10">
        <v>2</v>
      </c>
      <c r="AB74" t="s">
        <v>20</v>
      </c>
      <c r="AC74" s="10">
        <v>10743.434527270705</v>
      </c>
      <c r="AD74" s="4">
        <v>21486.869054999999</v>
      </c>
      <c r="AG74" s="20">
        <v>24</v>
      </c>
      <c r="AH74" s="18" t="s">
        <v>102</v>
      </c>
      <c r="AI74" s="18" t="s">
        <v>103</v>
      </c>
      <c r="AJ74" s="18" t="s">
        <v>67</v>
      </c>
      <c r="AK74" s="21">
        <v>0.1</v>
      </c>
      <c r="AL74" s="18" t="s">
        <v>87</v>
      </c>
      <c r="AM74" s="21">
        <v>8000</v>
      </c>
      <c r="AN74" s="19">
        <v>800</v>
      </c>
      <c r="AP74" s="20" t="s">
        <v>154</v>
      </c>
      <c r="AQ74" s="18" t="s">
        <v>155</v>
      </c>
      <c r="AR74" s="18" t="s">
        <v>151</v>
      </c>
      <c r="AS74" s="21">
        <v>36</v>
      </c>
      <c r="AT74" s="18" t="s">
        <v>20</v>
      </c>
      <c r="AU74" s="21">
        <v>986.10040000000004</v>
      </c>
      <c r="AV74" s="19">
        <v>35499.614399999999</v>
      </c>
      <c r="AX74" s="20" t="s">
        <v>154</v>
      </c>
      <c r="AY74" s="18" t="s">
        <v>155</v>
      </c>
      <c r="AZ74" s="18" t="s">
        <v>151</v>
      </c>
      <c r="BA74" s="21">
        <v>36</v>
      </c>
      <c r="BB74" s="18" t="s">
        <v>20</v>
      </c>
      <c r="BC74" s="21">
        <v>986.10040000000004</v>
      </c>
      <c r="BD74" s="19">
        <v>35499.614399999999</v>
      </c>
    </row>
    <row r="75" spans="1:56" x14ac:dyDescent="0.35">
      <c r="A75" s="38" t="str">
        <v>OTH00064</v>
      </c>
      <c r="B75" s="31" t="str">
        <f t="shared" si="4"/>
        <v>LILIN MEJA / TEALIGHT</v>
      </c>
      <c r="C75" s="31" t="str">
        <f t="shared" si="11"/>
        <v>OTHERS</v>
      </c>
      <c r="D75" s="39" t="str">
        <f t="shared" si="5"/>
        <v>pcs</v>
      </c>
      <c r="E75" s="47">
        <f t="shared" si="6"/>
        <v>986.1</v>
      </c>
      <c r="F75" s="48">
        <f t="shared" si="7"/>
        <v>49</v>
      </c>
      <c r="G75" s="48">
        <f t="shared" si="8"/>
        <v>36</v>
      </c>
      <c r="H75" s="48">
        <f t="shared" si="9"/>
        <v>-13</v>
      </c>
      <c r="I75" s="40">
        <f t="shared" si="10"/>
        <v>-12819.300000000001</v>
      </c>
      <c r="J75" s="31" t="str">
        <f t="shared" si="12"/>
        <v>Penurunan IU</v>
      </c>
      <c r="K75" s="42" t="s">
        <v>1000</v>
      </c>
      <c r="O75" s="86" t="s">
        <v>16</v>
      </c>
      <c r="P75" s="87" t="s">
        <v>11</v>
      </c>
      <c r="Q75" t="s">
        <v>17</v>
      </c>
      <c r="V75" s="4"/>
      <c r="X75" s="3" t="s">
        <v>178</v>
      </c>
      <c r="Y75" t="s">
        <v>179</v>
      </c>
      <c r="Z75" t="s">
        <v>165</v>
      </c>
      <c r="AA75" s="10">
        <v>2</v>
      </c>
      <c r="AB75" t="s">
        <v>20</v>
      </c>
      <c r="AC75" s="10">
        <v>9945</v>
      </c>
      <c r="AD75" s="4">
        <v>19890</v>
      </c>
      <c r="AG75" s="20">
        <v>25</v>
      </c>
      <c r="AH75" s="18" t="s">
        <v>254</v>
      </c>
      <c r="AI75" s="18" t="s">
        <v>255</v>
      </c>
      <c r="AJ75" s="18" t="s">
        <v>67</v>
      </c>
      <c r="AK75" s="21">
        <v>3</v>
      </c>
      <c r="AL75" s="18" t="s">
        <v>5</v>
      </c>
      <c r="AM75" s="21">
        <v>30950.2222</v>
      </c>
      <c r="AN75" s="19">
        <v>92850.666599999997</v>
      </c>
      <c r="AP75" s="20" t="s">
        <v>270</v>
      </c>
      <c r="AQ75" s="18" t="s">
        <v>271</v>
      </c>
      <c r="AR75" s="18" t="s">
        <v>151</v>
      </c>
      <c r="AS75" s="21">
        <v>4</v>
      </c>
      <c r="AT75" s="18" t="s">
        <v>20</v>
      </c>
      <c r="AU75" s="21">
        <v>36300</v>
      </c>
      <c r="AV75" s="19">
        <v>145200</v>
      </c>
      <c r="AX75" s="20" t="s">
        <v>270</v>
      </c>
      <c r="AY75" s="18" t="s">
        <v>271</v>
      </c>
      <c r="AZ75" s="18" t="s">
        <v>151</v>
      </c>
      <c r="BA75" s="21">
        <v>4</v>
      </c>
      <c r="BB75" s="18" t="s">
        <v>20</v>
      </c>
      <c r="BC75" s="21">
        <v>36300</v>
      </c>
      <c r="BD75" s="19">
        <v>145200</v>
      </c>
    </row>
    <row r="76" spans="1:56" x14ac:dyDescent="0.35">
      <c r="A76" s="38" t="str">
        <v>OTH00071</v>
      </c>
      <c r="B76" s="31" t="str">
        <f t="shared" si="4"/>
        <v>BOX STYROFOAM 75 X 42 X 33 CM</v>
      </c>
      <c r="C76" s="31" t="str">
        <f t="shared" si="11"/>
        <v>OTHERS</v>
      </c>
      <c r="D76" s="39" t="str">
        <f t="shared" si="5"/>
        <v>pcs</v>
      </c>
      <c r="E76" s="47">
        <f t="shared" si="6"/>
        <v>36300</v>
      </c>
      <c r="F76" s="48" t="str">
        <f t="shared" si="7"/>
        <v>0</v>
      </c>
      <c r="G76" s="48">
        <f t="shared" si="8"/>
        <v>4</v>
      </c>
      <c r="H76" s="48">
        <f t="shared" si="9"/>
        <v>4</v>
      </c>
      <c r="I76" s="40">
        <f t="shared" si="10"/>
        <v>145200</v>
      </c>
      <c r="J76" s="31" t="str">
        <f t="shared" si="12"/>
        <v>Kenaikan IU</v>
      </c>
      <c r="K76" s="42" t="s">
        <v>1001</v>
      </c>
      <c r="O76" s="86" t="s">
        <v>21</v>
      </c>
      <c r="P76" s="87" t="s">
        <v>11</v>
      </c>
      <c r="Q76" t="s">
        <v>22</v>
      </c>
      <c r="V76" s="4"/>
      <c r="X76" s="3" t="s">
        <v>180</v>
      </c>
      <c r="Y76" t="s">
        <v>181</v>
      </c>
      <c r="Z76" t="s">
        <v>182</v>
      </c>
      <c r="AA76" s="10">
        <v>71</v>
      </c>
      <c r="AB76" t="s">
        <v>20</v>
      </c>
      <c r="AC76" s="10">
        <v>11541.669999999998</v>
      </c>
      <c r="AD76" s="4">
        <v>819458.57</v>
      </c>
      <c r="AG76" s="20">
        <v>26</v>
      </c>
      <c r="AH76" s="18" t="s">
        <v>256</v>
      </c>
      <c r="AI76" s="18" t="s">
        <v>257</v>
      </c>
      <c r="AJ76" s="18" t="s">
        <v>67</v>
      </c>
      <c r="AK76" s="21">
        <v>1</v>
      </c>
      <c r="AL76" s="18" t="s">
        <v>20</v>
      </c>
      <c r="AM76" s="21">
        <v>3014.705882352941</v>
      </c>
      <c r="AN76" s="19">
        <v>3014.7058820000002</v>
      </c>
      <c r="AP76" s="20" t="s">
        <v>156</v>
      </c>
      <c r="AQ76" s="18" t="s">
        <v>157</v>
      </c>
      <c r="AR76" s="18" t="s">
        <v>151</v>
      </c>
      <c r="AS76" s="21">
        <v>8</v>
      </c>
      <c r="AT76" s="18" t="s">
        <v>20</v>
      </c>
      <c r="AU76" s="21">
        <v>2042.27</v>
      </c>
      <c r="AV76" s="19">
        <v>16338.16</v>
      </c>
      <c r="AX76" s="20" t="s">
        <v>156</v>
      </c>
      <c r="AY76" s="18" t="s">
        <v>157</v>
      </c>
      <c r="AZ76" s="18" t="s">
        <v>151</v>
      </c>
      <c r="BA76" s="21">
        <v>8</v>
      </c>
      <c r="BB76" s="18" t="s">
        <v>20</v>
      </c>
      <c r="BC76" s="21">
        <v>2042.27</v>
      </c>
      <c r="BD76" s="19">
        <v>16338.16</v>
      </c>
    </row>
    <row r="77" spans="1:56" x14ac:dyDescent="0.35">
      <c r="A77" s="38" t="str">
        <v>OTH00073</v>
      </c>
      <c r="B77" s="31" t="str">
        <f t="shared" si="4"/>
        <v>MASKER</v>
      </c>
      <c r="C77" s="31" t="str">
        <f t="shared" si="11"/>
        <v>OTHERS</v>
      </c>
      <c r="D77" s="39" t="str">
        <f t="shared" si="5"/>
        <v>pcs</v>
      </c>
      <c r="E77" s="47">
        <f t="shared" si="6"/>
        <v>2042.27</v>
      </c>
      <c r="F77" s="48">
        <f t="shared" si="7"/>
        <v>2</v>
      </c>
      <c r="G77" s="48">
        <f t="shared" si="8"/>
        <v>8</v>
      </c>
      <c r="H77" s="48">
        <f t="shared" si="9"/>
        <v>6</v>
      </c>
      <c r="I77" s="40">
        <f t="shared" si="10"/>
        <v>12253.619999999999</v>
      </c>
      <c r="J77" s="31" t="str">
        <f t="shared" si="12"/>
        <v>Kenaikan IU</v>
      </c>
      <c r="K77" s="42" t="s">
        <v>974</v>
      </c>
      <c r="O77" s="86" t="s">
        <v>26</v>
      </c>
      <c r="P77" s="87" t="s">
        <v>11</v>
      </c>
      <c r="Q77" t="s">
        <v>183</v>
      </c>
      <c r="V77" s="4"/>
      <c r="X77" s="3" t="s">
        <v>184</v>
      </c>
      <c r="Y77" t="s">
        <v>185</v>
      </c>
      <c r="Z77" t="s">
        <v>182</v>
      </c>
      <c r="AA77" s="10">
        <v>4</v>
      </c>
      <c r="AB77" t="s">
        <v>20</v>
      </c>
      <c r="AC77" s="10">
        <v>1570.2313999999999</v>
      </c>
      <c r="AD77" s="4">
        <v>6280.9255999999996</v>
      </c>
      <c r="AG77" s="20">
        <v>27</v>
      </c>
      <c r="AH77" s="18" t="s">
        <v>104</v>
      </c>
      <c r="AI77" s="18" t="s">
        <v>105</v>
      </c>
      <c r="AJ77" s="18" t="s">
        <v>67</v>
      </c>
      <c r="AK77" s="21">
        <v>5</v>
      </c>
      <c r="AL77" s="18" t="s">
        <v>5</v>
      </c>
      <c r="AM77" s="21">
        <v>6232.0667000000003</v>
      </c>
      <c r="AN77" s="19">
        <v>31160.333500000001</v>
      </c>
      <c r="AP77" s="20" t="s">
        <v>272</v>
      </c>
      <c r="AQ77" s="18" t="s">
        <v>273</v>
      </c>
      <c r="AR77" s="18" t="s">
        <v>151</v>
      </c>
      <c r="AS77" s="21">
        <v>7.5</v>
      </c>
      <c r="AT77" s="18" t="s">
        <v>5</v>
      </c>
      <c r="AU77" s="21">
        <v>2560.3334</v>
      </c>
      <c r="AV77" s="19">
        <v>19202.500499999998</v>
      </c>
      <c r="AX77" s="20" t="s">
        <v>272</v>
      </c>
      <c r="AY77" s="18" t="s">
        <v>273</v>
      </c>
      <c r="AZ77" s="18" t="s">
        <v>151</v>
      </c>
      <c r="BA77" s="21">
        <v>7.5</v>
      </c>
      <c r="BB77" s="18" t="s">
        <v>5</v>
      </c>
      <c r="BC77" s="21">
        <v>2560.3334</v>
      </c>
      <c r="BD77" s="19">
        <v>19202.500499999998</v>
      </c>
    </row>
    <row r="78" spans="1:56" x14ac:dyDescent="0.35">
      <c r="A78" s="38" t="str">
        <v>OTH00092</v>
      </c>
      <c r="B78" s="31" t="str">
        <f t="shared" ref="B78:B117" si="13">_xlfn.XLOOKUP(A78, AX$12:AX$307, AY$12:AY$307, "", 0)</f>
        <v>KABEL TIES 10 CM</v>
      </c>
      <c r="C78" s="31" t="str">
        <f t="shared" ref="C78:C117" si="14">_xlfn.XLOOKUP(A78, AX$12:AX$307, AZ$12:AZ$307, "", 0)</f>
        <v>OTHERS</v>
      </c>
      <c r="D78" s="39" t="str">
        <f t="shared" ref="D78:D117" si="15">_xlfn.XLOOKUP(A78, AX$12:AX$307, BB$12:BB$307, "", 0)</f>
        <v>pack</v>
      </c>
      <c r="E78" s="47">
        <f t="shared" ref="E78:E117" si="16">ROUND(_xlfn.XLOOKUP(A78, AX$12:AX$307, BC$12:BC$307, "", 0),2)</f>
        <v>2560.33</v>
      </c>
      <c r="F78" s="48" t="str">
        <f t="shared" ref="F78:F117" si="17">_xlfn.XLOOKUP(A78, X$12:X$307, AA$12:AA$307, "0", 0)</f>
        <v>0</v>
      </c>
      <c r="G78" s="48">
        <f t="shared" ref="G78:G117" si="18">_xlfn.XLOOKUP(A78, AP$12:AP$307, AS$12:AS$307, "0", 0)</f>
        <v>7.5</v>
      </c>
      <c r="H78" s="48">
        <f t="shared" ref="H78:H117" si="19">G78-F78</f>
        <v>7.5</v>
      </c>
      <c r="I78" s="40">
        <f t="shared" ref="I78:I117" si="20">H78*E78</f>
        <v>19202.474999999999</v>
      </c>
      <c r="J78" s="31" t="str">
        <f t="shared" ref="J78:J117" si="21">CHOOSE(SIGN(G78 - F78) + 2, "Penurunan IU", "Tidak Ada Perubahan", "Kenaikan IU")</f>
        <v>Kenaikan IU</v>
      </c>
      <c r="K78" s="42" t="s">
        <v>1002</v>
      </c>
      <c r="O78" s="86" t="s">
        <v>31</v>
      </c>
      <c r="P78" s="87" t="s">
        <v>11</v>
      </c>
      <c r="Q78" t="s">
        <v>186</v>
      </c>
      <c r="V78" s="4"/>
      <c r="X78" s="3" t="s">
        <v>187</v>
      </c>
      <c r="Y78" t="s">
        <v>188</v>
      </c>
      <c r="Z78" t="s">
        <v>182</v>
      </c>
      <c r="AA78" s="10">
        <v>6</v>
      </c>
      <c r="AB78" t="s">
        <v>20</v>
      </c>
      <c r="AC78" s="10">
        <v>3391.7220000000002</v>
      </c>
      <c r="AD78" s="4">
        <v>20350.331999999999</v>
      </c>
      <c r="AG78" s="20">
        <v>28</v>
      </c>
      <c r="AH78" s="18" t="s">
        <v>258</v>
      </c>
      <c r="AI78" s="18" t="s">
        <v>259</v>
      </c>
      <c r="AJ78" s="18" t="s">
        <v>67</v>
      </c>
      <c r="AK78" s="21">
        <v>2.5</v>
      </c>
      <c r="AL78" s="18" t="s">
        <v>5</v>
      </c>
      <c r="AM78" s="21">
        <v>24500</v>
      </c>
      <c r="AN78" s="19">
        <v>61250</v>
      </c>
      <c r="AP78" s="20" t="s">
        <v>274</v>
      </c>
      <c r="AQ78" s="18" t="s">
        <v>275</v>
      </c>
      <c r="AR78" s="18" t="s">
        <v>151</v>
      </c>
      <c r="AS78" s="21">
        <v>1.9</v>
      </c>
      <c r="AT78" s="18" t="s">
        <v>160</v>
      </c>
      <c r="AU78" s="21">
        <v>20320</v>
      </c>
      <c r="AV78" s="19">
        <v>38608</v>
      </c>
      <c r="AX78" s="20" t="s">
        <v>274</v>
      </c>
      <c r="AY78" s="18" t="s">
        <v>275</v>
      </c>
      <c r="AZ78" s="18" t="s">
        <v>151</v>
      </c>
      <c r="BA78" s="21">
        <v>1.9</v>
      </c>
      <c r="BB78" s="18" t="s">
        <v>160</v>
      </c>
      <c r="BC78" s="21">
        <v>20320</v>
      </c>
      <c r="BD78" s="19">
        <v>38608</v>
      </c>
    </row>
    <row r="79" spans="1:56" x14ac:dyDescent="0.35">
      <c r="A79" s="38" t="str">
        <v>OTH00105</v>
      </c>
      <c r="B79" s="31" t="str">
        <f t="shared" si="13"/>
        <v>MASKER MEDIS</v>
      </c>
      <c r="C79" s="31" t="str">
        <f t="shared" si="14"/>
        <v>OTHERS</v>
      </c>
      <c r="D79" s="39" t="str">
        <f t="shared" si="15"/>
        <v>box</v>
      </c>
      <c r="E79" s="47">
        <f t="shared" si="16"/>
        <v>20320</v>
      </c>
      <c r="F79" s="48" t="str">
        <f t="shared" si="17"/>
        <v>0</v>
      </c>
      <c r="G79" s="48">
        <f t="shared" si="18"/>
        <v>1.9</v>
      </c>
      <c r="H79" s="48">
        <f t="shared" si="19"/>
        <v>1.9</v>
      </c>
      <c r="I79" s="40">
        <f t="shared" si="20"/>
        <v>38608</v>
      </c>
      <c r="J79" s="31" t="str">
        <f t="shared" si="21"/>
        <v>Kenaikan IU</v>
      </c>
      <c r="K79" s="42" t="s">
        <v>1003</v>
      </c>
      <c r="O79" s="86" t="s">
        <v>35</v>
      </c>
      <c r="P79" s="87" t="s">
        <v>11</v>
      </c>
      <c r="Q79" t="s">
        <v>189</v>
      </c>
      <c r="V79" s="4"/>
      <c r="X79" s="3" t="s">
        <v>190</v>
      </c>
      <c r="Y79" t="s">
        <v>191</v>
      </c>
      <c r="Z79" t="s">
        <v>192</v>
      </c>
      <c r="AA79" s="10">
        <v>3</v>
      </c>
      <c r="AB79" t="s">
        <v>20</v>
      </c>
      <c r="AC79" s="10">
        <v>138557.64136451614</v>
      </c>
      <c r="AD79" s="4">
        <v>415672.92409400002</v>
      </c>
      <c r="AG79" s="20">
        <v>29</v>
      </c>
      <c r="AH79" s="18" t="s">
        <v>260</v>
      </c>
      <c r="AI79" s="18" t="s">
        <v>261</v>
      </c>
      <c r="AJ79" s="18" t="s">
        <v>67</v>
      </c>
      <c r="AK79" s="21">
        <v>2</v>
      </c>
      <c r="AL79" s="18" t="s">
        <v>5</v>
      </c>
      <c r="AM79" s="21">
        <v>1998</v>
      </c>
      <c r="AN79" s="19">
        <v>3996</v>
      </c>
      <c r="AP79" s="20" t="s">
        <v>158</v>
      </c>
      <c r="AQ79" s="18" t="s">
        <v>159</v>
      </c>
      <c r="AR79" s="18" t="s">
        <v>151</v>
      </c>
      <c r="AS79" s="21">
        <v>20</v>
      </c>
      <c r="AT79" s="18" t="s">
        <v>160</v>
      </c>
      <c r="AU79" s="21">
        <v>16176.613399999998</v>
      </c>
      <c r="AV79" s="19">
        <v>323532.26799999998</v>
      </c>
      <c r="AX79" s="20" t="s">
        <v>158</v>
      </c>
      <c r="AY79" s="18" t="s">
        <v>159</v>
      </c>
      <c r="AZ79" s="18" t="s">
        <v>151</v>
      </c>
      <c r="BA79" s="21">
        <v>20</v>
      </c>
      <c r="BB79" s="18" t="s">
        <v>160</v>
      </c>
      <c r="BC79" s="21">
        <v>16176.613399999998</v>
      </c>
      <c r="BD79" s="19">
        <v>323532.26799999998</v>
      </c>
    </row>
    <row r="80" spans="1:56" ht="15" thickBot="1" x14ac:dyDescent="0.4">
      <c r="A80" s="38" t="str">
        <v>OTH00121</v>
      </c>
      <c r="B80" s="31" t="str">
        <f t="shared" si="13"/>
        <v>KARDUS ROKOK</v>
      </c>
      <c r="C80" s="31" t="str">
        <f t="shared" si="14"/>
        <v>OTHERS</v>
      </c>
      <c r="D80" s="39" t="str">
        <f t="shared" si="15"/>
        <v>box</v>
      </c>
      <c r="E80" s="47">
        <f t="shared" si="16"/>
        <v>16176.61</v>
      </c>
      <c r="F80" s="48">
        <f t="shared" si="17"/>
        <v>2</v>
      </c>
      <c r="G80" s="48">
        <f t="shared" si="18"/>
        <v>20</v>
      </c>
      <c r="H80" s="48">
        <f t="shared" si="19"/>
        <v>18</v>
      </c>
      <c r="I80" s="40">
        <f t="shared" si="20"/>
        <v>291178.98</v>
      </c>
      <c r="J80" s="31" t="str">
        <f t="shared" si="21"/>
        <v>Kenaikan IU</v>
      </c>
      <c r="K80" s="42" t="s">
        <v>1004</v>
      </c>
      <c r="O80" s="3"/>
      <c r="V80" s="4"/>
      <c r="X80" s="11" t="s">
        <v>193</v>
      </c>
      <c r="Y80" s="12" t="s">
        <v>194</v>
      </c>
      <c r="Z80" s="12" t="s">
        <v>192</v>
      </c>
      <c r="AA80" s="12">
        <v>6</v>
      </c>
      <c r="AB80" s="12" t="s">
        <v>20</v>
      </c>
      <c r="AC80" s="12">
        <v>3590</v>
      </c>
      <c r="AD80" s="13">
        <v>21540</v>
      </c>
      <c r="AG80" s="20">
        <v>30</v>
      </c>
      <c r="AH80" s="18" t="s">
        <v>113</v>
      </c>
      <c r="AI80" s="18" t="s">
        <v>114</v>
      </c>
      <c r="AJ80" s="18" t="s">
        <v>67</v>
      </c>
      <c r="AK80" s="18">
        <v>300</v>
      </c>
      <c r="AL80" s="18" t="s">
        <v>20</v>
      </c>
      <c r="AM80" s="18">
        <v>143</v>
      </c>
      <c r="AN80" s="19">
        <v>42900</v>
      </c>
      <c r="AP80" s="20" t="s">
        <v>161</v>
      </c>
      <c r="AQ80" s="18" t="s">
        <v>162</v>
      </c>
      <c r="AR80" s="18" t="s">
        <v>151</v>
      </c>
      <c r="AS80" s="21">
        <v>0.4</v>
      </c>
      <c r="AT80" s="18" t="s">
        <v>5</v>
      </c>
      <c r="AU80" s="21">
        <v>3776.1725000000001</v>
      </c>
      <c r="AV80" s="19">
        <v>1510.4690000000001</v>
      </c>
      <c r="AX80" s="20" t="s">
        <v>161</v>
      </c>
      <c r="AY80" s="18" t="s">
        <v>162</v>
      </c>
      <c r="AZ80" s="18" t="s">
        <v>151</v>
      </c>
      <c r="BA80" s="21">
        <v>0.4</v>
      </c>
      <c r="BB80" s="18" t="s">
        <v>5</v>
      </c>
      <c r="BC80" s="21">
        <v>3776.1725000000001</v>
      </c>
      <c r="BD80" s="19">
        <v>1510.4690000000001</v>
      </c>
    </row>
    <row r="81" spans="1:56" ht="15.5" thickTop="1" thickBot="1" x14ac:dyDescent="0.4">
      <c r="A81" s="38" t="str">
        <v>OTH00151</v>
      </c>
      <c r="B81" s="31" t="str">
        <f t="shared" si="13"/>
        <v>LILIN ULANG TAHUN</v>
      </c>
      <c r="C81" s="31" t="str">
        <f t="shared" si="14"/>
        <v>OTHERS</v>
      </c>
      <c r="D81" s="39" t="str">
        <f t="shared" si="15"/>
        <v>pack</v>
      </c>
      <c r="E81" s="47">
        <f t="shared" si="16"/>
        <v>3776.17</v>
      </c>
      <c r="F81" s="48">
        <f t="shared" si="17"/>
        <v>1.6</v>
      </c>
      <c r="G81" s="48">
        <f t="shared" si="18"/>
        <v>0.4</v>
      </c>
      <c r="H81" s="48">
        <f t="shared" si="19"/>
        <v>-1.2000000000000002</v>
      </c>
      <c r="I81" s="40">
        <f t="shared" si="20"/>
        <v>-4531.4040000000005</v>
      </c>
      <c r="J81" s="31" t="str">
        <f t="shared" si="21"/>
        <v>Penurunan IU</v>
      </c>
      <c r="K81" s="42" t="s">
        <v>1005</v>
      </c>
      <c r="O81" s="3" t="s">
        <v>42</v>
      </c>
      <c r="P81" t="s">
        <v>43</v>
      </c>
      <c r="Q81" t="s">
        <v>44</v>
      </c>
      <c r="R81" t="s">
        <v>45</v>
      </c>
      <c r="S81" t="s">
        <v>46</v>
      </c>
      <c r="T81" t="s">
        <v>47</v>
      </c>
      <c r="U81" t="s">
        <v>48</v>
      </c>
      <c r="V81" s="4" t="s">
        <v>49</v>
      </c>
      <c r="AG81" s="22" t="s">
        <v>223</v>
      </c>
      <c r="AH81" s="23" t="s">
        <v>223</v>
      </c>
      <c r="AI81" s="23" t="s">
        <v>223</v>
      </c>
      <c r="AJ81" s="23" t="s">
        <v>223</v>
      </c>
      <c r="AK81" s="23" t="s">
        <v>223</v>
      </c>
      <c r="AL81" s="23" t="s">
        <v>223</v>
      </c>
      <c r="AM81" s="23" t="s">
        <v>224</v>
      </c>
      <c r="AN81" s="24">
        <v>1067902.5347310002</v>
      </c>
      <c r="AP81" s="20" t="s">
        <v>276</v>
      </c>
      <c r="AQ81" s="18" t="s">
        <v>277</v>
      </c>
      <c r="AR81" s="18" t="s">
        <v>151</v>
      </c>
      <c r="AS81" s="18">
        <v>5</v>
      </c>
      <c r="AT81" s="18" t="s">
        <v>52</v>
      </c>
      <c r="AU81" s="18">
        <v>1756.05</v>
      </c>
      <c r="AV81" s="19">
        <v>8780.25</v>
      </c>
      <c r="AX81" s="20" t="s">
        <v>276</v>
      </c>
      <c r="AY81" s="18" t="s">
        <v>277</v>
      </c>
      <c r="AZ81" s="18" t="s">
        <v>151</v>
      </c>
      <c r="BA81" s="18">
        <v>5</v>
      </c>
      <c r="BB81" s="18" t="s">
        <v>52</v>
      </c>
      <c r="BC81" s="18">
        <v>1756.05</v>
      </c>
      <c r="BD81" s="19">
        <v>8780.25</v>
      </c>
    </row>
    <row r="82" spans="1:56" x14ac:dyDescent="0.35">
      <c r="A82" s="38" t="str">
        <v>OTH00208</v>
      </c>
      <c r="B82" s="31" t="str">
        <f t="shared" si="13"/>
        <v>STICKER PIPI MERAH PUTIH</v>
      </c>
      <c r="C82" s="31" t="str">
        <f t="shared" si="14"/>
        <v>OTHERS</v>
      </c>
      <c r="D82" s="39" t="str">
        <f t="shared" si="15"/>
        <v>lembar</v>
      </c>
      <c r="E82" s="47">
        <f t="shared" si="16"/>
        <v>1756.05</v>
      </c>
      <c r="F82" s="48" t="str">
        <f t="shared" si="17"/>
        <v>0</v>
      </c>
      <c r="G82" s="48">
        <f t="shared" si="18"/>
        <v>5</v>
      </c>
      <c r="H82" s="48">
        <f t="shared" si="19"/>
        <v>5</v>
      </c>
      <c r="I82" s="40">
        <f t="shared" si="20"/>
        <v>8780.25</v>
      </c>
      <c r="J82" s="31" t="str">
        <f t="shared" si="21"/>
        <v>Kenaikan IU</v>
      </c>
      <c r="K82" s="42" t="s">
        <v>970</v>
      </c>
      <c r="O82" s="3">
        <v>1</v>
      </c>
      <c r="P82" t="s">
        <v>115</v>
      </c>
      <c r="Q82" t="s">
        <v>116</v>
      </c>
      <c r="R82" t="s">
        <v>117</v>
      </c>
      <c r="S82" s="10">
        <v>1000</v>
      </c>
      <c r="T82" t="s">
        <v>52</v>
      </c>
      <c r="U82" s="10">
        <v>628.57100000000003</v>
      </c>
      <c r="V82" s="4">
        <v>628571</v>
      </c>
      <c r="AP82" s="20" t="s">
        <v>115</v>
      </c>
      <c r="AQ82" s="18" t="s">
        <v>116</v>
      </c>
      <c r="AR82" s="18" t="s">
        <v>117</v>
      </c>
      <c r="AS82" s="21">
        <v>181</v>
      </c>
      <c r="AT82" s="18" t="s">
        <v>52</v>
      </c>
      <c r="AU82" s="21">
        <v>600</v>
      </c>
      <c r="AV82" s="19">
        <v>108600</v>
      </c>
      <c r="AX82" s="20" t="s">
        <v>115</v>
      </c>
      <c r="AY82" s="18" t="s">
        <v>116</v>
      </c>
      <c r="AZ82" s="18" t="s">
        <v>117</v>
      </c>
      <c r="BA82" s="21">
        <v>181</v>
      </c>
      <c r="BB82" s="18" t="s">
        <v>52</v>
      </c>
      <c r="BC82" s="21">
        <v>600</v>
      </c>
      <c r="BD82" s="19">
        <v>108600</v>
      </c>
    </row>
    <row r="83" spans="1:56" ht="15" thickBot="1" x14ac:dyDescent="0.4">
      <c r="A83" s="38" t="str">
        <v>KW000009</v>
      </c>
      <c r="B83" s="31" t="str">
        <f t="shared" si="13"/>
        <v>WAJAN/FRYPAN ANTI LENGKET</v>
      </c>
      <c r="C83" s="31" t="str">
        <f t="shared" si="14"/>
        <v>KITCHENWARE TOOLS</v>
      </c>
      <c r="D83" s="39" t="str">
        <f t="shared" si="15"/>
        <v>pcs</v>
      </c>
      <c r="E83" s="47">
        <f t="shared" si="16"/>
        <v>453050</v>
      </c>
      <c r="F83" s="48" t="str">
        <f t="shared" si="17"/>
        <v>0</v>
      </c>
      <c r="G83" s="48">
        <f t="shared" si="18"/>
        <v>1</v>
      </c>
      <c r="H83" s="48">
        <f t="shared" si="19"/>
        <v>1</v>
      </c>
      <c r="I83" s="40">
        <f t="shared" si="20"/>
        <v>453050</v>
      </c>
      <c r="J83" s="31" t="str">
        <f t="shared" si="21"/>
        <v>Kenaikan IU</v>
      </c>
      <c r="K83" s="42" t="s">
        <v>1006</v>
      </c>
      <c r="O83" s="3">
        <v>2</v>
      </c>
      <c r="P83" t="s">
        <v>118</v>
      </c>
      <c r="Q83" t="s">
        <v>119</v>
      </c>
      <c r="R83" t="s">
        <v>120</v>
      </c>
      <c r="S83" s="10">
        <v>1</v>
      </c>
      <c r="T83" t="s">
        <v>20</v>
      </c>
      <c r="U83" s="10">
        <v>14700</v>
      </c>
      <c r="V83" s="4">
        <v>14700</v>
      </c>
      <c r="AP83" s="20" t="s">
        <v>124</v>
      </c>
      <c r="AQ83" s="18" t="s">
        <v>125</v>
      </c>
      <c r="AR83" s="18" t="s">
        <v>123</v>
      </c>
      <c r="AS83" s="21">
        <v>37</v>
      </c>
      <c r="AT83" s="18" t="s">
        <v>5</v>
      </c>
      <c r="AU83" s="21">
        <v>5685.4389000000001</v>
      </c>
      <c r="AV83" s="19">
        <v>210361.23929999999</v>
      </c>
      <c r="AX83" s="20" t="s">
        <v>124</v>
      </c>
      <c r="AY83" s="18" t="s">
        <v>125</v>
      </c>
      <c r="AZ83" s="18" t="s">
        <v>123</v>
      </c>
      <c r="BA83" s="21">
        <v>37</v>
      </c>
      <c r="BB83" s="18" t="s">
        <v>5</v>
      </c>
      <c r="BC83" s="21">
        <v>5685.4389000000001</v>
      </c>
      <c r="BD83" s="19">
        <v>210361.23929999999</v>
      </c>
    </row>
    <row r="84" spans="1:56" x14ac:dyDescent="0.35">
      <c r="A84" s="38" t="str">
        <v>KW000019</v>
      </c>
      <c r="B84" s="31" t="str">
        <f t="shared" si="13"/>
        <v>FOOD TONG/CAPITAN MAKANAN LUBANG STAINLESS9 INCH</v>
      </c>
      <c r="C84" s="31" t="str">
        <f t="shared" si="14"/>
        <v>KITCHENWARE TOOLS</v>
      </c>
      <c r="D84" s="39" t="str">
        <f t="shared" si="15"/>
        <v>pcs</v>
      </c>
      <c r="E84" s="47">
        <f t="shared" si="16"/>
        <v>6905.66</v>
      </c>
      <c r="F84" s="48" t="str">
        <f t="shared" si="17"/>
        <v>0</v>
      </c>
      <c r="G84" s="48">
        <f t="shared" si="18"/>
        <v>2</v>
      </c>
      <c r="H84" s="48">
        <f t="shared" si="19"/>
        <v>2</v>
      </c>
      <c r="I84" s="40">
        <f t="shared" si="20"/>
        <v>13811.32</v>
      </c>
      <c r="J84" s="31" t="str">
        <f t="shared" si="21"/>
        <v>Kenaikan IU</v>
      </c>
      <c r="K84" s="42" t="s">
        <v>1007</v>
      </c>
      <c r="O84" s="3">
        <v>3</v>
      </c>
      <c r="P84" t="s">
        <v>121</v>
      </c>
      <c r="Q84" t="s">
        <v>122</v>
      </c>
      <c r="R84" t="s">
        <v>123</v>
      </c>
      <c r="S84" s="10">
        <v>2</v>
      </c>
      <c r="T84" t="s">
        <v>5</v>
      </c>
      <c r="U84" s="10">
        <v>5009.5237999999999</v>
      </c>
      <c r="V84" s="4">
        <v>10019.0476</v>
      </c>
      <c r="AG84" s="84" t="s">
        <v>0</v>
      </c>
      <c r="AH84" s="85"/>
      <c r="AI84" s="85"/>
      <c r="AJ84" s="85"/>
      <c r="AK84" s="85"/>
      <c r="AL84" s="16"/>
      <c r="AM84" s="16"/>
      <c r="AN84" s="17"/>
      <c r="AP84" s="20" t="s">
        <v>126</v>
      </c>
      <c r="AQ84" s="18" t="s">
        <v>127</v>
      </c>
      <c r="AR84" s="18" t="s">
        <v>123</v>
      </c>
      <c r="AS84" s="21">
        <v>27</v>
      </c>
      <c r="AT84" s="18" t="s">
        <v>5</v>
      </c>
      <c r="AU84" s="21">
        <v>6840.7210999999998</v>
      </c>
      <c r="AV84" s="19">
        <v>184699.46969999999</v>
      </c>
      <c r="AX84" s="20" t="s">
        <v>126</v>
      </c>
      <c r="AY84" s="18" t="s">
        <v>127</v>
      </c>
      <c r="AZ84" s="18" t="s">
        <v>123</v>
      </c>
      <c r="BA84" s="21">
        <v>27</v>
      </c>
      <c r="BB84" s="18" t="s">
        <v>5</v>
      </c>
      <c r="BC84" s="21">
        <v>6840.7210999999998</v>
      </c>
      <c r="BD84" s="19">
        <v>184699.46969999999</v>
      </c>
    </row>
    <row r="85" spans="1:56" x14ac:dyDescent="0.35">
      <c r="A85" s="38" t="str">
        <v>KW000054</v>
      </c>
      <c r="B85" s="31" t="str">
        <f t="shared" si="13"/>
        <v>PRAXIS KEEPER 302 10 LITER</v>
      </c>
      <c r="C85" s="31" t="str">
        <f t="shared" si="14"/>
        <v>KITCHENWARE TOOLS</v>
      </c>
      <c r="D85" s="39" t="str">
        <f t="shared" si="15"/>
        <v>pcs</v>
      </c>
      <c r="E85" s="47">
        <f t="shared" si="16"/>
        <v>42846.32</v>
      </c>
      <c r="F85" s="48" t="str">
        <f t="shared" si="17"/>
        <v>0</v>
      </c>
      <c r="G85" s="48">
        <f t="shared" si="18"/>
        <v>1</v>
      </c>
      <c r="H85" s="48">
        <f t="shared" si="19"/>
        <v>1</v>
      </c>
      <c r="I85" s="40">
        <f t="shared" si="20"/>
        <v>42846.32</v>
      </c>
      <c r="J85" s="31" t="str">
        <f t="shared" si="21"/>
        <v>Kenaikan IU</v>
      </c>
      <c r="K85" s="42" t="s">
        <v>1008</v>
      </c>
      <c r="O85" s="3">
        <v>4</v>
      </c>
      <c r="P85" t="s">
        <v>124</v>
      </c>
      <c r="Q85" t="s">
        <v>125</v>
      </c>
      <c r="R85" t="s">
        <v>123</v>
      </c>
      <c r="S85" s="10">
        <v>38</v>
      </c>
      <c r="T85" t="s">
        <v>5</v>
      </c>
      <c r="U85" s="10">
        <v>5518.8675999999996</v>
      </c>
      <c r="V85" s="4">
        <v>209716.9688</v>
      </c>
      <c r="AG85" s="82" t="s">
        <v>1</v>
      </c>
      <c r="AH85" s="83"/>
      <c r="AI85" s="83"/>
      <c r="AJ85" s="83"/>
      <c r="AK85" s="83"/>
      <c r="AL85" s="18"/>
      <c r="AM85" s="18"/>
      <c r="AN85" s="19"/>
      <c r="AP85" s="20" t="s">
        <v>128</v>
      </c>
      <c r="AQ85" s="18" t="s">
        <v>129</v>
      </c>
      <c r="AR85" s="18" t="s">
        <v>123</v>
      </c>
      <c r="AS85" s="21">
        <v>4.3</v>
      </c>
      <c r="AT85" s="18" t="s">
        <v>74</v>
      </c>
      <c r="AU85" s="21">
        <v>142077.6966</v>
      </c>
      <c r="AV85" s="19">
        <v>610934.09537999996</v>
      </c>
      <c r="AX85" s="20" t="s">
        <v>128</v>
      </c>
      <c r="AY85" s="18" t="s">
        <v>129</v>
      </c>
      <c r="AZ85" s="18" t="s">
        <v>123</v>
      </c>
      <c r="BA85" s="21">
        <v>4.3</v>
      </c>
      <c r="BB85" s="18" t="s">
        <v>74</v>
      </c>
      <c r="BC85" s="21">
        <v>142077.6966</v>
      </c>
      <c r="BD85" s="19">
        <v>610934.09537999996</v>
      </c>
    </row>
    <row r="86" spans="1:56" x14ac:dyDescent="0.35">
      <c r="A86" s="38" t="str">
        <v>KW00065</v>
      </c>
      <c r="B86" s="31" t="str">
        <f t="shared" si="13"/>
        <v>PAPPER SHAKER/TEMPAT BUMBU</v>
      </c>
      <c r="C86" s="31" t="str">
        <f t="shared" si="14"/>
        <v>KITCHENWARE TOOLS</v>
      </c>
      <c r="D86" s="39" t="str">
        <f t="shared" si="15"/>
        <v>pcs</v>
      </c>
      <c r="E86" s="47">
        <f t="shared" si="16"/>
        <v>11629.88</v>
      </c>
      <c r="F86" s="48" t="str">
        <f t="shared" si="17"/>
        <v>0</v>
      </c>
      <c r="G86" s="48">
        <f t="shared" si="18"/>
        <v>1</v>
      </c>
      <c r="H86" s="48">
        <f t="shared" si="19"/>
        <v>1</v>
      </c>
      <c r="I86" s="40">
        <f t="shared" si="20"/>
        <v>11629.88</v>
      </c>
      <c r="J86" s="31" t="str">
        <f t="shared" si="21"/>
        <v>Kenaikan IU</v>
      </c>
      <c r="K86" s="42" t="s">
        <v>1009</v>
      </c>
      <c r="O86" s="3">
        <v>5</v>
      </c>
      <c r="P86" t="s">
        <v>126</v>
      </c>
      <c r="Q86" t="s">
        <v>127</v>
      </c>
      <c r="R86" t="s">
        <v>123</v>
      </c>
      <c r="S86" s="10">
        <v>10</v>
      </c>
      <c r="T86" t="s">
        <v>5</v>
      </c>
      <c r="U86" s="10">
        <v>6816.5331999999999</v>
      </c>
      <c r="V86" s="4">
        <v>68165.331999999995</v>
      </c>
      <c r="AG86" s="20"/>
      <c r="AH86" s="18"/>
      <c r="AI86" s="18"/>
      <c r="AJ86" s="18"/>
      <c r="AK86" s="18"/>
      <c r="AL86" s="18"/>
      <c r="AM86" s="18"/>
      <c r="AN86" s="19"/>
      <c r="AP86" s="20" t="s">
        <v>130</v>
      </c>
      <c r="AQ86" s="18" t="s">
        <v>131</v>
      </c>
      <c r="AR86" s="18" t="s">
        <v>123</v>
      </c>
      <c r="AS86" s="21">
        <v>56</v>
      </c>
      <c r="AT86" s="18" t="s">
        <v>5</v>
      </c>
      <c r="AU86" s="21">
        <v>6355.3806999999997</v>
      </c>
      <c r="AV86" s="19">
        <v>355901.31920000003</v>
      </c>
      <c r="AX86" s="20" t="s">
        <v>130</v>
      </c>
      <c r="AY86" s="18" t="s">
        <v>131</v>
      </c>
      <c r="AZ86" s="18" t="s">
        <v>123</v>
      </c>
      <c r="BA86" s="21">
        <v>56</v>
      </c>
      <c r="BB86" s="18" t="s">
        <v>5</v>
      </c>
      <c r="BC86" s="21">
        <v>6355.3806999999997</v>
      </c>
      <c r="BD86" s="19">
        <v>355901.31920000003</v>
      </c>
    </row>
    <row r="87" spans="1:56" x14ac:dyDescent="0.35">
      <c r="A87" s="38" t="str">
        <v>KW00089</v>
      </c>
      <c r="B87" s="31" t="str">
        <f t="shared" si="13"/>
        <v>DRAWER ORGANIZER 26X8.5X4</v>
      </c>
      <c r="C87" s="31" t="str">
        <f t="shared" si="14"/>
        <v>KITCHENWARE TOOLS</v>
      </c>
      <c r="D87" s="39" t="str">
        <f t="shared" si="15"/>
        <v>pcs</v>
      </c>
      <c r="E87" s="47">
        <f t="shared" si="16"/>
        <v>10743.43</v>
      </c>
      <c r="F87" s="48">
        <f t="shared" si="17"/>
        <v>2</v>
      </c>
      <c r="G87" s="48">
        <f t="shared" si="18"/>
        <v>3</v>
      </c>
      <c r="H87" s="48">
        <f t="shared" si="19"/>
        <v>1</v>
      </c>
      <c r="I87" s="40">
        <f t="shared" si="20"/>
        <v>10743.43</v>
      </c>
      <c r="J87" s="31" t="str">
        <f t="shared" si="21"/>
        <v>Kenaikan IU</v>
      </c>
      <c r="K87" s="42" t="s">
        <v>1010</v>
      </c>
      <c r="O87" s="3">
        <v>6</v>
      </c>
      <c r="P87" t="s">
        <v>128</v>
      </c>
      <c r="Q87" t="s">
        <v>129</v>
      </c>
      <c r="R87" t="s">
        <v>123</v>
      </c>
      <c r="S87" s="10">
        <v>2.7</v>
      </c>
      <c r="T87" t="s">
        <v>74</v>
      </c>
      <c r="U87" s="10">
        <v>142062.04490000001</v>
      </c>
      <c r="V87" s="4">
        <v>383567.52123000001</v>
      </c>
      <c r="AG87" s="82" t="s">
        <v>10</v>
      </c>
      <c r="AH87" s="83" t="s">
        <v>11</v>
      </c>
      <c r="AI87" s="18" t="s">
        <v>262</v>
      </c>
      <c r="AJ87" s="18"/>
      <c r="AK87" s="18"/>
      <c r="AL87" s="18"/>
      <c r="AM87" s="18"/>
      <c r="AN87" s="19"/>
      <c r="AP87" s="20" t="s">
        <v>132</v>
      </c>
      <c r="AQ87" s="18" t="s">
        <v>133</v>
      </c>
      <c r="AR87" s="18" t="s">
        <v>123</v>
      </c>
      <c r="AS87" s="21">
        <v>127</v>
      </c>
      <c r="AT87" s="18" t="s">
        <v>134</v>
      </c>
      <c r="AU87" s="21">
        <v>12999.999900000001</v>
      </c>
      <c r="AV87" s="19">
        <v>1650999.9872999999</v>
      </c>
      <c r="AX87" s="20" t="s">
        <v>132</v>
      </c>
      <c r="AY87" s="18" t="s">
        <v>133</v>
      </c>
      <c r="AZ87" s="18" t="s">
        <v>123</v>
      </c>
      <c r="BA87" s="21">
        <v>127</v>
      </c>
      <c r="BB87" s="18" t="s">
        <v>134</v>
      </c>
      <c r="BC87" s="21">
        <v>12999.999900000001</v>
      </c>
      <c r="BD87" s="19">
        <v>1650999.9872999999</v>
      </c>
    </row>
    <row r="88" spans="1:56" x14ac:dyDescent="0.35">
      <c r="A88" s="38" t="str">
        <v>KW00094</v>
      </c>
      <c r="B88" s="31" t="str">
        <f t="shared" si="13"/>
        <v>PRAXIS KEEPER 102 1,9 LITER</v>
      </c>
      <c r="C88" s="31" t="str">
        <f t="shared" si="14"/>
        <v>KITCHENWARE TOOLS</v>
      </c>
      <c r="D88" s="39" t="str">
        <f t="shared" si="15"/>
        <v>pcs</v>
      </c>
      <c r="E88" s="47">
        <f t="shared" si="16"/>
        <v>12665</v>
      </c>
      <c r="F88" s="48" t="str">
        <f t="shared" si="17"/>
        <v>0</v>
      </c>
      <c r="G88" s="48">
        <f t="shared" si="18"/>
        <v>1</v>
      </c>
      <c r="H88" s="48">
        <f t="shared" si="19"/>
        <v>1</v>
      </c>
      <c r="I88" s="40">
        <f t="shared" si="20"/>
        <v>12665</v>
      </c>
      <c r="J88" s="31" t="str">
        <f t="shared" si="21"/>
        <v>Kenaikan IU</v>
      </c>
      <c r="K88" s="42" t="s">
        <v>1011</v>
      </c>
      <c r="O88" s="3">
        <v>7</v>
      </c>
      <c r="P88" t="s">
        <v>130</v>
      </c>
      <c r="Q88" t="s">
        <v>131</v>
      </c>
      <c r="R88" t="s">
        <v>123</v>
      </c>
      <c r="S88" s="10">
        <v>47</v>
      </c>
      <c r="T88" t="s">
        <v>5</v>
      </c>
      <c r="U88" s="10">
        <v>6354.5132000000003</v>
      </c>
      <c r="V88" s="4">
        <v>298662.12040000001</v>
      </c>
      <c r="AG88" s="82" t="s">
        <v>16</v>
      </c>
      <c r="AH88" s="83" t="s">
        <v>11</v>
      </c>
      <c r="AI88" s="18" t="s">
        <v>211</v>
      </c>
      <c r="AJ88" s="18"/>
      <c r="AK88" s="18"/>
      <c r="AL88" s="18"/>
      <c r="AM88" s="18"/>
      <c r="AN88" s="19"/>
      <c r="AP88" s="20" t="s">
        <v>135</v>
      </c>
      <c r="AQ88" s="18" t="s">
        <v>136</v>
      </c>
      <c r="AR88" s="18" t="s">
        <v>123</v>
      </c>
      <c r="AS88" s="21">
        <v>32</v>
      </c>
      <c r="AT88" s="18" t="s">
        <v>5</v>
      </c>
      <c r="AU88" s="21">
        <v>5710.8161</v>
      </c>
      <c r="AV88" s="19">
        <v>182746.1152</v>
      </c>
      <c r="AX88" s="20" t="s">
        <v>135</v>
      </c>
      <c r="AY88" s="18" t="s">
        <v>136</v>
      </c>
      <c r="AZ88" s="18" t="s">
        <v>123</v>
      </c>
      <c r="BA88" s="21">
        <v>32</v>
      </c>
      <c r="BB88" s="18" t="s">
        <v>5</v>
      </c>
      <c r="BC88" s="21">
        <v>5710.8161</v>
      </c>
      <c r="BD88" s="19">
        <v>182746.1152</v>
      </c>
    </row>
    <row r="89" spans="1:56" x14ac:dyDescent="0.35">
      <c r="A89" s="38" t="str">
        <v>KW00131</v>
      </c>
      <c r="B89" s="31" t="str">
        <f t="shared" si="13"/>
        <v>KITCHEN DIGITAL TIMER</v>
      </c>
      <c r="C89" s="31" t="str">
        <f t="shared" si="14"/>
        <v>KITCHENWARE TOOLS</v>
      </c>
      <c r="D89" s="39" t="str">
        <f t="shared" si="15"/>
        <v>pcs</v>
      </c>
      <c r="E89" s="47">
        <f t="shared" si="16"/>
        <v>16766.669999999998</v>
      </c>
      <c r="F89" s="48" t="str">
        <f t="shared" si="17"/>
        <v>0</v>
      </c>
      <c r="G89" s="48">
        <f t="shared" si="18"/>
        <v>1</v>
      </c>
      <c r="H89" s="48">
        <f t="shared" si="19"/>
        <v>1</v>
      </c>
      <c r="I89" s="40">
        <f t="shared" si="20"/>
        <v>16766.669999999998</v>
      </c>
      <c r="J89" s="31" t="str">
        <f t="shared" si="21"/>
        <v>Kenaikan IU</v>
      </c>
      <c r="K89" s="42" t="s">
        <v>1012</v>
      </c>
      <c r="O89" s="3">
        <v>8</v>
      </c>
      <c r="P89" t="s">
        <v>132</v>
      </c>
      <c r="Q89" t="s">
        <v>133</v>
      </c>
      <c r="R89" t="s">
        <v>123</v>
      </c>
      <c r="S89" s="10">
        <v>95</v>
      </c>
      <c r="T89" t="s">
        <v>134</v>
      </c>
      <c r="U89" s="10">
        <v>12999.9997</v>
      </c>
      <c r="V89" s="4">
        <v>1234999.9715</v>
      </c>
      <c r="AG89" s="82" t="s">
        <v>21</v>
      </c>
      <c r="AH89" s="83" t="s">
        <v>11</v>
      </c>
      <c r="AI89" s="18" t="s">
        <v>22</v>
      </c>
      <c r="AJ89" s="18"/>
      <c r="AK89" s="18"/>
      <c r="AL89" s="18"/>
      <c r="AM89" s="18"/>
      <c r="AN89" s="19"/>
      <c r="AP89" s="20" t="s">
        <v>137</v>
      </c>
      <c r="AQ89" s="18" t="s">
        <v>138</v>
      </c>
      <c r="AR89" s="18" t="s">
        <v>123</v>
      </c>
      <c r="AS89" s="21">
        <v>26</v>
      </c>
      <c r="AT89" s="18" t="s">
        <v>5</v>
      </c>
      <c r="AU89" s="21">
        <v>16096.584699999999</v>
      </c>
      <c r="AV89" s="19">
        <v>418511.2022</v>
      </c>
      <c r="AX89" s="20" t="s">
        <v>137</v>
      </c>
      <c r="AY89" s="18" t="s">
        <v>138</v>
      </c>
      <c r="AZ89" s="18" t="s">
        <v>123</v>
      </c>
      <c r="BA89" s="21">
        <v>26</v>
      </c>
      <c r="BB89" s="18" t="s">
        <v>5</v>
      </c>
      <c r="BC89" s="21">
        <v>16096.584699999999</v>
      </c>
      <c r="BD89" s="19">
        <v>418511.2022</v>
      </c>
    </row>
    <row r="90" spans="1:56" x14ac:dyDescent="0.35">
      <c r="A90" s="38" t="str">
        <v>KW00137</v>
      </c>
      <c r="B90" s="31" t="str">
        <f t="shared" si="13"/>
        <v>SPATULA SILIKON GAGANG KAYU</v>
      </c>
      <c r="C90" s="31" t="str">
        <f t="shared" si="14"/>
        <v>KITCHENWARE TOOLS</v>
      </c>
      <c r="D90" s="39" t="str">
        <f t="shared" si="15"/>
        <v>pcs</v>
      </c>
      <c r="E90" s="47">
        <f t="shared" si="16"/>
        <v>15501.84</v>
      </c>
      <c r="F90" s="48" t="str">
        <f t="shared" si="17"/>
        <v>0</v>
      </c>
      <c r="G90" s="48">
        <f t="shared" si="18"/>
        <v>1</v>
      </c>
      <c r="H90" s="48">
        <f t="shared" si="19"/>
        <v>1</v>
      </c>
      <c r="I90" s="40">
        <f t="shared" si="20"/>
        <v>15501.84</v>
      </c>
      <c r="J90" s="31" t="str">
        <f t="shared" si="21"/>
        <v>Kenaikan IU</v>
      </c>
      <c r="K90" s="42" t="s">
        <v>1013</v>
      </c>
      <c r="O90" s="3">
        <v>9</v>
      </c>
      <c r="P90" t="s">
        <v>135</v>
      </c>
      <c r="Q90" t="s">
        <v>136</v>
      </c>
      <c r="R90" t="s">
        <v>123</v>
      </c>
      <c r="S90" s="10">
        <v>15</v>
      </c>
      <c r="T90" t="s">
        <v>5</v>
      </c>
      <c r="U90" s="10">
        <v>5676.6629000000003</v>
      </c>
      <c r="V90" s="4">
        <v>85149.943499999994</v>
      </c>
      <c r="AG90" s="82" t="s">
        <v>26</v>
      </c>
      <c r="AH90" s="83" t="s">
        <v>11</v>
      </c>
      <c r="AI90" s="18" t="s">
        <v>263</v>
      </c>
      <c r="AJ90" s="18"/>
      <c r="AK90" s="18"/>
      <c r="AL90" s="18"/>
      <c r="AM90" s="18"/>
      <c r="AN90" s="19"/>
      <c r="AP90" s="20" t="s">
        <v>139</v>
      </c>
      <c r="AQ90" s="18" t="s">
        <v>140</v>
      </c>
      <c r="AR90" s="18" t="s">
        <v>123</v>
      </c>
      <c r="AS90" s="21">
        <v>25.8</v>
      </c>
      <c r="AT90" s="18" t="s">
        <v>5</v>
      </c>
      <c r="AU90" s="21">
        <v>43192.491900000001</v>
      </c>
      <c r="AV90" s="19">
        <v>1114366.2910199999</v>
      </c>
      <c r="AX90" s="20" t="s">
        <v>139</v>
      </c>
      <c r="AY90" s="18" t="s">
        <v>140</v>
      </c>
      <c r="AZ90" s="18" t="s">
        <v>123</v>
      </c>
      <c r="BA90" s="21">
        <v>25.8</v>
      </c>
      <c r="BB90" s="18" t="s">
        <v>5</v>
      </c>
      <c r="BC90" s="21">
        <v>43192.491900000001</v>
      </c>
      <c r="BD90" s="19">
        <v>1114366.2910199999</v>
      </c>
    </row>
    <row r="91" spans="1:56" x14ac:dyDescent="0.35">
      <c r="A91" s="38" t="str">
        <v>KW00138</v>
      </c>
      <c r="B91" s="31" t="str">
        <f t="shared" si="13"/>
        <v>BOTOL BUMBU TUTUP BUNGA</v>
      </c>
      <c r="C91" s="31" t="str">
        <f t="shared" si="14"/>
        <v>KITCHENWARE TOOLS</v>
      </c>
      <c r="D91" s="39" t="str">
        <f t="shared" si="15"/>
        <v>pcs</v>
      </c>
      <c r="E91" s="47">
        <f t="shared" si="16"/>
        <v>18704.66</v>
      </c>
      <c r="F91" s="48" t="str">
        <f t="shared" si="17"/>
        <v>0</v>
      </c>
      <c r="G91" s="48">
        <f t="shared" si="18"/>
        <v>5</v>
      </c>
      <c r="H91" s="48">
        <f t="shared" si="19"/>
        <v>5</v>
      </c>
      <c r="I91" s="40">
        <f t="shared" si="20"/>
        <v>93523.3</v>
      </c>
      <c r="J91" s="31" t="str">
        <f t="shared" si="21"/>
        <v>Kenaikan IU</v>
      </c>
      <c r="K91" s="42" t="s">
        <v>1014</v>
      </c>
      <c r="O91" s="3">
        <v>10</v>
      </c>
      <c r="P91" t="s">
        <v>137</v>
      </c>
      <c r="Q91" t="s">
        <v>138</v>
      </c>
      <c r="R91" t="s">
        <v>123</v>
      </c>
      <c r="S91" s="10">
        <v>19</v>
      </c>
      <c r="T91" t="s">
        <v>5</v>
      </c>
      <c r="U91" s="10">
        <v>16089.183300000001</v>
      </c>
      <c r="V91" s="4">
        <v>305694.48269999999</v>
      </c>
      <c r="AG91" s="82" t="s">
        <v>31</v>
      </c>
      <c r="AH91" s="83" t="s">
        <v>11</v>
      </c>
      <c r="AI91" s="18" t="s">
        <v>186</v>
      </c>
      <c r="AJ91" s="18"/>
      <c r="AK91" s="18"/>
      <c r="AL91" s="18"/>
      <c r="AM91" s="18"/>
      <c r="AN91" s="19"/>
      <c r="AP91" s="20" t="s">
        <v>141</v>
      </c>
      <c r="AQ91" s="18" t="s">
        <v>142</v>
      </c>
      <c r="AR91" s="18" t="s">
        <v>123</v>
      </c>
      <c r="AS91" s="21">
        <v>4</v>
      </c>
      <c r="AT91" s="18" t="s">
        <v>5</v>
      </c>
      <c r="AU91" s="21">
        <v>42527.913200000003</v>
      </c>
      <c r="AV91" s="19">
        <v>170111.65280000001</v>
      </c>
      <c r="AX91" s="20" t="s">
        <v>141</v>
      </c>
      <c r="AY91" s="18" t="s">
        <v>142</v>
      </c>
      <c r="AZ91" s="18" t="s">
        <v>123</v>
      </c>
      <c r="BA91" s="21">
        <v>4</v>
      </c>
      <c r="BB91" s="18" t="s">
        <v>5</v>
      </c>
      <c r="BC91" s="21">
        <v>42527.913200000003</v>
      </c>
      <c r="BD91" s="19">
        <v>170111.65280000001</v>
      </c>
    </row>
    <row r="92" spans="1:56" x14ac:dyDescent="0.35">
      <c r="A92" s="38" t="str">
        <v>TGW00007</v>
      </c>
      <c r="B92" s="31" t="str">
        <f t="shared" si="13"/>
        <v>MANGKOK HMP 206 PUTIH D 7CM T 2,8CM</v>
      </c>
      <c r="C92" s="31" t="str">
        <f t="shared" si="14"/>
        <v>TABLEWARE</v>
      </c>
      <c r="D92" s="39" t="str">
        <f t="shared" si="15"/>
        <v>pcs</v>
      </c>
      <c r="E92" s="47">
        <f t="shared" si="16"/>
        <v>3590</v>
      </c>
      <c r="F92" s="48">
        <f t="shared" si="17"/>
        <v>6</v>
      </c>
      <c r="G92" s="48">
        <f t="shared" si="18"/>
        <v>4</v>
      </c>
      <c r="H92" s="48">
        <f t="shared" si="19"/>
        <v>-2</v>
      </c>
      <c r="I92" s="40">
        <f t="shared" si="20"/>
        <v>-7180</v>
      </c>
      <c r="J92" s="31" t="str">
        <f t="shared" si="21"/>
        <v>Penurunan IU</v>
      </c>
      <c r="K92" s="42" t="s">
        <v>1015</v>
      </c>
      <c r="O92" s="3">
        <v>11</v>
      </c>
      <c r="P92" t="s">
        <v>139</v>
      </c>
      <c r="Q92" t="s">
        <v>140</v>
      </c>
      <c r="R92" t="s">
        <v>123</v>
      </c>
      <c r="S92" s="10">
        <v>15</v>
      </c>
      <c r="T92" t="s">
        <v>5</v>
      </c>
      <c r="U92" s="10">
        <v>42453.578999999998</v>
      </c>
      <c r="V92" s="4">
        <v>636803.68500000006</v>
      </c>
      <c r="AG92" s="82" t="s">
        <v>35</v>
      </c>
      <c r="AH92" s="83" t="s">
        <v>11</v>
      </c>
      <c r="AI92" s="18" t="s">
        <v>264</v>
      </c>
      <c r="AJ92" s="18"/>
      <c r="AK92" s="18"/>
      <c r="AL92" s="18"/>
      <c r="AM92" s="18"/>
      <c r="AN92" s="19"/>
      <c r="AP92" s="20" t="s">
        <v>145</v>
      </c>
      <c r="AQ92" s="18" t="s">
        <v>146</v>
      </c>
      <c r="AR92" s="18" t="s">
        <v>123</v>
      </c>
      <c r="AS92" s="21">
        <v>81</v>
      </c>
      <c r="AT92" s="18" t="s">
        <v>5</v>
      </c>
      <c r="AU92" s="21">
        <v>4604.1441999999997</v>
      </c>
      <c r="AV92" s="19">
        <v>372935.6802</v>
      </c>
      <c r="AX92" s="20" t="s">
        <v>145</v>
      </c>
      <c r="AY92" s="18" t="s">
        <v>146</v>
      </c>
      <c r="AZ92" s="18" t="s">
        <v>123</v>
      </c>
      <c r="BA92" s="21">
        <v>81</v>
      </c>
      <c r="BB92" s="18" t="s">
        <v>5</v>
      </c>
      <c r="BC92" s="21">
        <v>4604.1441999999997</v>
      </c>
      <c r="BD92" s="19">
        <v>372935.6802</v>
      </c>
    </row>
    <row r="93" spans="1:56" x14ac:dyDescent="0.35">
      <c r="A93" s="38" t="str">
        <v>TGW00011</v>
      </c>
      <c r="B93" s="31" t="str">
        <f t="shared" si="13"/>
        <v>TEMPAT SAMBAL ACRYLIC - KECIL</v>
      </c>
      <c r="C93" s="31" t="str">
        <f t="shared" si="14"/>
        <v>TABLEWARE</v>
      </c>
      <c r="D93" s="39" t="str">
        <f t="shared" si="15"/>
        <v>pcs</v>
      </c>
      <c r="E93" s="47">
        <f t="shared" si="16"/>
        <v>32435.48</v>
      </c>
      <c r="F93" s="48" t="str">
        <f t="shared" si="17"/>
        <v>0</v>
      </c>
      <c r="G93" s="48">
        <f t="shared" si="18"/>
        <v>1</v>
      </c>
      <c r="H93" s="48">
        <f t="shared" si="19"/>
        <v>1</v>
      </c>
      <c r="I93" s="40">
        <f t="shared" si="20"/>
        <v>32435.48</v>
      </c>
      <c r="J93" s="31" t="str">
        <f t="shared" si="21"/>
        <v>Kenaikan IU</v>
      </c>
      <c r="K93" s="42" t="s">
        <v>1016</v>
      </c>
      <c r="O93" s="3">
        <v>12</v>
      </c>
      <c r="P93" t="s">
        <v>141</v>
      </c>
      <c r="Q93" t="s">
        <v>142</v>
      </c>
      <c r="R93" t="s">
        <v>123</v>
      </c>
      <c r="S93" s="10">
        <v>9</v>
      </c>
      <c r="T93" t="s">
        <v>5</v>
      </c>
      <c r="U93" s="10">
        <v>41773.5821</v>
      </c>
      <c r="V93" s="4">
        <v>375962.2389</v>
      </c>
      <c r="AG93" s="20"/>
      <c r="AH93" s="18"/>
      <c r="AI93" s="18"/>
      <c r="AJ93" s="18"/>
      <c r="AK93" s="18"/>
      <c r="AL93" s="18"/>
      <c r="AM93" s="18"/>
      <c r="AN93" s="19"/>
      <c r="AP93" s="20" t="s">
        <v>147</v>
      </c>
      <c r="AQ93" s="18" t="s">
        <v>148</v>
      </c>
      <c r="AR93" s="18" t="s">
        <v>123</v>
      </c>
      <c r="AS93" s="21">
        <v>1.5</v>
      </c>
      <c r="AT93" s="18" t="s">
        <v>5</v>
      </c>
      <c r="AU93" s="21">
        <v>14879.074100000002</v>
      </c>
      <c r="AV93" s="19">
        <v>22318.611150000001</v>
      </c>
      <c r="AX93" s="20" t="s">
        <v>147</v>
      </c>
      <c r="AY93" s="18" t="s">
        <v>148</v>
      </c>
      <c r="AZ93" s="18" t="s">
        <v>123</v>
      </c>
      <c r="BA93" s="21">
        <v>1.5</v>
      </c>
      <c r="BB93" s="18" t="s">
        <v>5</v>
      </c>
      <c r="BC93" s="21">
        <v>14879.074100000002</v>
      </c>
      <c r="BD93" s="19">
        <v>22318.611150000001</v>
      </c>
    </row>
    <row r="94" spans="1:56" x14ac:dyDescent="0.35">
      <c r="A94" s="38" t="str">
        <v>CETS0001</v>
      </c>
      <c r="B94" s="31" t="str">
        <f t="shared" si="13"/>
        <v>TOWEL ANJOLY BIRU-KECIL</v>
      </c>
      <c r="C94" s="31" t="str">
        <f t="shared" si="14"/>
        <v>CLEANING TOOLS AND SUPPLIES</v>
      </c>
      <c r="D94" s="39" t="str">
        <f t="shared" si="15"/>
        <v>pcs</v>
      </c>
      <c r="E94" s="47">
        <f t="shared" si="16"/>
        <v>6972.43</v>
      </c>
      <c r="F94" s="48">
        <f t="shared" si="17"/>
        <v>1</v>
      </c>
      <c r="G94" s="48" t="str">
        <f t="shared" si="18"/>
        <v>0</v>
      </c>
      <c r="H94" s="48">
        <f t="shared" si="19"/>
        <v>-1</v>
      </c>
      <c r="I94" s="40">
        <f t="shared" si="20"/>
        <v>-6972.43</v>
      </c>
      <c r="J94" s="31" t="str">
        <f t="shared" si="21"/>
        <v>Penurunan IU</v>
      </c>
      <c r="K94" s="42" t="s">
        <v>1017</v>
      </c>
      <c r="O94" s="3">
        <v>13</v>
      </c>
      <c r="P94" t="s">
        <v>143</v>
      </c>
      <c r="Q94" t="s">
        <v>144</v>
      </c>
      <c r="R94" t="s">
        <v>123</v>
      </c>
      <c r="S94" s="10">
        <v>0.25</v>
      </c>
      <c r="T94" t="s">
        <v>5</v>
      </c>
      <c r="U94" s="10">
        <v>55200</v>
      </c>
      <c r="V94" s="4">
        <v>13800</v>
      </c>
      <c r="AG94" s="20" t="s">
        <v>42</v>
      </c>
      <c r="AH94" s="18" t="s">
        <v>43</v>
      </c>
      <c r="AI94" s="18" t="s">
        <v>44</v>
      </c>
      <c r="AJ94" s="18" t="s">
        <v>45</v>
      </c>
      <c r="AK94" s="18" t="s">
        <v>46</v>
      </c>
      <c r="AL94" s="18" t="s">
        <v>47</v>
      </c>
      <c r="AM94" s="18" t="s">
        <v>48</v>
      </c>
      <c r="AN94" s="19" t="s">
        <v>49</v>
      </c>
      <c r="AP94" s="20" t="s">
        <v>265</v>
      </c>
      <c r="AQ94" s="18" t="s">
        <v>266</v>
      </c>
      <c r="AR94" s="18" t="s">
        <v>151</v>
      </c>
      <c r="AS94" s="21">
        <v>1</v>
      </c>
      <c r="AT94" s="18" t="s">
        <v>267</v>
      </c>
      <c r="AU94" s="21">
        <v>25293.35</v>
      </c>
      <c r="AV94" s="19">
        <v>25293.35</v>
      </c>
      <c r="AX94" s="20" t="s">
        <v>265</v>
      </c>
      <c r="AY94" s="18" t="s">
        <v>266</v>
      </c>
      <c r="AZ94" s="18" t="s">
        <v>151</v>
      </c>
      <c r="BA94" s="21">
        <v>1</v>
      </c>
      <c r="BB94" s="18" t="s">
        <v>267</v>
      </c>
      <c r="BC94" s="21">
        <v>25293.35</v>
      </c>
      <c r="BD94" s="19">
        <v>25293.35</v>
      </c>
    </row>
    <row r="95" spans="1:56" x14ac:dyDescent="0.35">
      <c r="A95" s="38" t="str">
        <v>CETS0025</v>
      </c>
      <c r="B95" s="31" t="str">
        <f t="shared" si="13"/>
        <v>PLASTIK SAMPAH 60 x 100 (10 LEMBAR)</v>
      </c>
      <c r="C95" s="31" t="str">
        <f t="shared" si="14"/>
        <v>CLEANING TOOLS AND SUPPLIES</v>
      </c>
      <c r="D95" s="39" t="str">
        <f t="shared" si="15"/>
        <v>pack</v>
      </c>
      <c r="E95" s="47">
        <f t="shared" si="16"/>
        <v>7699.96</v>
      </c>
      <c r="F95" s="48">
        <f t="shared" si="17"/>
        <v>2</v>
      </c>
      <c r="G95" s="48" t="str">
        <f t="shared" si="18"/>
        <v>0</v>
      </c>
      <c r="H95" s="48">
        <f t="shared" si="19"/>
        <v>-2</v>
      </c>
      <c r="I95" s="40">
        <f t="shared" si="20"/>
        <v>-15399.92</v>
      </c>
      <c r="J95" s="31" t="str">
        <f t="shared" si="21"/>
        <v>Penurunan IU</v>
      </c>
      <c r="K95" s="42" t="s">
        <v>1018</v>
      </c>
      <c r="O95" s="3">
        <v>14</v>
      </c>
      <c r="P95" t="s">
        <v>145</v>
      </c>
      <c r="Q95" t="s">
        <v>146</v>
      </c>
      <c r="R95" t="s">
        <v>123</v>
      </c>
      <c r="S95" s="10">
        <v>56</v>
      </c>
      <c r="T95" t="s">
        <v>5</v>
      </c>
      <c r="U95" s="10">
        <v>4604.1441999999997</v>
      </c>
      <c r="V95" s="4">
        <v>257832.07519999999</v>
      </c>
      <c r="AG95" s="20">
        <v>1</v>
      </c>
      <c r="AH95" s="18" t="s">
        <v>115</v>
      </c>
      <c r="AI95" s="18" t="s">
        <v>116</v>
      </c>
      <c r="AJ95" s="18" t="s">
        <v>117</v>
      </c>
      <c r="AK95" s="21">
        <v>181</v>
      </c>
      <c r="AL95" s="18" t="s">
        <v>52</v>
      </c>
      <c r="AM95" s="21">
        <v>600</v>
      </c>
      <c r="AN95" s="19">
        <v>108600</v>
      </c>
      <c r="AP95" s="20" t="s">
        <v>268</v>
      </c>
      <c r="AQ95" s="18" t="s">
        <v>269</v>
      </c>
      <c r="AR95" s="18" t="s">
        <v>151</v>
      </c>
      <c r="AS95" s="21">
        <v>1</v>
      </c>
      <c r="AT95" s="18" t="s">
        <v>87</v>
      </c>
      <c r="AU95" s="21">
        <v>5500</v>
      </c>
      <c r="AV95" s="19">
        <v>5500</v>
      </c>
      <c r="AX95" s="20" t="s">
        <v>268</v>
      </c>
      <c r="AY95" s="18" t="s">
        <v>269</v>
      </c>
      <c r="AZ95" s="18" t="s">
        <v>151</v>
      </c>
      <c r="BA95" s="21">
        <v>1</v>
      </c>
      <c r="BB95" s="18" t="s">
        <v>87</v>
      </c>
      <c r="BC95" s="21">
        <v>5500</v>
      </c>
      <c r="BD95" s="19">
        <v>5500</v>
      </c>
    </row>
    <row r="96" spans="1:56" x14ac:dyDescent="0.35">
      <c r="A96" s="38" t="str">
        <v>STA00009</v>
      </c>
      <c r="B96" s="31" t="str">
        <f t="shared" si="13"/>
        <v>AMPLOP PUTIH 104</v>
      </c>
      <c r="C96" s="31" t="str">
        <f t="shared" si="14"/>
        <v>STATIONARY AND OFFICE SUPPLIES</v>
      </c>
      <c r="D96" s="39" t="str">
        <f t="shared" si="15"/>
        <v>pack</v>
      </c>
      <c r="E96" s="47">
        <f t="shared" si="16"/>
        <v>18577.71</v>
      </c>
      <c r="F96" s="48">
        <f t="shared" si="17"/>
        <v>0.02</v>
      </c>
      <c r="G96" s="48" t="str">
        <f t="shared" si="18"/>
        <v>0</v>
      </c>
      <c r="H96" s="48">
        <f t="shared" si="19"/>
        <v>-0.02</v>
      </c>
      <c r="I96" s="40">
        <f t="shared" si="20"/>
        <v>-371.55419999999998</v>
      </c>
      <c r="J96" s="31" t="str">
        <f t="shared" si="21"/>
        <v>Penurunan IU</v>
      </c>
      <c r="K96" s="42" t="s">
        <v>961</v>
      </c>
      <c r="O96" s="3">
        <v>15</v>
      </c>
      <c r="P96" t="s">
        <v>147</v>
      </c>
      <c r="Q96" t="s">
        <v>148</v>
      </c>
      <c r="R96" t="s">
        <v>123</v>
      </c>
      <c r="S96" s="10">
        <v>0.5</v>
      </c>
      <c r="T96" t="s">
        <v>5</v>
      </c>
      <c r="U96" s="10">
        <v>14782.333300000004</v>
      </c>
      <c r="V96" s="4">
        <v>7391.1666500000001</v>
      </c>
      <c r="AG96" s="20">
        <v>2</v>
      </c>
      <c r="AH96" s="18" t="s">
        <v>124</v>
      </c>
      <c r="AI96" s="18" t="s">
        <v>125</v>
      </c>
      <c r="AJ96" s="18" t="s">
        <v>123</v>
      </c>
      <c r="AK96" s="21">
        <v>37</v>
      </c>
      <c r="AL96" s="18" t="s">
        <v>5</v>
      </c>
      <c r="AM96" s="21">
        <v>5685.4389000000001</v>
      </c>
      <c r="AN96" s="19">
        <v>210361.23929999999</v>
      </c>
      <c r="AP96" s="20" t="s">
        <v>154</v>
      </c>
      <c r="AQ96" s="18" t="s">
        <v>155</v>
      </c>
      <c r="AR96" s="18" t="s">
        <v>151</v>
      </c>
      <c r="AS96" s="21">
        <v>36</v>
      </c>
      <c r="AT96" s="18" t="s">
        <v>20</v>
      </c>
      <c r="AU96" s="21">
        <v>986.10040000000004</v>
      </c>
      <c r="AV96" s="19">
        <v>35499.614399999999</v>
      </c>
      <c r="AX96" s="20" t="s">
        <v>154</v>
      </c>
      <c r="AY96" s="18" t="s">
        <v>155</v>
      </c>
      <c r="AZ96" s="18" t="s">
        <v>151</v>
      </c>
      <c r="BA96" s="21">
        <v>36</v>
      </c>
      <c r="BB96" s="18" t="s">
        <v>20</v>
      </c>
      <c r="BC96" s="21">
        <v>986.10040000000004</v>
      </c>
      <c r="BD96" s="19">
        <v>35499.614399999999</v>
      </c>
    </row>
    <row r="97" spans="1:56" x14ac:dyDescent="0.35">
      <c r="A97" s="38" t="str">
        <v>STA00032</v>
      </c>
      <c r="B97" s="31" t="str">
        <f t="shared" si="13"/>
        <v>SPIDOL SNOWMAN (NON PERMANENT)</v>
      </c>
      <c r="C97" s="31" t="str">
        <f t="shared" si="14"/>
        <v>STATIONARY AND OFFICE SUPPLIES</v>
      </c>
      <c r="D97" s="39" t="str">
        <f t="shared" si="15"/>
        <v>pcs</v>
      </c>
      <c r="E97" s="47">
        <f t="shared" si="16"/>
        <v>1550</v>
      </c>
      <c r="F97" s="48">
        <f t="shared" si="17"/>
        <v>2</v>
      </c>
      <c r="G97" s="48" t="str">
        <f t="shared" si="18"/>
        <v>0</v>
      </c>
      <c r="H97" s="48">
        <f t="shared" si="19"/>
        <v>-2</v>
      </c>
      <c r="I97" s="40">
        <f t="shared" si="20"/>
        <v>-3100</v>
      </c>
      <c r="J97" s="31" t="str">
        <f t="shared" si="21"/>
        <v>Penurunan IU</v>
      </c>
      <c r="K97" s="42" t="s">
        <v>1019</v>
      </c>
      <c r="O97" s="3">
        <v>16</v>
      </c>
      <c r="P97" t="s">
        <v>149</v>
      </c>
      <c r="Q97" t="s">
        <v>150</v>
      </c>
      <c r="R97" t="s">
        <v>151</v>
      </c>
      <c r="S97" s="10">
        <v>1</v>
      </c>
      <c r="T97" t="s">
        <v>20</v>
      </c>
      <c r="U97" s="10">
        <v>14620.625</v>
      </c>
      <c r="V97" s="4">
        <v>14620.625</v>
      </c>
      <c r="AG97" s="20">
        <v>3</v>
      </c>
      <c r="AH97" s="18" t="s">
        <v>126</v>
      </c>
      <c r="AI97" s="18" t="s">
        <v>127</v>
      </c>
      <c r="AJ97" s="18" t="s">
        <v>123</v>
      </c>
      <c r="AK97" s="21">
        <v>27</v>
      </c>
      <c r="AL97" s="18" t="s">
        <v>5</v>
      </c>
      <c r="AM97" s="21">
        <v>6840.7210999999998</v>
      </c>
      <c r="AN97" s="19">
        <v>184699.46969999999</v>
      </c>
      <c r="AP97" s="20" t="s">
        <v>270</v>
      </c>
      <c r="AQ97" s="18" t="s">
        <v>271</v>
      </c>
      <c r="AR97" s="18" t="s">
        <v>151</v>
      </c>
      <c r="AS97" s="21">
        <v>4</v>
      </c>
      <c r="AT97" s="18" t="s">
        <v>20</v>
      </c>
      <c r="AU97" s="21">
        <v>36300</v>
      </c>
      <c r="AV97" s="19">
        <v>145200</v>
      </c>
      <c r="AX97" s="20" t="s">
        <v>270</v>
      </c>
      <c r="AY97" s="18" t="s">
        <v>271</v>
      </c>
      <c r="AZ97" s="18" t="s">
        <v>151</v>
      </c>
      <c r="BA97" s="21">
        <v>4</v>
      </c>
      <c r="BB97" s="18" t="s">
        <v>20</v>
      </c>
      <c r="BC97" s="21">
        <v>36300</v>
      </c>
      <c r="BD97" s="19">
        <v>145200</v>
      </c>
    </row>
    <row r="98" spans="1:56" x14ac:dyDescent="0.35">
      <c r="A98" s="38" t="str">
        <v>STA00033</v>
      </c>
      <c r="B98" s="31" t="str">
        <f t="shared" si="13"/>
        <v>SPIDOL HACCP</v>
      </c>
      <c r="C98" s="31" t="str">
        <f t="shared" si="14"/>
        <v>STATIONARY AND OFFICE SUPPLIES</v>
      </c>
      <c r="D98" s="39" t="str">
        <f t="shared" si="15"/>
        <v>pcs</v>
      </c>
      <c r="E98" s="47">
        <f t="shared" si="16"/>
        <v>15000</v>
      </c>
      <c r="F98" s="48">
        <f t="shared" si="17"/>
        <v>1</v>
      </c>
      <c r="G98" s="48" t="str">
        <f t="shared" si="18"/>
        <v>0</v>
      </c>
      <c r="H98" s="48">
        <f t="shared" si="19"/>
        <v>-1</v>
      </c>
      <c r="I98" s="40">
        <f t="shared" si="20"/>
        <v>-15000</v>
      </c>
      <c r="J98" s="31" t="str">
        <f t="shared" si="21"/>
        <v>Penurunan IU</v>
      </c>
      <c r="K98" s="42" t="s">
        <v>1019</v>
      </c>
      <c r="O98" s="3">
        <v>17</v>
      </c>
      <c r="P98" t="s">
        <v>152</v>
      </c>
      <c r="Q98" t="s">
        <v>153</v>
      </c>
      <c r="R98" t="s">
        <v>151</v>
      </c>
      <c r="S98" s="10">
        <v>2</v>
      </c>
      <c r="T98" t="s">
        <v>20</v>
      </c>
      <c r="U98" s="10">
        <v>13786</v>
      </c>
      <c r="V98" s="4">
        <v>27572</v>
      </c>
      <c r="AG98" s="20">
        <v>4</v>
      </c>
      <c r="AH98" s="18" t="s">
        <v>128</v>
      </c>
      <c r="AI98" s="18" t="s">
        <v>129</v>
      </c>
      <c r="AJ98" s="18" t="s">
        <v>123</v>
      </c>
      <c r="AK98" s="21">
        <v>4.3</v>
      </c>
      <c r="AL98" s="18" t="s">
        <v>74</v>
      </c>
      <c r="AM98" s="21">
        <v>142077.6966</v>
      </c>
      <c r="AN98" s="19">
        <v>610934.09537999996</v>
      </c>
      <c r="AP98" s="20" t="s">
        <v>156</v>
      </c>
      <c r="AQ98" s="18" t="s">
        <v>157</v>
      </c>
      <c r="AR98" s="18" t="s">
        <v>151</v>
      </c>
      <c r="AS98" s="21">
        <v>8</v>
      </c>
      <c r="AT98" s="18" t="s">
        <v>20</v>
      </c>
      <c r="AU98" s="21">
        <v>2042.27</v>
      </c>
      <c r="AV98" s="19">
        <v>16338.16</v>
      </c>
      <c r="AX98" s="20" t="s">
        <v>156</v>
      </c>
      <c r="AY98" s="18" t="s">
        <v>157</v>
      </c>
      <c r="AZ98" s="18" t="s">
        <v>151</v>
      </c>
      <c r="BA98" s="21">
        <v>8</v>
      </c>
      <c r="BB98" s="18" t="s">
        <v>20</v>
      </c>
      <c r="BC98" s="21">
        <v>2042.27</v>
      </c>
      <c r="BD98" s="19">
        <v>16338.16</v>
      </c>
    </row>
    <row r="99" spans="1:56" x14ac:dyDescent="0.35">
      <c r="A99" s="38" t="str">
        <v>STA00041</v>
      </c>
      <c r="B99" s="31" t="str">
        <f t="shared" si="13"/>
        <v>STAPLER</v>
      </c>
      <c r="C99" s="31" t="str">
        <f t="shared" si="14"/>
        <v>STATIONARY AND OFFICE SUPPLIES</v>
      </c>
      <c r="D99" s="39" t="str">
        <f t="shared" si="15"/>
        <v>pcs</v>
      </c>
      <c r="E99" s="47">
        <f t="shared" si="16"/>
        <v>8799.25</v>
      </c>
      <c r="F99" s="48">
        <f t="shared" si="17"/>
        <v>2</v>
      </c>
      <c r="G99" s="48" t="str">
        <f t="shared" si="18"/>
        <v>0</v>
      </c>
      <c r="H99" s="48">
        <f t="shared" si="19"/>
        <v>-2</v>
      </c>
      <c r="I99" s="40">
        <f t="shared" si="20"/>
        <v>-17598.5</v>
      </c>
      <c r="J99" s="31" t="str">
        <f t="shared" si="21"/>
        <v>Penurunan IU</v>
      </c>
      <c r="K99" s="42" t="s">
        <v>1020</v>
      </c>
      <c r="O99" s="3">
        <v>18</v>
      </c>
      <c r="P99" t="s">
        <v>154</v>
      </c>
      <c r="Q99" t="s">
        <v>155</v>
      </c>
      <c r="R99" t="s">
        <v>151</v>
      </c>
      <c r="S99" s="10">
        <v>49</v>
      </c>
      <c r="T99" t="s">
        <v>20</v>
      </c>
      <c r="U99" s="10">
        <v>1000.6605</v>
      </c>
      <c r="V99" s="4">
        <v>49032.364500000003</v>
      </c>
      <c r="AG99" s="20">
        <v>5</v>
      </c>
      <c r="AH99" s="18" t="s">
        <v>130</v>
      </c>
      <c r="AI99" s="18" t="s">
        <v>131</v>
      </c>
      <c r="AJ99" s="18" t="s">
        <v>123</v>
      </c>
      <c r="AK99" s="21">
        <v>56</v>
      </c>
      <c r="AL99" s="18" t="s">
        <v>5</v>
      </c>
      <c r="AM99" s="21">
        <v>6355.3806999999997</v>
      </c>
      <c r="AN99" s="19">
        <v>355901.31920000003</v>
      </c>
      <c r="AP99" s="20" t="s">
        <v>272</v>
      </c>
      <c r="AQ99" s="18" t="s">
        <v>273</v>
      </c>
      <c r="AR99" s="18" t="s">
        <v>151</v>
      </c>
      <c r="AS99" s="21">
        <v>7.5</v>
      </c>
      <c r="AT99" s="18" t="s">
        <v>5</v>
      </c>
      <c r="AU99" s="21">
        <v>2560.3334</v>
      </c>
      <c r="AV99" s="19">
        <v>19202.500499999998</v>
      </c>
      <c r="AX99" s="20" t="s">
        <v>272</v>
      </c>
      <c r="AY99" s="18" t="s">
        <v>273</v>
      </c>
      <c r="AZ99" s="18" t="s">
        <v>151</v>
      </c>
      <c r="BA99" s="21">
        <v>7.5</v>
      </c>
      <c r="BB99" s="18" t="s">
        <v>5</v>
      </c>
      <c r="BC99" s="21">
        <v>2560.3334</v>
      </c>
      <c r="BD99" s="19">
        <v>19202.500499999998</v>
      </c>
    </row>
    <row r="100" spans="1:56" x14ac:dyDescent="0.35">
      <c r="A100" s="38" t="str">
        <v>STA00092</v>
      </c>
      <c r="B100" s="31" t="str">
        <f t="shared" si="13"/>
        <v>BUKU KAS (EKSPEDISI)</v>
      </c>
      <c r="C100" s="31" t="str">
        <f t="shared" si="14"/>
        <v>STATIONARY AND OFFICE SUPPLIES</v>
      </c>
      <c r="D100" s="39" t="str">
        <f t="shared" si="15"/>
        <v>buku</v>
      </c>
      <c r="E100" s="47">
        <f t="shared" si="16"/>
        <v>9100</v>
      </c>
      <c r="F100" s="48">
        <f t="shared" si="17"/>
        <v>4</v>
      </c>
      <c r="G100" s="48" t="str">
        <f t="shared" si="18"/>
        <v>0</v>
      </c>
      <c r="H100" s="48">
        <f t="shared" si="19"/>
        <v>-4</v>
      </c>
      <c r="I100" s="40">
        <f t="shared" si="20"/>
        <v>-36400</v>
      </c>
      <c r="J100" s="31" t="str">
        <f t="shared" si="21"/>
        <v>Penurunan IU</v>
      </c>
      <c r="K100" s="42" t="s">
        <v>1021</v>
      </c>
      <c r="O100" s="3">
        <v>19</v>
      </c>
      <c r="P100" t="s">
        <v>156</v>
      </c>
      <c r="Q100" t="s">
        <v>157</v>
      </c>
      <c r="R100" t="s">
        <v>151</v>
      </c>
      <c r="S100" s="10">
        <v>2</v>
      </c>
      <c r="T100" t="s">
        <v>20</v>
      </c>
      <c r="U100" s="10">
        <v>2042.27</v>
      </c>
      <c r="V100" s="4">
        <v>4084.54</v>
      </c>
      <c r="AG100" s="20">
        <v>6</v>
      </c>
      <c r="AH100" s="18" t="s">
        <v>132</v>
      </c>
      <c r="AI100" s="18" t="s">
        <v>133</v>
      </c>
      <c r="AJ100" s="18" t="s">
        <v>123</v>
      </c>
      <c r="AK100" s="21">
        <v>127</v>
      </c>
      <c r="AL100" s="18" t="s">
        <v>134</v>
      </c>
      <c r="AM100" s="21">
        <v>12999.999900000001</v>
      </c>
      <c r="AN100" s="19">
        <v>1650999.9872999999</v>
      </c>
      <c r="AP100" s="20" t="s">
        <v>274</v>
      </c>
      <c r="AQ100" s="18" t="s">
        <v>275</v>
      </c>
      <c r="AR100" s="18" t="s">
        <v>151</v>
      </c>
      <c r="AS100" s="21">
        <v>1.9</v>
      </c>
      <c r="AT100" s="18" t="s">
        <v>160</v>
      </c>
      <c r="AU100" s="21">
        <v>20320</v>
      </c>
      <c r="AV100" s="19">
        <v>38608</v>
      </c>
      <c r="AX100" s="20" t="s">
        <v>274</v>
      </c>
      <c r="AY100" s="18" t="s">
        <v>275</v>
      </c>
      <c r="AZ100" s="18" t="s">
        <v>151</v>
      </c>
      <c r="BA100" s="21">
        <v>1.9</v>
      </c>
      <c r="BB100" s="18" t="s">
        <v>160</v>
      </c>
      <c r="BC100" s="21">
        <v>20320</v>
      </c>
      <c r="BD100" s="19">
        <v>38608</v>
      </c>
    </row>
    <row r="101" spans="1:56" x14ac:dyDescent="0.35">
      <c r="A101" s="38" t="str">
        <v>STA00109</v>
      </c>
      <c r="B101" s="31" t="str">
        <f t="shared" si="13"/>
        <v>STOCK CARD</v>
      </c>
      <c r="C101" s="31" t="str">
        <f t="shared" si="14"/>
        <v>STATIONARY AND OFFICE SUPPLIES</v>
      </c>
      <c r="D101" s="39" t="str">
        <f t="shared" si="15"/>
        <v>pack</v>
      </c>
      <c r="E101" s="47">
        <f t="shared" si="16"/>
        <v>16237.42</v>
      </c>
      <c r="F101" s="48">
        <f t="shared" si="17"/>
        <v>2</v>
      </c>
      <c r="G101" s="48" t="str">
        <f t="shared" si="18"/>
        <v>0</v>
      </c>
      <c r="H101" s="48">
        <f t="shared" si="19"/>
        <v>-2</v>
      </c>
      <c r="I101" s="40">
        <f t="shared" si="20"/>
        <v>-32474.84</v>
      </c>
      <c r="J101" s="31" t="str">
        <f t="shared" si="21"/>
        <v>Penurunan IU</v>
      </c>
      <c r="K101" s="42" t="s">
        <v>1020</v>
      </c>
      <c r="O101" s="3">
        <v>20</v>
      </c>
      <c r="P101" t="s">
        <v>158</v>
      </c>
      <c r="Q101" t="s">
        <v>159</v>
      </c>
      <c r="R101" t="s">
        <v>151</v>
      </c>
      <c r="S101" s="10">
        <v>2</v>
      </c>
      <c r="T101" t="s">
        <v>160</v>
      </c>
      <c r="U101" s="10">
        <v>11281.2646</v>
      </c>
      <c r="V101" s="4">
        <v>22562.529200000001</v>
      </c>
      <c r="AG101" s="20">
        <v>7</v>
      </c>
      <c r="AH101" s="18" t="s">
        <v>135</v>
      </c>
      <c r="AI101" s="18" t="s">
        <v>136</v>
      </c>
      <c r="AJ101" s="18" t="s">
        <v>123</v>
      </c>
      <c r="AK101" s="21">
        <v>32</v>
      </c>
      <c r="AL101" s="18" t="s">
        <v>5</v>
      </c>
      <c r="AM101" s="21">
        <v>5710.8161</v>
      </c>
      <c r="AN101" s="19">
        <v>182746.1152</v>
      </c>
      <c r="AP101" s="20" t="s">
        <v>158</v>
      </c>
      <c r="AQ101" s="18" t="s">
        <v>159</v>
      </c>
      <c r="AR101" s="18" t="s">
        <v>151</v>
      </c>
      <c r="AS101" s="21">
        <v>20</v>
      </c>
      <c r="AT101" s="18" t="s">
        <v>160</v>
      </c>
      <c r="AU101" s="21">
        <v>16176.613399999998</v>
      </c>
      <c r="AV101" s="19">
        <v>323532.26799999998</v>
      </c>
      <c r="AX101" s="20" t="s">
        <v>158</v>
      </c>
      <c r="AY101" s="18" t="s">
        <v>159</v>
      </c>
      <c r="AZ101" s="18" t="s">
        <v>151</v>
      </c>
      <c r="BA101" s="21">
        <v>20</v>
      </c>
      <c r="BB101" s="18" t="s">
        <v>160</v>
      </c>
      <c r="BC101" s="21">
        <v>16176.613399999998</v>
      </c>
      <c r="BD101" s="19">
        <v>323532.26799999998</v>
      </c>
    </row>
    <row r="102" spans="1:56" ht="15" thickBot="1" x14ac:dyDescent="0.4">
      <c r="A102" s="38" t="str">
        <v>STA00111</v>
      </c>
      <c r="B102" s="31" t="str">
        <f t="shared" si="13"/>
        <v>DOUBLE TAPE FOAM HITAM</v>
      </c>
      <c r="C102" s="31" t="str">
        <f t="shared" si="14"/>
        <v>STATIONARY AND OFFICE SUPPLIES</v>
      </c>
      <c r="D102" s="39" t="str">
        <f t="shared" si="15"/>
        <v>ROLL</v>
      </c>
      <c r="E102" s="47">
        <f t="shared" si="16"/>
        <v>8474.11</v>
      </c>
      <c r="F102" s="48">
        <f t="shared" si="17"/>
        <v>1</v>
      </c>
      <c r="G102" s="48" t="str">
        <f t="shared" si="18"/>
        <v>0</v>
      </c>
      <c r="H102" s="48">
        <f t="shared" si="19"/>
        <v>-1</v>
      </c>
      <c r="I102" s="40">
        <f t="shared" si="20"/>
        <v>-8474.11</v>
      </c>
      <c r="J102" s="31" t="str">
        <f t="shared" si="21"/>
        <v>Penurunan IU</v>
      </c>
      <c r="K102" s="42" t="s">
        <v>1022</v>
      </c>
      <c r="O102" s="11">
        <v>21</v>
      </c>
      <c r="P102" s="12" t="s">
        <v>161</v>
      </c>
      <c r="Q102" s="12" t="s">
        <v>162</v>
      </c>
      <c r="R102" s="12" t="s">
        <v>151</v>
      </c>
      <c r="S102" s="12">
        <v>1.6</v>
      </c>
      <c r="T102" s="12" t="s">
        <v>5</v>
      </c>
      <c r="U102" s="12">
        <v>3776.1725000000001</v>
      </c>
      <c r="V102" s="13">
        <v>6041.8760000000002</v>
      </c>
      <c r="AG102" s="20">
        <v>8</v>
      </c>
      <c r="AH102" s="18" t="s">
        <v>137</v>
      </c>
      <c r="AI102" s="18" t="s">
        <v>138</v>
      </c>
      <c r="AJ102" s="18" t="s">
        <v>123</v>
      </c>
      <c r="AK102" s="21">
        <v>26</v>
      </c>
      <c r="AL102" s="18" t="s">
        <v>5</v>
      </c>
      <c r="AM102" s="21">
        <v>16096.584699999999</v>
      </c>
      <c r="AN102" s="19">
        <v>418511.2022</v>
      </c>
      <c r="AP102" s="20" t="s">
        <v>161</v>
      </c>
      <c r="AQ102" s="18" t="s">
        <v>162</v>
      </c>
      <c r="AR102" s="18" t="s">
        <v>151</v>
      </c>
      <c r="AS102" s="21">
        <v>0.4</v>
      </c>
      <c r="AT102" s="18" t="s">
        <v>5</v>
      </c>
      <c r="AU102" s="21">
        <v>3776.1725000000001</v>
      </c>
      <c r="AV102" s="19">
        <v>1510.4690000000001</v>
      </c>
      <c r="AX102" s="20" t="s">
        <v>161</v>
      </c>
      <c r="AY102" s="18" t="s">
        <v>162</v>
      </c>
      <c r="AZ102" s="18" t="s">
        <v>151</v>
      </c>
      <c r="BA102" s="21">
        <v>0.4</v>
      </c>
      <c r="BB102" s="18" t="s">
        <v>5</v>
      </c>
      <c r="BC102" s="21">
        <v>3776.1725000000001</v>
      </c>
      <c r="BD102" s="19">
        <v>1510.4690000000001</v>
      </c>
    </row>
    <row r="103" spans="1:56" ht="15.5" thickTop="1" thickBot="1" x14ac:dyDescent="0.4">
      <c r="A103" s="38" t="str">
        <v>MRP00043</v>
      </c>
      <c r="B103" s="31" t="str">
        <f t="shared" si="13"/>
        <v>SEDIMENT FILTER CARTRIDGE 1 MIKRON 20 INCH D10,7CM</v>
      </c>
      <c r="C103" s="31" t="str">
        <f t="shared" si="14"/>
        <v>IT GA AND MRP STOCK</v>
      </c>
      <c r="D103" s="39" t="str">
        <f t="shared" si="15"/>
        <v>pcs</v>
      </c>
      <c r="E103" s="47">
        <f t="shared" si="16"/>
        <v>14700</v>
      </c>
      <c r="F103" s="48">
        <f t="shared" si="17"/>
        <v>1</v>
      </c>
      <c r="G103" s="48" t="str">
        <f t="shared" si="18"/>
        <v>0</v>
      </c>
      <c r="H103" s="48">
        <f t="shared" si="19"/>
        <v>-1</v>
      </c>
      <c r="I103" s="40">
        <f t="shared" si="20"/>
        <v>-14700</v>
      </c>
      <c r="J103" s="31" t="str">
        <f t="shared" si="21"/>
        <v>Penurunan IU</v>
      </c>
      <c r="K103" s="42" t="s">
        <v>1022</v>
      </c>
      <c r="AG103" s="20">
        <v>9</v>
      </c>
      <c r="AH103" s="18" t="s">
        <v>139</v>
      </c>
      <c r="AI103" s="18" t="s">
        <v>140</v>
      </c>
      <c r="AJ103" s="18" t="s">
        <v>123</v>
      </c>
      <c r="AK103" s="21">
        <v>25.8</v>
      </c>
      <c r="AL103" s="18" t="s">
        <v>5</v>
      </c>
      <c r="AM103" s="21">
        <v>43192.491900000001</v>
      </c>
      <c r="AN103" s="19">
        <v>1114366.2910199999</v>
      </c>
      <c r="AP103" s="20" t="s">
        <v>276</v>
      </c>
      <c r="AQ103" s="18" t="s">
        <v>277</v>
      </c>
      <c r="AR103" s="18" t="s">
        <v>151</v>
      </c>
      <c r="AS103" s="18">
        <v>5</v>
      </c>
      <c r="AT103" s="18" t="s">
        <v>52</v>
      </c>
      <c r="AU103" s="18">
        <v>1756.05</v>
      </c>
      <c r="AV103" s="19">
        <v>8780.25</v>
      </c>
      <c r="AX103" s="20" t="s">
        <v>276</v>
      </c>
      <c r="AY103" s="18" t="s">
        <v>277</v>
      </c>
      <c r="AZ103" s="18" t="s">
        <v>151</v>
      </c>
      <c r="BA103" s="18">
        <v>5</v>
      </c>
      <c r="BB103" s="18" t="s">
        <v>52</v>
      </c>
      <c r="BC103" s="18">
        <v>1756.05</v>
      </c>
      <c r="BD103" s="19">
        <v>8780.25</v>
      </c>
    </row>
    <row r="104" spans="1:56" ht="15" thickTop="1" x14ac:dyDescent="0.35">
      <c r="A104" s="38" t="str">
        <v>NCG00018</v>
      </c>
      <c r="B104" s="31" t="str">
        <f t="shared" si="13"/>
        <v>SARUNG TANGAN PELASTIK</v>
      </c>
      <c r="C104" s="31" t="str">
        <f t="shared" si="14"/>
        <v>NCG</v>
      </c>
      <c r="D104" s="39" t="str">
        <f t="shared" si="15"/>
        <v>pack</v>
      </c>
      <c r="E104" s="47">
        <f t="shared" si="16"/>
        <v>5009.5200000000004</v>
      </c>
      <c r="F104" s="48">
        <f t="shared" si="17"/>
        <v>2</v>
      </c>
      <c r="G104" s="48" t="str">
        <f t="shared" si="18"/>
        <v>0</v>
      </c>
      <c r="H104" s="48">
        <f t="shared" si="19"/>
        <v>-2</v>
      </c>
      <c r="I104" s="40">
        <f t="shared" si="20"/>
        <v>-10019.040000000001</v>
      </c>
      <c r="J104" s="31" t="str">
        <f t="shared" si="21"/>
        <v>Penurunan IU</v>
      </c>
      <c r="K104" s="42" t="s">
        <v>1023</v>
      </c>
      <c r="O104" s="88" t="s">
        <v>0</v>
      </c>
      <c r="P104" s="89"/>
      <c r="Q104" s="89"/>
      <c r="R104" s="89"/>
      <c r="S104" s="89"/>
      <c r="T104" s="1"/>
      <c r="U104" s="1"/>
      <c r="V104" s="2"/>
      <c r="AG104" s="20">
        <v>10</v>
      </c>
      <c r="AH104" s="18" t="s">
        <v>141</v>
      </c>
      <c r="AI104" s="18" t="s">
        <v>142</v>
      </c>
      <c r="AJ104" s="18" t="s">
        <v>123</v>
      </c>
      <c r="AK104" s="21">
        <v>4</v>
      </c>
      <c r="AL104" s="18" t="s">
        <v>5</v>
      </c>
      <c r="AM104" s="21">
        <v>42527.913200000003</v>
      </c>
      <c r="AN104" s="19">
        <v>170111.65280000001</v>
      </c>
      <c r="AP104" s="20" t="s">
        <v>282</v>
      </c>
      <c r="AQ104" s="18" t="s">
        <v>283</v>
      </c>
      <c r="AR104" s="18" t="s">
        <v>165</v>
      </c>
      <c r="AS104" s="21">
        <v>1</v>
      </c>
      <c r="AT104" s="18" t="s">
        <v>20</v>
      </c>
      <c r="AU104" s="21">
        <v>453050</v>
      </c>
      <c r="AV104" s="19">
        <v>453050</v>
      </c>
      <c r="AX104" s="20" t="s">
        <v>282</v>
      </c>
      <c r="AY104" s="18" t="s">
        <v>283</v>
      </c>
      <c r="AZ104" s="18" t="s">
        <v>165</v>
      </c>
      <c r="BA104" s="21">
        <v>1</v>
      </c>
      <c r="BB104" s="18" t="s">
        <v>20</v>
      </c>
      <c r="BC104" s="21">
        <v>453050</v>
      </c>
      <c r="BD104" s="19">
        <v>453050</v>
      </c>
    </row>
    <row r="105" spans="1:56" x14ac:dyDescent="0.35">
      <c r="A105" s="38" t="str">
        <v>NCGK0016</v>
      </c>
      <c r="B105" s="31" t="str">
        <f t="shared" si="13"/>
        <v>HAIR NET @100 PCS</v>
      </c>
      <c r="C105" s="31" t="str">
        <f t="shared" si="14"/>
        <v>NCG</v>
      </c>
      <c r="D105" s="39" t="str">
        <f t="shared" si="15"/>
        <v>pack</v>
      </c>
      <c r="E105" s="47">
        <f t="shared" si="16"/>
        <v>55200</v>
      </c>
      <c r="F105" s="48">
        <f t="shared" si="17"/>
        <v>0.25</v>
      </c>
      <c r="G105" s="48" t="str">
        <f t="shared" si="18"/>
        <v>0</v>
      </c>
      <c r="H105" s="48">
        <f t="shared" si="19"/>
        <v>-0.25</v>
      </c>
      <c r="I105" s="40">
        <f t="shared" si="20"/>
        <v>-13800</v>
      </c>
      <c r="J105" s="31" t="str">
        <f t="shared" si="21"/>
        <v>Penurunan IU</v>
      </c>
      <c r="K105" s="42" t="s">
        <v>1022</v>
      </c>
      <c r="O105" s="86" t="s">
        <v>1</v>
      </c>
      <c r="P105" s="87"/>
      <c r="Q105" s="87"/>
      <c r="R105" s="87"/>
      <c r="S105" s="87"/>
      <c r="V105" s="4"/>
      <c r="AG105" s="20">
        <v>11</v>
      </c>
      <c r="AH105" s="18" t="s">
        <v>145</v>
      </c>
      <c r="AI105" s="18" t="s">
        <v>146</v>
      </c>
      <c r="AJ105" s="18" t="s">
        <v>123</v>
      </c>
      <c r="AK105" s="21">
        <v>81</v>
      </c>
      <c r="AL105" s="18" t="s">
        <v>5</v>
      </c>
      <c r="AM105" s="21">
        <v>4604.1441999999997</v>
      </c>
      <c r="AN105" s="19">
        <v>372935.6802</v>
      </c>
      <c r="AP105" s="20" t="s">
        <v>284</v>
      </c>
      <c r="AQ105" s="18" t="s">
        <v>285</v>
      </c>
      <c r="AR105" s="18" t="s">
        <v>165</v>
      </c>
      <c r="AS105" s="21">
        <v>2</v>
      </c>
      <c r="AT105" s="18" t="s">
        <v>20</v>
      </c>
      <c r="AU105" s="21">
        <v>6905.6575000000003</v>
      </c>
      <c r="AV105" s="19">
        <v>13811.315000000001</v>
      </c>
      <c r="AX105" s="20" t="s">
        <v>284</v>
      </c>
      <c r="AY105" s="18" t="s">
        <v>285</v>
      </c>
      <c r="AZ105" s="18" t="s">
        <v>165</v>
      </c>
      <c r="BA105" s="21">
        <v>2</v>
      </c>
      <c r="BB105" s="18" t="s">
        <v>20</v>
      </c>
      <c r="BC105" s="21">
        <v>6905.6575000000003</v>
      </c>
      <c r="BD105" s="19">
        <v>13811.315000000001</v>
      </c>
    </row>
    <row r="106" spans="1:56" x14ac:dyDescent="0.35">
      <c r="A106" s="38" t="str">
        <v>OTH00020</v>
      </c>
      <c r="B106" s="31" t="str">
        <f t="shared" si="13"/>
        <v>GELAS PLASTIK 5002 7,6 X 11CM</v>
      </c>
      <c r="C106" s="31" t="str">
        <f t="shared" si="14"/>
        <v>OTHERS</v>
      </c>
      <c r="D106" s="39" t="str">
        <f t="shared" si="15"/>
        <v>pcs</v>
      </c>
      <c r="E106" s="47">
        <f t="shared" si="16"/>
        <v>14620.63</v>
      </c>
      <c r="F106" s="48">
        <f t="shared" si="17"/>
        <v>1</v>
      </c>
      <c r="G106" s="48" t="str">
        <f t="shared" si="18"/>
        <v>0</v>
      </c>
      <c r="H106" s="48">
        <f t="shared" si="19"/>
        <v>-1</v>
      </c>
      <c r="I106" s="40">
        <f t="shared" si="20"/>
        <v>-14620.63</v>
      </c>
      <c r="J106" s="31" t="str">
        <f t="shared" si="21"/>
        <v>Penurunan IU</v>
      </c>
      <c r="K106" s="42" t="s">
        <v>1024</v>
      </c>
      <c r="O106" s="3"/>
      <c r="Q106" s="9" t="s">
        <v>195</v>
      </c>
      <c r="V106" s="4"/>
      <c r="AG106" s="20">
        <v>12</v>
      </c>
      <c r="AH106" s="18" t="s">
        <v>147</v>
      </c>
      <c r="AI106" s="18" t="s">
        <v>148</v>
      </c>
      <c r="AJ106" s="18" t="s">
        <v>123</v>
      </c>
      <c r="AK106" s="21">
        <v>1.5</v>
      </c>
      <c r="AL106" s="18" t="s">
        <v>5</v>
      </c>
      <c r="AM106" s="21">
        <v>14879.074100000002</v>
      </c>
      <c r="AN106" s="19">
        <v>22318.611150000001</v>
      </c>
      <c r="AP106" s="20" t="s">
        <v>286</v>
      </c>
      <c r="AQ106" s="18" t="s">
        <v>287</v>
      </c>
      <c r="AR106" s="18" t="s">
        <v>165</v>
      </c>
      <c r="AS106" s="21">
        <v>1</v>
      </c>
      <c r="AT106" s="18" t="s">
        <v>20</v>
      </c>
      <c r="AU106" s="21">
        <v>42846.315799999997</v>
      </c>
      <c r="AV106" s="19">
        <v>42846.315799999997</v>
      </c>
      <c r="AX106" s="20" t="s">
        <v>286</v>
      </c>
      <c r="AY106" s="18" t="s">
        <v>287</v>
      </c>
      <c r="AZ106" s="18" t="s">
        <v>165</v>
      </c>
      <c r="BA106" s="21">
        <v>1</v>
      </c>
      <c r="BB106" s="18" t="s">
        <v>20</v>
      </c>
      <c r="BC106" s="21">
        <v>42846.315799999997</v>
      </c>
      <c r="BD106" s="19">
        <v>42846.315799999997</v>
      </c>
    </row>
    <row r="107" spans="1:56" x14ac:dyDescent="0.35">
      <c r="A107" s="38" t="str">
        <v>OTH00061</v>
      </c>
      <c r="B107" s="31" t="str">
        <f t="shared" si="13"/>
        <v>OBENG BB USA</v>
      </c>
      <c r="C107" s="31" t="str">
        <f t="shared" si="14"/>
        <v>OTHERS</v>
      </c>
      <c r="D107" s="39" t="str">
        <f t="shared" si="15"/>
        <v>pcs</v>
      </c>
      <c r="E107" s="47">
        <f t="shared" si="16"/>
        <v>13786</v>
      </c>
      <c r="F107" s="48">
        <f t="shared" si="17"/>
        <v>2</v>
      </c>
      <c r="G107" s="48" t="str">
        <f t="shared" si="18"/>
        <v>0</v>
      </c>
      <c r="H107" s="48">
        <f t="shared" si="19"/>
        <v>-2</v>
      </c>
      <c r="I107" s="40">
        <f t="shared" si="20"/>
        <v>-27572</v>
      </c>
      <c r="J107" s="31" t="str">
        <f t="shared" si="21"/>
        <v>Penurunan IU</v>
      </c>
      <c r="K107" s="42" t="s">
        <v>1025</v>
      </c>
      <c r="O107" s="86" t="s">
        <v>10</v>
      </c>
      <c r="P107" s="87" t="s">
        <v>11</v>
      </c>
      <c r="Q107" t="s">
        <v>196</v>
      </c>
      <c r="V107" s="4"/>
      <c r="AG107" s="20">
        <v>13</v>
      </c>
      <c r="AH107" s="18" t="s">
        <v>265</v>
      </c>
      <c r="AI107" s="18" t="s">
        <v>266</v>
      </c>
      <c r="AJ107" s="18" t="s">
        <v>151</v>
      </c>
      <c r="AK107" s="21">
        <v>1</v>
      </c>
      <c r="AL107" s="18" t="s">
        <v>267</v>
      </c>
      <c r="AM107" s="21">
        <v>25293.35</v>
      </c>
      <c r="AN107" s="19">
        <v>25293.35</v>
      </c>
      <c r="AP107" s="20" t="s">
        <v>288</v>
      </c>
      <c r="AQ107" s="18" t="s">
        <v>289</v>
      </c>
      <c r="AR107" s="18" t="s">
        <v>165</v>
      </c>
      <c r="AS107" s="21">
        <v>1</v>
      </c>
      <c r="AT107" s="18" t="s">
        <v>20</v>
      </c>
      <c r="AU107" s="21">
        <v>11629.880622724999</v>
      </c>
      <c r="AV107" s="19">
        <v>11629.880622999999</v>
      </c>
      <c r="AX107" s="20" t="s">
        <v>288</v>
      </c>
      <c r="AY107" s="18" t="s">
        <v>289</v>
      </c>
      <c r="AZ107" s="18" t="s">
        <v>165</v>
      </c>
      <c r="BA107" s="21">
        <v>1</v>
      </c>
      <c r="BB107" s="18" t="s">
        <v>20</v>
      </c>
      <c r="BC107" s="21">
        <v>11629.880622724999</v>
      </c>
      <c r="BD107" s="19">
        <v>11629.880622999999</v>
      </c>
    </row>
    <row r="108" spans="1:56" x14ac:dyDescent="0.35">
      <c r="A108" s="38" t="str">
        <v>KW000003</v>
      </c>
      <c r="B108" s="31" t="str">
        <f t="shared" si="13"/>
        <v>KERANJANG SAYUR</v>
      </c>
      <c r="C108" s="31" t="str">
        <f t="shared" si="14"/>
        <v>KITCHENWARE TOOLS</v>
      </c>
      <c r="D108" s="39" t="str">
        <f t="shared" si="15"/>
        <v>pcs</v>
      </c>
      <c r="E108" s="47">
        <f t="shared" si="16"/>
        <v>23194.6</v>
      </c>
      <c r="F108" s="48">
        <f t="shared" si="17"/>
        <v>1</v>
      </c>
      <c r="G108" s="48" t="str">
        <f t="shared" si="18"/>
        <v>0</v>
      </c>
      <c r="H108" s="48">
        <f t="shared" si="19"/>
        <v>-1</v>
      </c>
      <c r="I108" s="40">
        <f t="shared" si="20"/>
        <v>-23194.6</v>
      </c>
      <c r="J108" s="31" t="str">
        <f t="shared" si="21"/>
        <v>Penurunan IU</v>
      </c>
      <c r="K108" s="42" t="s">
        <v>1026</v>
      </c>
      <c r="O108" s="86" t="s">
        <v>16</v>
      </c>
      <c r="P108" s="87" t="s">
        <v>11</v>
      </c>
      <c r="Q108" t="s">
        <v>17</v>
      </c>
      <c r="V108" s="4"/>
      <c r="AG108" s="20">
        <v>14</v>
      </c>
      <c r="AH108" s="18" t="s">
        <v>268</v>
      </c>
      <c r="AI108" s="18" t="s">
        <v>269</v>
      </c>
      <c r="AJ108" s="18" t="s">
        <v>151</v>
      </c>
      <c r="AK108" s="21">
        <v>1</v>
      </c>
      <c r="AL108" s="18" t="s">
        <v>87</v>
      </c>
      <c r="AM108" s="21">
        <v>5500</v>
      </c>
      <c r="AN108" s="19">
        <v>5500</v>
      </c>
      <c r="AP108" s="20" t="s">
        <v>176</v>
      </c>
      <c r="AQ108" s="18" t="s">
        <v>177</v>
      </c>
      <c r="AR108" s="18" t="s">
        <v>165</v>
      </c>
      <c r="AS108" s="21">
        <v>3</v>
      </c>
      <c r="AT108" s="18" t="s">
        <v>20</v>
      </c>
      <c r="AU108" s="21">
        <v>10743.434527270705</v>
      </c>
      <c r="AV108" s="19">
        <v>32230.303582</v>
      </c>
      <c r="AX108" s="20" t="s">
        <v>176</v>
      </c>
      <c r="AY108" s="18" t="s">
        <v>177</v>
      </c>
      <c r="AZ108" s="18" t="s">
        <v>165</v>
      </c>
      <c r="BA108" s="21">
        <v>3</v>
      </c>
      <c r="BB108" s="18" t="s">
        <v>20</v>
      </c>
      <c r="BC108" s="21">
        <v>10743.434527270705</v>
      </c>
      <c r="BD108" s="19">
        <v>32230.303582</v>
      </c>
    </row>
    <row r="109" spans="1:56" x14ac:dyDescent="0.35">
      <c r="A109" s="38" t="str">
        <v>KW000025</v>
      </c>
      <c r="B109" s="31" t="str">
        <f t="shared" si="13"/>
        <v>GUNTING DAPUR</v>
      </c>
      <c r="C109" s="31" t="str">
        <f t="shared" si="14"/>
        <v>KITCHENWARE TOOLS</v>
      </c>
      <c r="D109" s="39" t="str">
        <f t="shared" si="15"/>
        <v>pcs</v>
      </c>
      <c r="E109" s="47">
        <f t="shared" si="16"/>
        <v>24650</v>
      </c>
      <c r="F109" s="48">
        <f t="shared" si="17"/>
        <v>1</v>
      </c>
      <c r="G109" s="48" t="str">
        <f t="shared" si="18"/>
        <v>0</v>
      </c>
      <c r="H109" s="48">
        <f t="shared" si="19"/>
        <v>-1</v>
      </c>
      <c r="I109" s="40">
        <f t="shared" si="20"/>
        <v>-24650</v>
      </c>
      <c r="J109" s="31" t="str">
        <f t="shared" si="21"/>
        <v>Penurunan IU</v>
      </c>
      <c r="K109" s="42" t="s">
        <v>1024</v>
      </c>
      <c r="O109" s="86" t="s">
        <v>21</v>
      </c>
      <c r="P109" s="87" t="s">
        <v>11</v>
      </c>
      <c r="Q109" t="s">
        <v>22</v>
      </c>
      <c r="V109" s="4"/>
      <c r="AG109" s="20">
        <v>15</v>
      </c>
      <c r="AH109" s="18" t="s">
        <v>154</v>
      </c>
      <c r="AI109" s="18" t="s">
        <v>155</v>
      </c>
      <c r="AJ109" s="18" t="s">
        <v>151</v>
      </c>
      <c r="AK109" s="21">
        <v>36</v>
      </c>
      <c r="AL109" s="18" t="s">
        <v>20</v>
      </c>
      <c r="AM109" s="21">
        <v>986.10040000000004</v>
      </c>
      <c r="AN109" s="19">
        <v>35499.614399999999</v>
      </c>
      <c r="AP109" s="20" t="s">
        <v>290</v>
      </c>
      <c r="AQ109" s="18" t="s">
        <v>291</v>
      </c>
      <c r="AR109" s="18" t="s">
        <v>165</v>
      </c>
      <c r="AS109" s="21">
        <v>1</v>
      </c>
      <c r="AT109" s="18" t="s">
        <v>20</v>
      </c>
      <c r="AU109" s="21">
        <v>12665</v>
      </c>
      <c r="AV109" s="19">
        <v>12665</v>
      </c>
      <c r="AX109" s="20" t="s">
        <v>290</v>
      </c>
      <c r="AY109" s="18" t="s">
        <v>291</v>
      </c>
      <c r="AZ109" s="18" t="s">
        <v>165</v>
      </c>
      <c r="BA109" s="21">
        <v>1</v>
      </c>
      <c r="BB109" s="18" t="s">
        <v>20</v>
      </c>
      <c r="BC109" s="21">
        <v>12665</v>
      </c>
      <c r="BD109" s="19">
        <v>12665</v>
      </c>
    </row>
    <row r="110" spans="1:56" x14ac:dyDescent="0.35">
      <c r="A110" s="38" t="str">
        <v>KW000049</v>
      </c>
      <c r="B110" s="31" t="str">
        <f t="shared" si="13"/>
        <v>GAS TORCH 8612</v>
      </c>
      <c r="C110" s="31" t="str">
        <f t="shared" si="14"/>
        <v>KITCHENWARE TOOLS</v>
      </c>
      <c r="D110" s="39" t="str">
        <f t="shared" si="15"/>
        <v>pcs</v>
      </c>
      <c r="E110" s="47">
        <f t="shared" si="16"/>
        <v>41934.239999999998</v>
      </c>
      <c r="F110" s="48">
        <f t="shared" si="17"/>
        <v>7</v>
      </c>
      <c r="G110" s="48" t="str">
        <f t="shared" si="18"/>
        <v>0</v>
      </c>
      <c r="H110" s="48">
        <f t="shared" si="19"/>
        <v>-7</v>
      </c>
      <c r="I110" s="40">
        <f t="shared" si="20"/>
        <v>-293539.68</v>
      </c>
      <c r="J110" s="31" t="str">
        <f t="shared" si="21"/>
        <v>Penurunan IU</v>
      </c>
      <c r="K110" s="42" t="s">
        <v>1027</v>
      </c>
      <c r="O110" s="86" t="s">
        <v>26</v>
      </c>
      <c r="P110" s="87" t="s">
        <v>11</v>
      </c>
      <c r="Q110" t="s">
        <v>197</v>
      </c>
      <c r="V110" s="4"/>
      <c r="AG110" s="20">
        <v>16</v>
      </c>
      <c r="AH110" s="18" t="s">
        <v>270</v>
      </c>
      <c r="AI110" s="18" t="s">
        <v>271</v>
      </c>
      <c r="AJ110" s="18" t="s">
        <v>151</v>
      </c>
      <c r="AK110" s="21">
        <v>4</v>
      </c>
      <c r="AL110" s="18" t="s">
        <v>20</v>
      </c>
      <c r="AM110" s="21">
        <v>36300</v>
      </c>
      <c r="AN110" s="19">
        <v>145200</v>
      </c>
      <c r="AP110" s="20" t="s">
        <v>292</v>
      </c>
      <c r="AQ110" s="18" t="s">
        <v>293</v>
      </c>
      <c r="AR110" s="18" t="s">
        <v>165</v>
      </c>
      <c r="AS110" s="21">
        <v>1</v>
      </c>
      <c r="AT110" s="18" t="s">
        <v>20</v>
      </c>
      <c r="AU110" s="21">
        <v>16766.669999999998</v>
      </c>
      <c r="AV110" s="19">
        <v>16766.669999999998</v>
      </c>
      <c r="AX110" s="20" t="s">
        <v>292</v>
      </c>
      <c r="AY110" s="18" t="s">
        <v>293</v>
      </c>
      <c r="AZ110" s="18" t="s">
        <v>165</v>
      </c>
      <c r="BA110" s="21">
        <v>1</v>
      </c>
      <c r="BB110" s="18" t="s">
        <v>20</v>
      </c>
      <c r="BC110" s="21">
        <v>16766.669999999998</v>
      </c>
      <c r="BD110" s="19">
        <v>16766.669999999998</v>
      </c>
    </row>
    <row r="111" spans="1:56" x14ac:dyDescent="0.35">
      <c r="A111" s="38" t="str">
        <v>KW00066</v>
      </c>
      <c r="B111" s="31" t="str">
        <f t="shared" si="13"/>
        <v>SPATULA SILIKON - HITAM</v>
      </c>
      <c r="C111" s="31" t="str">
        <f t="shared" si="14"/>
        <v>KITCHENWARE TOOLS</v>
      </c>
      <c r="D111" s="39" t="str">
        <f t="shared" si="15"/>
        <v>pcs</v>
      </c>
      <c r="E111" s="47">
        <f t="shared" si="16"/>
        <v>16850</v>
      </c>
      <c r="F111" s="48">
        <f t="shared" si="17"/>
        <v>1</v>
      </c>
      <c r="G111" s="48" t="str">
        <f t="shared" si="18"/>
        <v>0</v>
      </c>
      <c r="H111" s="48">
        <f t="shared" si="19"/>
        <v>-1</v>
      </c>
      <c r="I111" s="40">
        <f t="shared" si="20"/>
        <v>-16850</v>
      </c>
      <c r="J111" s="31" t="str">
        <f t="shared" si="21"/>
        <v>Penurunan IU</v>
      </c>
      <c r="K111" s="42" t="s">
        <v>1024</v>
      </c>
      <c r="O111" s="86" t="s">
        <v>31</v>
      </c>
      <c r="P111" s="87" t="s">
        <v>11</v>
      </c>
      <c r="Q111" t="s">
        <v>198</v>
      </c>
      <c r="V111" s="4"/>
      <c r="AG111" s="20">
        <v>17</v>
      </c>
      <c r="AH111" s="18" t="s">
        <v>156</v>
      </c>
      <c r="AI111" s="18" t="s">
        <v>157</v>
      </c>
      <c r="AJ111" s="18" t="s">
        <v>151</v>
      </c>
      <c r="AK111" s="21">
        <v>8</v>
      </c>
      <c r="AL111" s="18" t="s">
        <v>20</v>
      </c>
      <c r="AM111" s="21">
        <v>2042.27</v>
      </c>
      <c r="AN111" s="19">
        <v>16338.16</v>
      </c>
      <c r="AP111" s="20" t="s">
        <v>294</v>
      </c>
      <c r="AQ111" s="18" t="s">
        <v>295</v>
      </c>
      <c r="AR111" s="18" t="s">
        <v>165</v>
      </c>
      <c r="AS111" s="21">
        <v>1</v>
      </c>
      <c r="AT111" s="18" t="s">
        <v>20</v>
      </c>
      <c r="AU111" s="21">
        <v>15501.836199999998</v>
      </c>
      <c r="AV111" s="19">
        <v>15501.8362</v>
      </c>
      <c r="AX111" s="20" t="s">
        <v>294</v>
      </c>
      <c r="AY111" s="18" t="s">
        <v>295</v>
      </c>
      <c r="AZ111" s="18" t="s">
        <v>165</v>
      </c>
      <c r="BA111" s="21">
        <v>1</v>
      </c>
      <c r="BB111" s="18" t="s">
        <v>20</v>
      </c>
      <c r="BC111" s="21">
        <v>15501.836199999998</v>
      </c>
      <c r="BD111" s="19">
        <v>15501.8362</v>
      </c>
    </row>
    <row r="112" spans="1:56" x14ac:dyDescent="0.35">
      <c r="A112" s="38" t="str">
        <v>KW00069</v>
      </c>
      <c r="B112" s="31" t="str">
        <f t="shared" si="13"/>
        <v>SAUCE BOTTLE</v>
      </c>
      <c r="C112" s="31" t="str">
        <f t="shared" si="14"/>
        <v>KITCHENWARE TOOLS</v>
      </c>
      <c r="D112" s="39" t="str">
        <f t="shared" si="15"/>
        <v>pcs</v>
      </c>
      <c r="E112" s="47">
        <f t="shared" si="16"/>
        <v>18772.62</v>
      </c>
      <c r="F112" s="48">
        <f t="shared" si="17"/>
        <v>5</v>
      </c>
      <c r="G112" s="48" t="str">
        <f t="shared" si="18"/>
        <v>0</v>
      </c>
      <c r="H112" s="48">
        <f t="shared" si="19"/>
        <v>-5</v>
      </c>
      <c r="I112" s="40">
        <f t="shared" si="20"/>
        <v>-93863.099999999991</v>
      </c>
      <c r="J112" s="31" t="str">
        <f t="shared" si="21"/>
        <v>Penurunan IU</v>
      </c>
      <c r="K112" s="42" t="s">
        <v>1024</v>
      </c>
      <c r="O112" s="86" t="s">
        <v>35</v>
      </c>
      <c r="P112" s="87" t="s">
        <v>11</v>
      </c>
      <c r="Q112" t="s">
        <v>199</v>
      </c>
      <c r="V112" s="4"/>
      <c r="AG112" s="20">
        <v>18</v>
      </c>
      <c r="AH112" s="18" t="s">
        <v>272</v>
      </c>
      <c r="AI112" s="18" t="s">
        <v>273</v>
      </c>
      <c r="AJ112" s="18" t="s">
        <v>151</v>
      </c>
      <c r="AK112" s="21">
        <v>7.5</v>
      </c>
      <c r="AL112" s="18" t="s">
        <v>5</v>
      </c>
      <c r="AM112" s="21">
        <v>2560.3334</v>
      </c>
      <c r="AN112" s="19">
        <v>19202.500499999998</v>
      </c>
      <c r="AP112" s="20" t="s">
        <v>296</v>
      </c>
      <c r="AQ112" s="18" t="s">
        <v>297</v>
      </c>
      <c r="AR112" s="18" t="s">
        <v>165</v>
      </c>
      <c r="AS112" s="21">
        <v>5</v>
      </c>
      <c r="AT112" s="18" t="s">
        <v>20</v>
      </c>
      <c r="AU112" s="21">
        <v>18704.660599999999</v>
      </c>
      <c r="AV112" s="19">
        <v>93523.303</v>
      </c>
      <c r="AX112" s="20" t="s">
        <v>296</v>
      </c>
      <c r="AY112" s="18" t="s">
        <v>297</v>
      </c>
      <c r="AZ112" s="18" t="s">
        <v>165</v>
      </c>
      <c r="BA112" s="21">
        <v>5</v>
      </c>
      <c r="BB112" s="18" t="s">
        <v>20</v>
      </c>
      <c r="BC112" s="21">
        <v>18704.660599999999</v>
      </c>
      <c r="BD112" s="19">
        <v>93523.303</v>
      </c>
    </row>
    <row r="113" spans="1:56" x14ac:dyDescent="0.35">
      <c r="A113" s="38" t="str">
        <v>KW00095</v>
      </c>
      <c r="B113" s="31" t="str">
        <f t="shared" si="13"/>
        <v>SEALWARE B 47 PERSEGI</v>
      </c>
      <c r="C113" s="31" t="str">
        <f t="shared" si="14"/>
        <v>KITCHENWARE TOOLS</v>
      </c>
      <c r="D113" s="39" t="str">
        <f t="shared" si="15"/>
        <v>pcs</v>
      </c>
      <c r="E113" s="47">
        <f t="shared" si="16"/>
        <v>9945</v>
      </c>
      <c r="F113" s="48">
        <f t="shared" si="17"/>
        <v>2</v>
      </c>
      <c r="G113" s="48" t="str">
        <f t="shared" si="18"/>
        <v>0</v>
      </c>
      <c r="H113" s="48">
        <f t="shared" si="19"/>
        <v>-2</v>
      </c>
      <c r="I113" s="40">
        <f t="shared" si="20"/>
        <v>-19890</v>
      </c>
      <c r="J113" s="31" t="str">
        <f t="shared" si="21"/>
        <v>Penurunan IU</v>
      </c>
      <c r="K113" s="42" t="s">
        <v>1024</v>
      </c>
      <c r="O113" s="3"/>
      <c r="V113" s="4"/>
      <c r="AG113" s="20">
        <v>19</v>
      </c>
      <c r="AH113" s="18" t="s">
        <v>274</v>
      </c>
      <c r="AI113" s="18" t="s">
        <v>275</v>
      </c>
      <c r="AJ113" s="18" t="s">
        <v>151</v>
      </c>
      <c r="AK113" s="21">
        <v>1.9</v>
      </c>
      <c r="AL113" s="18" t="s">
        <v>160</v>
      </c>
      <c r="AM113" s="21">
        <v>20320</v>
      </c>
      <c r="AN113" s="19">
        <v>38608</v>
      </c>
      <c r="AP113" s="20" t="s">
        <v>193</v>
      </c>
      <c r="AQ113" s="18" t="s">
        <v>194</v>
      </c>
      <c r="AR113" s="18" t="s">
        <v>192</v>
      </c>
      <c r="AS113" s="21">
        <v>4</v>
      </c>
      <c r="AT113" s="18" t="s">
        <v>20</v>
      </c>
      <c r="AU113" s="21">
        <v>3590</v>
      </c>
      <c r="AV113" s="19">
        <v>14360</v>
      </c>
      <c r="AX113" s="20" t="s">
        <v>193</v>
      </c>
      <c r="AY113" s="18" t="s">
        <v>194</v>
      </c>
      <c r="AZ113" s="18" t="s">
        <v>192</v>
      </c>
      <c r="BA113" s="21">
        <v>4</v>
      </c>
      <c r="BB113" s="18" t="s">
        <v>20</v>
      </c>
      <c r="BC113" s="21">
        <v>3590</v>
      </c>
      <c r="BD113" s="19">
        <v>14360</v>
      </c>
    </row>
    <row r="114" spans="1:56" ht="15" thickBot="1" x14ac:dyDescent="0.4">
      <c r="A114" s="38" t="str">
        <v>TCT00003</v>
      </c>
      <c r="B114" s="31" t="str">
        <f t="shared" si="13"/>
        <v>KOREA CUP WINEGELAS STAINLESS STEEL SUS304 500ML</v>
      </c>
      <c r="C114" s="31" t="str">
        <f t="shared" si="14"/>
        <v>CUTELERIES</v>
      </c>
      <c r="D114" s="39" t="str">
        <f t="shared" si="15"/>
        <v>pcs</v>
      </c>
      <c r="E114" s="47">
        <f t="shared" si="16"/>
        <v>11541.67</v>
      </c>
      <c r="F114" s="48">
        <f t="shared" si="17"/>
        <v>71</v>
      </c>
      <c r="G114" s="48" t="str">
        <f t="shared" si="18"/>
        <v>0</v>
      </c>
      <c r="H114" s="48">
        <f t="shared" si="19"/>
        <v>-71</v>
      </c>
      <c r="I114" s="40">
        <f t="shared" si="20"/>
        <v>-819458.57</v>
      </c>
      <c r="J114" s="31" t="str">
        <f t="shared" si="21"/>
        <v>Penurunan IU</v>
      </c>
      <c r="K114" s="42" t="s">
        <v>1028</v>
      </c>
      <c r="O114" s="3" t="s">
        <v>42</v>
      </c>
      <c r="P114" t="s">
        <v>43</v>
      </c>
      <c r="Q114" t="s">
        <v>44</v>
      </c>
      <c r="R114" t="s">
        <v>45</v>
      </c>
      <c r="S114" t="s">
        <v>46</v>
      </c>
      <c r="T114" t="s">
        <v>47</v>
      </c>
      <c r="U114" t="s">
        <v>48</v>
      </c>
      <c r="V114" s="4" t="s">
        <v>49</v>
      </c>
      <c r="AG114" s="20">
        <v>20</v>
      </c>
      <c r="AH114" s="18" t="s">
        <v>158</v>
      </c>
      <c r="AI114" s="18" t="s">
        <v>159</v>
      </c>
      <c r="AJ114" s="18" t="s">
        <v>151</v>
      </c>
      <c r="AK114" s="21">
        <v>20</v>
      </c>
      <c r="AL114" s="18" t="s">
        <v>160</v>
      </c>
      <c r="AM114" s="21">
        <v>16176.613399999998</v>
      </c>
      <c r="AN114" s="19">
        <v>323532.26799999998</v>
      </c>
      <c r="AP114" s="22" t="s">
        <v>298</v>
      </c>
      <c r="AQ114" s="23" t="s">
        <v>299</v>
      </c>
      <c r="AR114" s="23" t="s">
        <v>192</v>
      </c>
      <c r="AS114" s="23">
        <v>1</v>
      </c>
      <c r="AT114" s="23" t="s">
        <v>20</v>
      </c>
      <c r="AU114" s="23">
        <v>32435.483870960008</v>
      </c>
      <c r="AV114" s="24">
        <v>32435.483871</v>
      </c>
      <c r="AX114" s="22" t="s">
        <v>298</v>
      </c>
      <c r="AY114" s="23" t="s">
        <v>299</v>
      </c>
      <c r="AZ114" s="23" t="s">
        <v>192</v>
      </c>
      <c r="BA114" s="23">
        <v>1</v>
      </c>
      <c r="BB114" s="23" t="s">
        <v>20</v>
      </c>
      <c r="BC114" s="23">
        <v>32435.483870960008</v>
      </c>
      <c r="BD114" s="24">
        <v>32435.483871</v>
      </c>
    </row>
    <row r="115" spans="1:56" ht="15" thickTop="1" x14ac:dyDescent="0.35">
      <c r="A115" s="38" t="str">
        <v>TCT00004</v>
      </c>
      <c r="B115" s="31" t="str">
        <f t="shared" si="13"/>
        <v>MTE SUMPIT STAINLESS SUS304</v>
      </c>
      <c r="C115" s="31" t="str">
        <f t="shared" si="14"/>
        <v>CUTELERIES</v>
      </c>
      <c r="D115" s="39" t="str">
        <f t="shared" si="15"/>
        <v>pcs</v>
      </c>
      <c r="E115" s="47">
        <f t="shared" si="16"/>
        <v>1570.23</v>
      </c>
      <c r="F115" s="48">
        <f t="shared" si="17"/>
        <v>4</v>
      </c>
      <c r="G115" s="48" t="str">
        <f t="shared" si="18"/>
        <v>0</v>
      </c>
      <c r="H115" s="48">
        <f t="shared" si="19"/>
        <v>-4</v>
      </c>
      <c r="I115" s="40">
        <f t="shared" si="20"/>
        <v>-6280.92</v>
      </c>
      <c r="J115" s="31" t="str">
        <f t="shared" si="21"/>
        <v>Penurunan IU</v>
      </c>
      <c r="K115" s="42" t="s">
        <v>1027</v>
      </c>
      <c r="O115" s="3">
        <v>1</v>
      </c>
      <c r="P115" t="s">
        <v>163</v>
      </c>
      <c r="Q115" t="s">
        <v>164</v>
      </c>
      <c r="R115" t="s">
        <v>165</v>
      </c>
      <c r="S115" s="10">
        <v>1</v>
      </c>
      <c r="T115" t="s">
        <v>20</v>
      </c>
      <c r="U115" s="10">
        <v>23194.6</v>
      </c>
      <c r="V115" s="4">
        <v>23194.6</v>
      </c>
      <c r="AG115" s="20">
        <v>21</v>
      </c>
      <c r="AH115" s="18" t="s">
        <v>161</v>
      </c>
      <c r="AI115" s="18" t="s">
        <v>162</v>
      </c>
      <c r="AJ115" s="18" t="s">
        <v>151</v>
      </c>
      <c r="AK115" s="21">
        <v>0.4</v>
      </c>
      <c r="AL115" s="18" t="s">
        <v>5</v>
      </c>
      <c r="AM115" s="21">
        <v>3776.1725000000001</v>
      </c>
      <c r="AN115" s="19">
        <v>1510.4690000000001</v>
      </c>
      <c r="AX115" s="7" t="s">
        <v>2</v>
      </c>
      <c r="AY115" s="1" t="s">
        <v>3</v>
      </c>
      <c r="AZ115" s="1" t="s">
        <v>4</v>
      </c>
      <c r="BA115" s="8">
        <v>2</v>
      </c>
      <c r="BB115" s="1" t="s">
        <v>5</v>
      </c>
      <c r="BC115" s="8">
        <v>21000</v>
      </c>
      <c r="BD115" s="2">
        <v>42000</v>
      </c>
    </row>
    <row r="116" spans="1:56" x14ac:dyDescent="0.35">
      <c r="A116" s="38" t="str">
        <v>TCT00008</v>
      </c>
      <c r="B116" s="31" t="str">
        <f t="shared" si="13"/>
        <v>SENDOK KOREA STAINLESS SUJEO SUS304</v>
      </c>
      <c r="C116" s="31" t="str">
        <f t="shared" si="14"/>
        <v>CUTELERIES</v>
      </c>
      <c r="D116" s="39" t="str">
        <f t="shared" si="15"/>
        <v>pcs</v>
      </c>
      <c r="E116" s="47">
        <f t="shared" si="16"/>
        <v>3391.72</v>
      </c>
      <c r="F116" s="48">
        <f t="shared" si="17"/>
        <v>6</v>
      </c>
      <c r="G116" s="48" t="str">
        <f t="shared" si="18"/>
        <v>0</v>
      </c>
      <c r="H116" s="48">
        <f t="shared" si="19"/>
        <v>-6</v>
      </c>
      <c r="I116" s="40">
        <f t="shared" si="20"/>
        <v>-20350.32</v>
      </c>
      <c r="J116" s="31" t="str">
        <f t="shared" si="21"/>
        <v>Penurunan IU</v>
      </c>
      <c r="K116" s="42" t="s">
        <v>1029</v>
      </c>
      <c r="O116" s="3">
        <v>2</v>
      </c>
      <c r="P116" t="s">
        <v>166</v>
      </c>
      <c r="Q116" t="s">
        <v>167</v>
      </c>
      <c r="R116" t="s">
        <v>165</v>
      </c>
      <c r="S116" s="10">
        <v>1</v>
      </c>
      <c r="T116" t="s">
        <v>20</v>
      </c>
      <c r="U116" s="10">
        <v>24650</v>
      </c>
      <c r="V116" s="4">
        <v>24650</v>
      </c>
      <c r="AG116" s="20">
        <v>22</v>
      </c>
      <c r="AH116" s="18" t="s">
        <v>276</v>
      </c>
      <c r="AI116" s="18" t="s">
        <v>277</v>
      </c>
      <c r="AJ116" s="18" t="s">
        <v>151</v>
      </c>
      <c r="AK116" s="18">
        <v>5</v>
      </c>
      <c r="AL116" s="18" t="s">
        <v>52</v>
      </c>
      <c r="AM116" s="18">
        <v>1756.05</v>
      </c>
      <c r="AN116" s="19">
        <v>8780.25</v>
      </c>
      <c r="AX116" s="3" t="s">
        <v>7</v>
      </c>
      <c r="AY116" t="s">
        <v>8</v>
      </c>
      <c r="AZ116" t="s">
        <v>4</v>
      </c>
      <c r="BA116" s="10">
        <v>2</v>
      </c>
      <c r="BB116" t="s">
        <v>9</v>
      </c>
      <c r="BC116" s="10">
        <v>133200</v>
      </c>
      <c r="BD116" s="4">
        <v>266400</v>
      </c>
    </row>
    <row r="117" spans="1:56" ht="15" thickBot="1" x14ac:dyDescent="0.4">
      <c r="A117" s="43" t="str">
        <v>TGW00003</v>
      </c>
      <c r="B117" s="32" t="str">
        <f t="shared" si="13"/>
        <v>MANGKOK KERAMIK/ KOREAN CERAMIK BOWL 14 CM</v>
      </c>
      <c r="C117" s="32" t="str">
        <f t="shared" si="14"/>
        <v>TABLEWARE</v>
      </c>
      <c r="D117" s="49" t="str">
        <f t="shared" si="15"/>
        <v>pcs</v>
      </c>
      <c r="E117" s="50">
        <f t="shared" si="16"/>
        <v>138557.64000000001</v>
      </c>
      <c r="F117" s="51">
        <f t="shared" si="17"/>
        <v>3</v>
      </c>
      <c r="G117" s="51" t="str">
        <f t="shared" si="18"/>
        <v>0</v>
      </c>
      <c r="H117" s="51">
        <f t="shared" si="19"/>
        <v>-3</v>
      </c>
      <c r="I117" s="52">
        <f t="shared" si="20"/>
        <v>-415672.92000000004</v>
      </c>
      <c r="J117" s="32" t="str">
        <f t="shared" si="21"/>
        <v>Penurunan IU</v>
      </c>
      <c r="K117" s="46" t="s">
        <v>1027</v>
      </c>
      <c r="O117" s="3">
        <v>3</v>
      </c>
      <c r="P117" t="s">
        <v>168</v>
      </c>
      <c r="Q117" t="s">
        <v>169</v>
      </c>
      <c r="R117" t="s">
        <v>165</v>
      </c>
      <c r="S117" s="10">
        <v>7</v>
      </c>
      <c r="T117" t="s">
        <v>20</v>
      </c>
      <c r="U117" s="10">
        <v>41934.239000000001</v>
      </c>
      <c r="V117" s="4">
        <v>293539.67300000001</v>
      </c>
      <c r="AG117" s="22" t="s">
        <v>223</v>
      </c>
      <c r="AH117" s="23" t="s">
        <v>223</v>
      </c>
      <c r="AI117" s="23" t="s">
        <v>223</v>
      </c>
      <c r="AJ117" s="23" t="s">
        <v>223</v>
      </c>
      <c r="AK117" s="23" t="s">
        <v>223</v>
      </c>
      <c r="AL117" s="23" t="s">
        <v>223</v>
      </c>
      <c r="AM117" s="23" t="s">
        <v>224</v>
      </c>
      <c r="AN117" s="24">
        <v>6021950.2753500007</v>
      </c>
      <c r="AX117" s="3" t="s">
        <v>13</v>
      </c>
      <c r="AY117" t="s">
        <v>14</v>
      </c>
      <c r="AZ117" t="s">
        <v>4</v>
      </c>
      <c r="BA117" s="10">
        <v>0.04</v>
      </c>
      <c r="BB117" t="s">
        <v>15</v>
      </c>
      <c r="BC117" s="10">
        <v>77700</v>
      </c>
      <c r="BD117" s="4">
        <v>3108</v>
      </c>
    </row>
    <row r="118" spans="1:56" ht="15" thickTop="1" x14ac:dyDescent="0.35">
      <c r="O118" s="3">
        <v>4</v>
      </c>
      <c r="P118" t="s">
        <v>170</v>
      </c>
      <c r="Q118" t="s">
        <v>171</v>
      </c>
      <c r="R118" t="s">
        <v>165</v>
      </c>
      <c r="S118" s="10">
        <v>1</v>
      </c>
      <c r="T118" t="s">
        <v>20</v>
      </c>
      <c r="U118" s="10">
        <v>16850</v>
      </c>
      <c r="V118" s="4">
        <v>16850</v>
      </c>
      <c r="AX118" s="3" t="s">
        <v>18</v>
      </c>
      <c r="AY118" t="s">
        <v>19</v>
      </c>
      <c r="AZ118" t="s">
        <v>4</v>
      </c>
      <c r="BA118" s="10">
        <v>0.2</v>
      </c>
      <c r="BB118" t="s">
        <v>20</v>
      </c>
      <c r="BC118" s="10">
        <v>151400</v>
      </c>
      <c r="BD118" s="4">
        <v>30280</v>
      </c>
    </row>
    <row r="119" spans="1:56" ht="15" thickBot="1" x14ac:dyDescent="0.4">
      <c r="O119" s="3">
        <v>5</v>
      </c>
      <c r="P119" t="s">
        <v>173</v>
      </c>
      <c r="Q119" t="s">
        <v>174</v>
      </c>
      <c r="R119" t="s">
        <v>165</v>
      </c>
      <c r="S119" s="10">
        <v>5</v>
      </c>
      <c r="T119" t="s">
        <v>20</v>
      </c>
      <c r="U119" s="10">
        <v>18772.62380895</v>
      </c>
      <c r="V119" s="4">
        <v>93863.119044999999</v>
      </c>
      <c r="AX119" s="3" t="s">
        <v>23</v>
      </c>
      <c r="AY119" t="s">
        <v>24</v>
      </c>
      <c r="AZ119" t="s">
        <v>4</v>
      </c>
      <c r="BA119" s="10">
        <v>1.7</v>
      </c>
      <c r="BB119" t="s">
        <v>25</v>
      </c>
      <c r="BC119" s="10">
        <v>17780.419999999998</v>
      </c>
      <c r="BD119" s="4">
        <v>30226.714</v>
      </c>
    </row>
    <row r="120" spans="1:56" x14ac:dyDescent="0.35">
      <c r="O120" s="3">
        <v>6</v>
      </c>
      <c r="P120" t="s">
        <v>176</v>
      </c>
      <c r="Q120" t="s">
        <v>177</v>
      </c>
      <c r="R120" t="s">
        <v>165</v>
      </c>
      <c r="S120" s="10">
        <v>2</v>
      </c>
      <c r="T120" t="s">
        <v>20</v>
      </c>
      <c r="U120" s="10">
        <v>10743.434527270705</v>
      </c>
      <c r="V120" s="4">
        <v>21486.869054999999</v>
      </c>
      <c r="AG120" s="84" t="s">
        <v>0</v>
      </c>
      <c r="AH120" s="85"/>
      <c r="AI120" s="85"/>
      <c r="AJ120" s="85"/>
      <c r="AK120" s="85"/>
      <c r="AL120" s="16"/>
      <c r="AM120" s="16"/>
      <c r="AN120" s="17"/>
      <c r="AX120" s="3" t="s">
        <v>28</v>
      </c>
      <c r="AY120" t="s">
        <v>29</v>
      </c>
      <c r="AZ120" t="s">
        <v>4</v>
      </c>
      <c r="BA120" s="10">
        <v>5</v>
      </c>
      <c r="BB120" t="s">
        <v>30</v>
      </c>
      <c r="BC120" s="10">
        <v>19746.645700000001</v>
      </c>
      <c r="BD120" s="4">
        <v>98733.228499999997</v>
      </c>
    </row>
    <row r="121" spans="1:56" x14ac:dyDescent="0.35">
      <c r="O121" s="3">
        <v>7</v>
      </c>
      <c r="P121" t="s">
        <v>178</v>
      </c>
      <c r="Q121" t="s">
        <v>179</v>
      </c>
      <c r="R121" t="s">
        <v>165</v>
      </c>
      <c r="S121" s="10">
        <v>2</v>
      </c>
      <c r="T121" t="s">
        <v>20</v>
      </c>
      <c r="U121" s="10">
        <v>9945</v>
      </c>
      <c r="V121" s="4">
        <v>19890</v>
      </c>
      <c r="AG121" s="82" t="s">
        <v>1</v>
      </c>
      <c r="AH121" s="83"/>
      <c r="AI121" s="83"/>
      <c r="AJ121" s="83"/>
      <c r="AK121" s="83"/>
      <c r="AL121" s="18"/>
      <c r="AM121" s="18"/>
      <c r="AN121" s="19"/>
      <c r="AX121" s="3" t="s">
        <v>33</v>
      </c>
      <c r="AY121" t="s">
        <v>34</v>
      </c>
      <c r="AZ121" t="s">
        <v>4</v>
      </c>
      <c r="BA121" s="10">
        <v>4.5</v>
      </c>
      <c r="BB121" t="s">
        <v>30</v>
      </c>
      <c r="BC121" s="10">
        <v>13000</v>
      </c>
      <c r="BD121" s="4">
        <v>58500</v>
      </c>
    </row>
    <row r="122" spans="1:56" x14ac:dyDescent="0.35">
      <c r="O122" s="3">
        <v>8</v>
      </c>
      <c r="P122" t="s">
        <v>180</v>
      </c>
      <c r="Q122" t="s">
        <v>181</v>
      </c>
      <c r="R122" t="s">
        <v>182</v>
      </c>
      <c r="S122" s="10">
        <v>71</v>
      </c>
      <c r="T122" t="s">
        <v>20</v>
      </c>
      <c r="U122" s="10">
        <v>11541.669999999998</v>
      </c>
      <c r="V122" s="4">
        <v>819458.57</v>
      </c>
      <c r="AG122" s="20"/>
      <c r="AH122" s="18"/>
      <c r="AI122" s="18"/>
      <c r="AJ122" s="18"/>
      <c r="AK122" s="18"/>
      <c r="AL122" s="18"/>
      <c r="AM122" s="18"/>
      <c r="AN122" s="19"/>
      <c r="AX122" s="3" t="s">
        <v>37</v>
      </c>
      <c r="AY122" t="s">
        <v>38</v>
      </c>
      <c r="AZ122" t="s">
        <v>4</v>
      </c>
      <c r="BA122" s="10">
        <v>3</v>
      </c>
      <c r="BB122" t="s">
        <v>20</v>
      </c>
      <c r="BC122" s="10">
        <v>2190.7273</v>
      </c>
      <c r="BD122" s="4">
        <v>6572.1818999999996</v>
      </c>
    </row>
    <row r="123" spans="1:56" x14ac:dyDescent="0.35">
      <c r="O123" s="3">
        <v>9</v>
      </c>
      <c r="P123" t="s">
        <v>184</v>
      </c>
      <c r="Q123" t="s">
        <v>185</v>
      </c>
      <c r="R123" t="s">
        <v>182</v>
      </c>
      <c r="S123" s="10">
        <v>4</v>
      </c>
      <c r="T123" t="s">
        <v>20</v>
      </c>
      <c r="U123" s="10">
        <v>1570.2313999999999</v>
      </c>
      <c r="V123" s="4">
        <v>6280.9255999999996</v>
      </c>
      <c r="AG123" s="82" t="s">
        <v>10</v>
      </c>
      <c r="AH123" s="83" t="s">
        <v>11</v>
      </c>
      <c r="AI123" s="18" t="s">
        <v>262</v>
      </c>
      <c r="AJ123" s="18"/>
      <c r="AK123" s="18"/>
      <c r="AL123" s="18"/>
      <c r="AM123" s="18"/>
      <c r="AN123" s="19"/>
      <c r="AX123" s="3" t="s">
        <v>39</v>
      </c>
      <c r="AY123" t="s">
        <v>40</v>
      </c>
      <c r="AZ123" t="s">
        <v>41</v>
      </c>
      <c r="BA123" s="10">
        <v>1</v>
      </c>
      <c r="BB123" t="s">
        <v>20</v>
      </c>
      <c r="BC123" s="10">
        <v>6972.4284000000007</v>
      </c>
      <c r="BD123" s="4">
        <v>6972.4283999999998</v>
      </c>
    </row>
    <row r="124" spans="1:56" x14ac:dyDescent="0.35">
      <c r="O124" s="3">
        <v>10</v>
      </c>
      <c r="P124" t="s">
        <v>187</v>
      </c>
      <c r="Q124" t="s">
        <v>188</v>
      </c>
      <c r="R124" t="s">
        <v>182</v>
      </c>
      <c r="S124" s="10">
        <v>6</v>
      </c>
      <c r="T124" t="s">
        <v>20</v>
      </c>
      <c r="U124" s="10">
        <v>3391.7220000000002</v>
      </c>
      <c r="V124" s="4">
        <v>20350.331999999999</v>
      </c>
      <c r="AG124" s="82" t="s">
        <v>16</v>
      </c>
      <c r="AH124" s="83" t="s">
        <v>11</v>
      </c>
      <c r="AI124" s="18" t="s">
        <v>211</v>
      </c>
      <c r="AJ124" s="18"/>
      <c r="AK124" s="18"/>
      <c r="AL124" s="18"/>
      <c r="AM124" s="18"/>
      <c r="AN124" s="19"/>
      <c r="AX124" s="3" t="s">
        <v>50</v>
      </c>
      <c r="AY124" t="s">
        <v>51</v>
      </c>
      <c r="AZ124" t="s">
        <v>41</v>
      </c>
      <c r="BA124" s="10">
        <v>18</v>
      </c>
      <c r="BB124" t="s">
        <v>52</v>
      </c>
      <c r="BC124" s="10">
        <v>20499.992200000001</v>
      </c>
      <c r="BD124" s="4">
        <v>368999.85960000003</v>
      </c>
    </row>
    <row r="125" spans="1:56" x14ac:dyDescent="0.35">
      <c r="O125" s="3">
        <v>11</v>
      </c>
      <c r="P125" t="s">
        <v>190</v>
      </c>
      <c r="Q125" t="s">
        <v>191</v>
      </c>
      <c r="R125" t="s">
        <v>192</v>
      </c>
      <c r="S125" s="10">
        <v>3</v>
      </c>
      <c r="T125" t="s">
        <v>20</v>
      </c>
      <c r="U125" s="10">
        <v>138557.64136451614</v>
      </c>
      <c r="V125" s="4">
        <v>415672.92409400002</v>
      </c>
      <c r="AG125" s="82" t="s">
        <v>21</v>
      </c>
      <c r="AH125" s="83" t="s">
        <v>11</v>
      </c>
      <c r="AI125" s="18" t="s">
        <v>22</v>
      </c>
      <c r="AJ125" s="18"/>
      <c r="AK125" s="18"/>
      <c r="AL125" s="18"/>
      <c r="AM125" s="18"/>
      <c r="AN125" s="19"/>
      <c r="AX125" s="3" t="s">
        <v>53</v>
      </c>
      <c r="AY125" t="s">
        <v>54</v>
      </c>
      <c r="AZ125" t="s">
        <v>41</v>
      </c>
      <c r="BA125" s="10">
        <v>8</v>
      </c>
      <c r="BB125" t="s">
        <v>20</v>
      </c>
      <c r="BC125" s="10">
        <v>3318.3332999999998</v>
      </c>
      <c r="BD125" s="4">
        <v>26546.666399999998</v>
      </c>
    </row>
    <row r="126" spans="1:56" ht="15" thickBot="1" x14ac:dyDescent="0.4">
      <c r="O126" s="11">
        <v>12</v>
      </c>
      <c r="P126" s="12" t="s">
        <v>193</v>
      </c>
      <c r="Q126" s="12" t="s">
        <v>194</v>
      </c>
      <c r="R126" s="12" t="s">
        <v>192</v>
      </c>
      <c r="S126" s="12">
        <v>6</v>
      </c>
      <c r="T126" s="12" t="s">
        <v>20</v>
      </c>
      <c r="U126" s="12">
        <v>3590</v>
      </c>
      <c r="V126" s="13">
        <v>21540</v>
      </c>
      <c r="AG126" s="82" t="s">
        <v>26</v>
      </c>
      <c r="AH126" s="83" t="s">
        <v>11</v>
      </c>
      <c r="AI126" s="18" t="s">
        <v>278</v>
      </c>
      <c r="AJ126" s="18"/>
      <c r="AK126" s="18"/>
      <c r="AL126" s="18"/>
      <c r="AM126" s="18"/>
      <c r="AN126" s="19"/>
      <c r="AX126" s="3" t="s">
        <v>55</v>
      </c>
      <c r="AY126" t="s">
        <v>56</v>
      </c>
      <c r="AZ126" t="s">
        <v>41</v>
      </c>
      <c r="BA126" s="10">
        <v>12</v>
      </c>
      <c r="BB126" t="s">
        <v>20</v>
      </c>
      <c r="BC126" s="10">
        <v>2000</v>
      </c>
      <c r="BD126" s="4">
        <v>24000</v>
      </c>
    </row>
    <row r="127" spans="1:56" ht="15" thickTop="1" x14ac:dyDescent="0.35">
      <c r="AG127" s="82" t="s">
        <v>31</v>
      </c>
      <c r="AH127" s="83" t="s">
        <v>11</v>
      </c>
      <c r="AI127" s="18" t="s">
        <v>186</v>
      </c>
      <c r="AJ127" s="18"/>
      <c r="AK127" s="18"/>
      <c r="AL127" s="18"/>
      <c r="AM127" s="18"/>
      <c r="AN127" s="19"/>
      <c r="AX127" s="3" t="s">
        <v>57</v>
      </c>
      <c r="AY127" t="s">
        <v>58</v>
      </c>
      <c r="AZ127" t="s">
        <v>41</v>
      </c>
      <c r="BA127" s="10">
        <v>2</v>
      </c>
      <c r="BB127" t="s">
        <v>5</v>
      </c>
      <c r="BC127" s="10">
        <v>7699.9618</v>
      </c>
      <c r="BD127" s="4">
        <v>15399.9236</v>
      </c>
    </row>
    <row r="128" spans="1:56" x14ac:dyDescent="0.35">
      <c r="AG128" s="82" t="s">
        <v>35</v>
      </c>
      <c r="AH128" s="83" t="s">
        <v>11</v>
      </c>
      <c r="AI128" s="18" t="s">
        <v>264</v>
      </c>
      <c r="AJ128" s="18"/>
      <c r="AK128" s="18"/>
      <c r="AL128" s="18"/>
      <c r="AM128" s="18"/>
      <c r="AN128" s="19"/>
      <c r="AX128" s="3" t="s">
        <v>59</v>
      </c>
      <c r="AY128" t="s">
        <v>60</v>
      </c>
      <c r="AZ128" t="s">
        <v>41</v>
      </c>
      <c r="BA128" s="10">
        <v>24.6</v>
      </c>
      <c r="BB128" t="s">
        <v>5</v>
      </c>
      <c r="BC128" s="10">
        <v>7699.9215000000004</v>
      </c>
      <c r="BD128" s="4">
        <v>189418.06890000001</v>
      </c>
    </row>
    <row r="129" spans="33:56" x14ac:dyDescent="0.35">
      <c r="AG129" s="20"/>
      <c r="AH129" s="18"/>
      <c r="AI129" s="18"/>
      <c r="AJ129" s="18"/>
      <c r="AK129" s="18"/>
      <c r="AL129" s="18"/>
      <c r="AM129" s="18"/>
      <c r="AN129" s="19"/>
      <c r="AX129" s="3" t="s">
        <v>61</v>
      </c>
      <c r="AY129" t="s">
        <v>62</v>
      </c>
      <c r="AZ129" t="s">
        <v>41</v>
      </c>
      <c r="BA129" s="10">
        <v>2.7</v>
      </c>
      <c r="BB129" t="s">
        <v>5</v>
      </c>
      <c r="BC129" s="10">
        <v>15582.0247</v>
      </c>
      <c r="BD129" s="4">
        <v>42071.466690000001</v>
      </c>
    </row>
    <row r="130" spans="33:56" x14ac:dyDescent="0.35">
      <c r="AG130" s="20" t="s">
        <v>42</v>
      </c>
      <c r="AH130" s="18" t="s">
        <v>43</v>
      </c>
      <c r="AI130" s="18" t="s">
        <v>44</v>
      </c>
      <c r="AJ130" s="18" t="s">
        <v>45</v>
      </c>
      <c r="AK130" s="18" t="s">
        <v>46</v>
      </c>
      <c r="AL130" s="18" t="s">
        <v>47</v>
      </c>
      <c r="AM130" s="18" t="s">
        <v>48</v>
      </c>
      <c r="AN130" s="19" t="s">
        <v>49</v>
      </c>
      <c r="AX130" s="3" t="s">
        <v>63</v>
      </c>
      <c r="AY130" t="s">
        <v>64</v>
      </c>
      <c r="AZ130" t="s">
        <v>41</v>
      </c>
      <c r="BA130">
        <v>1</v>
      </c>
      <c r="BB130" t="s">
        <v>20</v>
      </c>
      <c r="BC130">
        <v>19540.165000000001</v>
      </c>
      <c r="BD130" s="4">
        <v>19540.165000000001</v>
      </c>
    </row>
    <row r="131" spans="33:56" x14ac:dyDescent="0.35">
      <c r="AG131" s="20">
        <v>1</v>
      </c>
      <c r="AH131" s="18" t="s">
        <v>115</v>
      </c>
      <c r="AI131" s="18" t="s">
        <v>116</v>
      </c>
      <c r="AJ131" s="18" t="s">
        <v>117</v>
      </c>
      <c r="AK131" s="21">
        <v>181</v>
      </c>
      <c r="AL131" s="18" t="s">
        <v>52</v>
      </c>
      <c r="AM131" s="21">
        <v>600</v>
      </c>
      <c r="AN131" s="19">
        <v>108600</v>
      </c>
      <c r="AX131" s="3" t="s">
        <v>65</v>
      </c>
      <c r="AY131" t="s">
        <v>66</v>
      </c>
      <c r="AZ131" t="s">
        <v>67</v>
      </c>
      <c r="BA131" s="10">
        <v>4</v>
      </c>
      <c r="BB131" t="s">
        <v>20</v>
      </c>
      <c r="BC131" s="10">
        <v>860.48082773219505</v>
      </c>
      <c r="BD131" s="4">
        <v>3441.923311</v>
      </c>
    </row>
    <row r="132" spans="33:56" x14ac:dyDescent="0.35">
      <c r="AG132" s="20">
        <v>2</v>
      </c>
      <c r="AH132" s="18" t="s">
        <v>124</v>
      </c>
      <c r="AI132" s="18" t="s">
        <v>125</v>
      </c>
      <c r="AJ132" s="18" t="s">
        <v>123</v>
      </c>
      <c r="AK132" s="21">
        <v>37</v>
      </c>
      <c r="AL132" s="18" t="s">
        <v>5</v>
      </c>
      <c r="AM132" s="21">
        <v>5685.4389000000001</v>
      </c>
      <c r="AN132" s="19">
        <v>210361.23929999999</v>
      </c>
      <c r="AX132" s="3" t="s">
        <v>68</v>
      </c>
      <c r="AY132" t="s">
        <v>69</v>
      </c>
      <c r="AZ132" t="s">
        <v>67</v>
      </c>
      <c r="BA132" s="10">
        <v>0.02</v>
      </c>
      <c r="BB132" t="s">
        <v>5</v>
      </c>
      <c r="BC132" s="10">
        <v>18577.709299999999</v>
      </c>
      <c r="BD132" s="4">
        <v>371.55418600000002</v>
      </c>
    </row>
    <row r="133" spans="33:56" x14ac:dyDescent="0.35">
      <c r="AG133" s="20">
        <v>3</v>
      </c>
      <c r="AH133" s="18" t="s">
        <v>126</v>
      </c>
      <c r="AI133" s="18" t="s">
        <v>127</v>
      </c>
      <c r="AJ133" s="18" t="s">
        <v>123</v>
      </c>
      <c r="AK133" s="21">
        <v>27</v>
      </c>
      <c r="AL133" s="18" t="s">
        <v>5</v>
      </c>
      <c r="AM133" s="21">
        <v>6840.7210999999998</v>
      </c>
      <c r="AN133" s="19">
        <v>184699.46969999999</v>
      </c>
      <c r="AX133" s="3" t="s">
        <v>70</v>
      </c>
      <c r="AY133" t="s">
        <v>71</v>
      </c>
      <c r="AZ133" t="s">
        <v>67</v>
      </c>
      <c r="BA133" s="10">
        <v>4</v>
      </c>
      <c r="BB133" t="s">
        <v>5</v>
      </c>
      <c r="BC133" s="10">
        <v>9000</v>
      </c>
      <c r="BD133" s="4">
        <v>36000</v>
      </c>
    </row>
    <row r="134" spans="33:56" x14ac:dyDescent="0.35">
      <c r="AG134" s="20">
        <v>4</v>
      </c>
      <c r="AH134" s="18" t="s">
        <v>128</v>
      </c>
      <c r="AI134" s="18" t="s">
        <v>129</v>
      </c>
      <c r="AJ134" s="18" t="s">
        <v>123</v>
      </c>
      <c r="AK134" s="21">
        <v>4.3</v>
      </c>
      <c r="AL134" s="18" t="s">
        <v>74</v>
      </c>
      <c r="AM134" s="21">
        <v>142077.6966</v>
      </c>
      <c r="AN134" s="19">
        <v>610934.09537999996</v>
      </c>
      <c r="AX134" s="3" t="s">
        <v>72</v>
      </c>
      <c r="AY134" t="s">
        <v>73</v>
      </c>
      <c r="AZ134" t="s">
        <v>67</v>
      </c>
      <c r="BA134" s="10">
        <v>5</v>
      </c>
      <c r="BB134" t="s">
        <v>74</v>
      </c>
      <c r="BC134" s="10">
        <v>3006.7408</v>
      </c>
      <c r="BD134" s="4">
        <v>15033.704</v>
      </c>
    </row>
    <row r="135" spans="33:56" x14ac:dyDescent="0.35">
      <c r="AG135" s="20">
        <v>5</v>
      </c>
      <c r="AH135" s="18" t="s">
        <v>130</v>
      </c>
      <c r="AI135" s="18" t="s">
        <v>131</v>
      </c>
      <c r="AJ135" s="18" t="s">
        <v>123</v>
      </c>
      <c r="AK135" s="21">
        <v>56</v>
      </c>
      <c r="AL135" s="18" t="s">
        <v>5</v>
      </c>
      <c r="AM135" s="21">
        <v>6355.3806999999997</v>
      </c>
      <c r="AN135" s="19">
        <v>355901.31920000003</v>
      </c>
      <c r="AX135" s="3" t="s">
        <v>75</v>
      </c>
      <c r="AY135" t="s">
        <v>76</v>
      </c>
      <c r="AZ135" t="s">
        <v>67</v>
      </c>
      <c r="BA135" s="10">
        <v>5</v>
      </c>
      <c r="BB135" t="s">
        <v>74</v>
      </c>
      <c r="BC135" s="10">
        <v>6023.8095000000003</v>
      </c>
      <c r="BD135" s="4">
        <v>30119.047500000001</v>
      </c>
    </row>
    <row r="136" spans="33:56" x14ac:dyDescent="0.35">
      <c r="AG136" s="20">
        <v>6</v>
      </c>
      <c r="AH136" s="18" t="s">
        <v>132</v>
      </c>
      <c r="AI136" s="18" t="s">
        <v>133</v>
      </c>
      <c r="AJ136" s="18" t="s">
        <v>123</v>
      </c>
      <c r="AK136" s="21">
        <v>127</v>
      </c>
      <c r="AL136" s="18" t="s">
        <v>134</v>
      </c>
      <c r="AM136" s="21">
        <v>12999.999900000001</v>
      </c>
      <c r="AN136" s="19">
        <v>1650999.9872999999</v>
      </c>
      <c r="AX136" s="3" t="s">
        <v>77</v>
      </c>
      <c r="AY136" t="s">
        <v>78</v>
      </c>
      <c r="AZ136" t="s">
        <v>67</v>
      </c>
      <c r="BA136" s="10">
        <v>2</v>
      </c>
      <c r="BB136" t="s">
        <v>20</v>
      </c>
      <c r="BC136" s="10">
        <v>1550</v>
      </c>
      <c r="BD136" s="4">
        <v>3100</v>
      </c>
    </row>
    <row r="137" spans="33:56" x14ac:dyDescent="0.35">
      <c r="AG137" s="20">
        <v>7</v>
      </c>
      <c r="AH137" s="18" t="s">
        <v>135</v>
      </c>
      <c r="AI137" s="18" t="s">
        <v>136</v>
      </c>
      <c r="AJ137" s="18" t="s">
        <v>123</v>
      </c>
      <c r="AK137" s="21">
        <v>32</v>
      </c>
      <c r="AL137" s="18" t="s">
        <v>5</v>
      </c>
      <c r="AM137" s="21">
        <v>5710.8161</v>
      </c>
      <c r="AN137" s="19">
        <v>182746.1152</v>
      </c>
      <c r="AX137" s="3" t="s">
        <v>79</v>
      </c>
      <c r="AY137" t="s">
        <v>80</v>
      </c>
      <c r="AZ137" t="s">
        <v>67</v>
      </c>
      <c r="BA137" s="10">
        <v>1</v>
      </c>
      <c r="BB137" t="s">
        <v>20</v>
      </c>
      <c r="BC137" s="10">
        <v>15000</v>
      </c>
      <c r="BD137" s="4">
        <v>15000</v>
      </c>
    </row>
    <row r="138" spans="33:56" x14ac:dyDescent="0.35">
      <c r="AG138" s="20">
        <v>8</v>
      </c>
      <c r="AH138" s="18" t="s">
        <v>137</v>
      </c>
      <c r="AI138" s="18" t="s">
        <v>138</v>
      </c>
      <c r="AJ138" s="18" t="s">
        <v>123</v>
      </c>
      <c r="AK138" s="21">
        <v>26</v>
      </c>
      <c r="AL138" s="18" t="s">
        <v>5</v>
      </c>
      <c r="AM138" s="21">
        <v>16096.584699999999</v>
      </c>
      <c r="AN138" s="19">
        <v>418511.2022</v>
      </c>
      <c r="AX138" s="3" t="s">
        <v>81</v>
      </c>
      <c r="AY138" t="s">
        <v>82</v>
      </c>
      <c r="AZ138" t="s">
        <v>67</v>
      </c>
      <c r="BA138" s="10">
        <v>2</v>
      </c>
      <c r="BB138" t="s">
        <v>20</v>
      </c>
      <c r="BC138" s="10">
        <v>8799.25</v>
      </c>
      <c r="BD138" s="4">
        <v>17598.5</v>
      </c>
    </row>
    <row r="139" spans="33:56" x14ac:dyDescent="0.35">
      <c r="AG139" s="20">
        <v>9</v>
      </c>
      <c r="AH139" s="18" t="s">
        <v>139</v>
      </c>
      <c r="AI139" s="18" t="s">
        <v>140</v>
      </c>
      <c r="AJ139" s="18" t="s">
        <v>123</v>
      </c>
      <c r="AK139" s="21">
        <v>25.8</v>
      </c>
      <c r="AL139" s="18" t="s">
        <v>5</v>
      </c>
      <c r="AM139" s="21">
        <v>43192.491900000001</v>
      </c>
      <c r="AN139" s="19">
        <v>1114366.2910199999</v>
      </c>
      <c r="AX139" s="3" t="s">
        <v>83</v>
      </c>
      <c r="AY139" t="s">
        <v>84</v>
      </c>
      <c r="AZ139" t="s">
        <v>67</v>
      </c>
      <c r="BA139" s="10">
        <v>2</v>
      </c>
      <c r="BB139" t="s">
        <v>20</v>
      </c>
      <c r="BC139" s="10">
        <v>7250</v>
      </c>
      <c r="BD139" s="4">
        <v>14500</v>
      </c>
    </row>
    <row r="140" spans="33:56" x14ac:dyDescent="0.35">
      <c r="AG140" s="20">
        <v>10</v>
      </c>
      <c r="AH140" s="18" t="s">
        <v>141</v>
      </c>
      <c r="AI140" s="18" t="s">
        <v>142</v>
      </c>
      <c r="AJ140" s="18" t="s">
        <v>123</v>
      </c>
      <c r="AK140" s="21">
        <v>4</v>
      </c>
      <c r="AL140" s="18" t="s">
        <v>5</v>
      </c>
      <c r="AM140" s="21">
        <v>42527.913200000003</v>
      </c>
      <c r="AN140" s="19">
        <v>170111.65280000001</v>
      </c>
      <c r="AX140" s="3" t="s">
        <v>85</v>
      </c>
      <c r="AY140" t="s">
        <v>86</v>
      </c>
      <c r="AZ140" t="s">
        <v>67</v>
      </c>
      <c r="BA140" s="10">
        <v>0.5</v>
      </c>
      <c r="BB140" t="s">
        <v>87</v>
      </c>
      <c r="BC140" s="10">
        <v>18500</v>
      </c>
      <c r="BD140" s="4">
        <v>9250</v>
      </c>
    </row>
    <row r="141" spans="33:56" x14ac:dyDescent="0.35">
      <c r="AG141" s="20">
        <v>11</v>
      </c>
      <c r="AH141" s="18" t="s">
        <v>145</v>
      </c>
      <c r="AI141" s="18" t="s">
        <v>146</v>
      </c>
      <c r="AJ141" s="18" t="s">
        <v>123</v>
      </c>
      <c r="AK141" s="21">
        <v>81</v>
      </c>
      <c r="AL141" s="18" t="s">
        <v>5</v>
      </c>
      <c r="AM141" s="21">
        <v>4604.1441999999997</v>
      </c>
      <c r="AN141" s="19">
        <v>372935.6802</v>
      </c>
      <c r="AX141" s="3" t="s">
        <v>88</v>
      </c>
      <c r="AY141" t="s">
        <v>89</v>
      </c>
      <c r="AZ141" t="s">
        <v>67</v>
      </c>
      <c r="BA141" s="10">
        <v>3</v>
      </c>
      <c r="BB141" t="s">
        <v>5</v>
      </c>
      <c r="BC141" s="10">
        <v>1750</v>
      </c>
      <c r="BD141" s="4">
        <v>5250</v>
      </c>
    </row>
    <row r="142" spans="33:56" x14ac:dyDescent="0.35">
      <c r="AG142" s="20">
        <v>12</v>
      </c>
      <c r="AH142" s="18" t="s">
        <v>147</v>
      </c>
      <c r="AI142" s="18" t="s">
        <v>148</v>
      </c>
      <c r="AJ142" s="18" t="s">
        <v>123</v>
      </c>
      <c r="AK142" s="21">
        <v>1.5</v>
      </c>
      <c r="AL142" s="18" t="s">
        <v>5</v>
      </c>
      <c r="AM142" s="21">
        <v>14879.074100000002</v>
      </c>
      <c r="AN142" s="19">
        <v>22318.611150000001</v>
      </c>
      <c r="AX142" s="3" t="s">
        <v>90</v>
      </c>
      <c r="AY142" t="s">
        <v>91</v>
      </c>
      <c r="AZ142" t="s">
        <v>67</v>
      </c>
      <c r="BA142" s="10">
        <v>3</v>
      </c>
      <c r="BB142" t="s">
        <v>5</v>
      </c>
      <c r="BC142" s="10">
        <v>5820.3125</v>
      </c>
      <c r="BD142" s="4">
        <v>17460.9375</v>
      </c>
    </row>
    <row r="143" spans="33:56" x14ac:dyDescent="0.35">
      <c r="AG143" s="20">
        <v>13</v>
      </c>
      <c r="AH143" s="18" t="s">
        <v>265</v>
      </c>
      <c r="AI143" s="18" t="s">
        <v>266</v>
      </c>
      <c r="AJ143" s="18" t="s">
        <v>151</v>
      </c>
      <c r="AK143" s="21">
        <v>1</v>
      </c>
      <c r="AL143" s="18" t="s">
        <v>267</v>
      </c>
      <c r="AM143" s="21">
        <v>25293.35</v>
      </c>
      <c r="AN143" s="19">
        <v>25293.35</v>
      </c>
      <c r="AX143" s="3" t="s">
        <v>92</v>
      </c>
      <c r="AY143" t="s">
        <v>93</v>
      </c>
      <c r="AZ143" t="s">
        <v>67</v>
      </c>
      <c r="BA143" s="10">
        <v>20</v>
      </c>
      <c r="BB143" t="s">
        <v>94</v>
      </c>
      <c r="BC143" s="10">
        <v>11800.8393</v>
      </c>
      <c r="BD143" s="4">
        <v>236016.78599999999</v>
      </c>
    </row>
    <row r="144" spans="33:56" x14ac:dyDescent="0.35">
      <c r="AG144" s="20">
        <v>14</v>
      </c>
      <c r="AH144" s="18" t="s">
        <v>268</v>
      </c>
      <c r="AI144" s="18" t="s">
        <v>269</v>
      </c>
      <c r="AJ144" s="18" t="s">
        <v>151</v>
      </c>
      <c r="AK144" s="21">
        <v>1</v>
      </c>
      <c r="AL144" s="18" t="s">
        <v>87</v>
      </c>
      <c r="AM144" s="21">
        <v>5500</v>
      </c>
      <c r="AN144" s="19">
        <v>5500</v>
      </c>
      <c r="AX144" s="3" t="s">
        <v>96</v>
      </c>
      <c r="AY144" t="s">
        <v>97</v>
      </c>
      <c r="AZ144" t="s">
        <v>67</v>
      </c>
      <c r="BA144" s="10">
        <v>4</v>
      </c>
      <c r="BB144" t="s">
        <v>98</v>
      </c>
      <c r="BC144" s="10">
        <v>9100</v>
      </c>
      <c r="BD144" s="4">
        <v>36400</v>
      </c>
    </row>
    <row r="145" spans="33:56" x14ac:dyDescent="0.35">
      <c r="AG145" s="20">
        <v>15</v>
      </c>
      <c r="AH145" s="18" t="s">
        <v>154</v>
      </c>
      <c r="AI145" s="18" t="s">
        <v>155</v>
      </c>
      <c r="AJ145" s="18" t="s">
        <v>151</v>
      </c>
      <c r="AK145" s="21">
        <v>36</v>
      </c>
      <c r="AL145" s="18" t="s">
        <v>20</v>
      </c>
      <c r="AM145" s="21">
        <v>986.10040000000004</v>
      </c>
      <c r="AN145" s="19">
        <v>35499.614399999999</v>
      </c>
      <c r="AX145" s="3" t="s">
        <v>100</v>
      </c>
      <c r="AY145" t="s">
        <v>101</v>
      </c>
      <c r="AZ145" t="s">
        <v>67</v>
      </c>
      <c r="BA145" s="10">
        <v>0.2</v>
      </c>
      <c r="BB145" t="s">
        <v>87</v>
      </c>
      <c r="BC145" s="10">
        <v>4650</v>
      </c>
      <c r="BD145" s="4">
        <v>930</v>
      </c>
    </row>
    <row r="146" spans="33:56" x14ac:dyDescent="0.35">
      <c r="AG146" s="20">
        <v>16</v>
      </c>
      <c r="AH146" s="18" t="s">
        <v>270</v>
      </c>
      <c r="AI146" s="18" t="s">
        <v>271</v>
      </c>
      <c r="AJ146" s="18" t="s">
        <v>151</v>
      </c>
      <c r="AK146" s="21">
        <v>4</v>
      </c>
      <c r="AL146" s="18" t="s">
        <v>20</v>
      </c>
      <c r="AM146" s="21">
        <v>36300</v>
      </c>
      <c r="AN146" s="19">
        <v>145200</v>
      </c>
      <c r="AX146" s="3" t="s">
        <v>102</v>
      </c>
      <c r="AY146" t="s">
        <v>103</v>
      </c>
      <c r="AZ146" t="s">
        <v>67</v>
      </c>
      <c r="BA146" s="10">
        <v>0.1</v>
      </c>
      <c r="BB146" t="s">
        <v>87</v>
      </c>
      <c r="BC146" s="10">
        <v>8000</v>
      </c>
      <c r="BD146" s="4">
        <v>800</v>
      </c>
    </row>
    <row r="147" spans="33:56" x14ac:dyDescent="0.35">
      <c r="AG147" s="20">
        <v>17</v>
      </c>
      <c r="AH147" s="18" t="s">
        <v>156</v>
      </c>
      <c r="AI147" s="18" t="s">
        <v>157</v>
      </c>
      <c r="AJ147" s="18" t="s">
        <v>151</v>
      </c>
      <c r="AK147" s="21">
        <v>8</v>
      </c>
      <c r="AL147" s="18" t="s">
        <v>20</v>
      </c>
      <c r="AM147" s="21">
        <v>2042.27</v>
      </c>
      <c r="AN147" s="19">
        <v>16338.16</v>
      </c>
      <c r="AX147" s="3" t="s">
        <v>104</v>
      </c>
      <c r="AY147" t="s">
        <v>105</v>
      </c>
      <c r="AZ147" t="s">
        <v>67</v>
      </c>
      <c r="BA147" s="10">
        <v>1</v>
      </c>
      <c r="BB147" t="s">
        <v>5</v>
      </c>
      <c r="BC147" s="10">
        <v>6232.0667000000003</v>
      </c>
      <c r="BD147" s="4">
        <v>6232.0667000000003</v>
      </c>
    </row>
    <row r="148" spans="33:56" x14ac:dyDescent="0.35">
      <c r="AG148" s="20">
        <v>18</v>
      </c>
      <c r="AH148" s="18" t="s">
        <v>272</v>
      </c>
      <c r="AI148" s="18" t="s">
        <v>273</v>
      </c>
      <c r="AJ148" s="18" t="s">
        <v>151</v>
      </c>
      <c r="AK148" s="21">
        <v>7.5</v>
      </c>
      <c r="AL148" s="18" t="s">
        <v>5</v>
      </c>
      <c r="AM148" s="21">
        <v>2560.3334</v>
      </c>
      <c r="AN148" s="19">
        <v>19202.500499999998</v>
      </c>
      <c r="AX148" s="3" t="s">
        <v>107</v>
      </c>
      <c r="AY148" t="s">
        <v>108</v>
      </c>
      <c r="AZ148" t="s">
        <v>67</v>
      </c>
      <c r="BA148" s="10">
        <v>2</v>
      </c>
      <c r="BB148" t="s">
        <v>5</v>
      </c>
      <c r="BC148" s="10">
        <v>16237.422100000002</v>
      </c>
      <c r="BD148" s="4">
        <v>32474.8442</v>
      </c>
    </row>
    <row r="149" spans="33:56" x14ac:dyDescent="0.35">
      <c r="AG149" s="20">
        <v>19</v>
      </c>
      <c r="AH149" s="18" t="s">
        <v>274</v>
      </c>
      <c r="AI149" s="18" t="s">
        <v>275</v>
      </c>
      <c r="AJ149" s="18" t="s">
        <v>151</v>
      </c>
      <c r="AK149" s="21">
        <v>1.9</v>
      </c>
      <c r="AL149" s="18" t="s">
        <v>160</v>
      </c>
      <c r="AM149" s="21">
        <v>20320</v>
      </c>
      <c r="AN149" s="19">
        <v>38608</v>
      </c>
      <c r="AX149" s="3" t="s">
        <v>110</v>
      </c>
      <c r="AY149" t="s">
        <v>111</v>
      </c>
      <c r="AZ149" t="s">
        <v>67</v>
      </c>
      <c r="BA149" s="10">
        <v>1</v>
      </c>
      <c r="BB149" t="s">
        <v>94</v>
      </c>
      <c r="BC149" s="10">
        <v>8474.10664</v>
      </c>
      <c r="BD149" s="4">
        <v>8474.10664</v>
      </c>
    </row>
    <row r="150" spans="33:56" x14ac:dyDescent="0.35">
      <c r="AG150" s="20">
        <v>20</v>
      </c>
      <c r="AH150" s="18" t="s">
        <v>158</v>
      </c>
      <c r="AI150" s="18" t="s">
        <v>159</v>
      </c>
      <c r="AJ150" s="18" t="s">
        <v>151</v>
      </c>
      <c r="AK150" s="21">
        <v>20</v>
      </c>
      <c r="AL150" s="18" t="s">
        <v>160</v>
      </c>
      <c r="AM150" s="21">
        <v>16176.613399999998</v>
      </c>
      <c r="AN150" s="19">
        <v>323532.26799999998</v>
      </c>
      <c r="AX150" s="3" t="s">
        <v>113</v>
      </c>
      <c r="AY150" t="s">
        <v>114</v>
      </c>
      <c r="AZ150" t="s">
        <v>67</v>
      </c>
      <c r="BA150">
        <v>200</v>
      </c>
      <c r="BB150" t="s">
        <v>20</v>
      </c>
      <c r="BC150">
        <v>143</v>
      </c>
      <c r="BD150" s="4">
        <v>28600</v>
      </c>
    </row>
    <row r="151" spans="33:56" x14ac:dyDescent="0.35">
      <c r="AG151" s="20">
        <v>21</v>
      </c>
      <c r="AH151" s="18" t="s">
        <v>161</v>
      </c>
      <c r="AI151" s="18" t="s">
        <v>162</v>
      </c>
      <c r="AJ151" s="18" t="s">
        <v>151</v>
      </c>
      <c r="AK151" s="21">
        <v>0.4</v>
      </c>
      <c r="AL151" s="18" t="s">
        <v>5</v>
      </c>
      <c r="AM151" s="21">
        <v>3776.1725000000001</v>
      </c>
      <c r="AN151" s="19">
        <v>1510.4690000000001</v>
      </c>
      <c r="AX151" s="3" t="s">
        <v>115</v>
      </c>
      <c r="AY151" t="s">
        <v>116</v>
      </c>
      <c r="AZ151" t="s">
        <v>117</v>
      </c>
      <c r="BA151" s="10">
        <v>1000</v>
      </c>
      <c r="BB151" t="s">
        <v>52</v>
      </c>
      <c r="BC151" s="10">
        <v>628.57100000000003</v>
      </c>
      <c r="BD151" s="4">
        <v>628571</v>
      </c>
    </row>
    <row r="152" spans="33:56" x14ac:dyDescent="0.35">
      <c r="AG152" s="20">
        <v>22</v>
      </c>
      <c r="AH152" s="18" t="s">
        <v>276</v>
      </c>
      <c r="AI152" s="18" t="s">
        <v>277</v>
      </c>
      <c r="AJ152" s="18" t="s">
        <v>151</v>
      </c>
      <c r="AK152" s="18">
        <v>5</v>
      </c>
      <c r="AL152" s="18" t="s">
        <v>52</v>
      </c>
      <c r="AM152" s="18">
        <v>1756.05</v>
      </c>
      <c r="AN152" s="19">
        <v>8780.25</v>
      </c>
      <c r="AX152" s="3" t="s">
        <v>118</v>
      </c>
      <c r="AY152" t="s">
        <v>119</v>
      </c>
      <c r="AZ152" t="s">
        <v>120</v>
      </c>
      <c r="BA152" s="10">
        <v>1</v>
      </c>
      <c r="BB152" t="s">
        <v>20</v>
      </c>
      <c r="BC152" s="10">
        <v>14700</v>
      </c>
      <c r="BD152" s="4">
        <v>14700</v>
      </c>
    </row>
    <row r="153" spans="33:56" ht="15" thickBot="1" x14ac:dyDescent="0.4">
      <c r="AG153" s="22" t="s">
        <v>223</v>
      </c>
      <c r="AH153" s="23" t="s">
        <v>223</v>
      </c>
      <c r="AI153" s="23" t="s">
        <v>223</v>
      </c>
      <c r="AJ153" s="23" t="s">
        <v>223</v>
      </c>
      <c r="AK153" s="23" t="s">
        <v>223</v>
      </c>
      <c r="AL153" s="23" t="s">
        <v>223</v>
      </c>
      <c r="AM153" s="23" t="s">
        <v>224</v>
      </c>
      <c r="AN153" s="24">
        <v>6021950.2753500007</v>
      </c>
      <c r="AX153" s="3" t="s">
        <v>121</v>
      </c>
      <c r="AY153" t="s">
        <v>122</v>
      </c>
      <c r="AZ153" t="s">
        <v>123</v>
      </c>
      <c r="BA153" s="10">
        <v>2</v>
      </c>
      <c r="BB153" t="s">
        <v>5</v>
      </c>
      <c r="BC153" s="10">
        <v>5009.5237999999999</v>
      </c>
      <c r="BD153" s="4">
        <v>10019.0476</v>
      </c>
    </row>
    <row r="154" spans="33:56" x14ac:dyDescent="0.35">
      <c r="AX154" s="3" t="s">
        <v>124</v>
      </c>
      <c r="AY154" t="s">
        <v>125</v>
      </c>
      <c r="AZ154" t="s">
        <v>123</v>
      </c>
      <c r="BA154" s="10">
        <v>38</v>
      </c>
      <c r="BB154" t="s">
        <v>5</v>
      </c>
      <c r="BC154" s="10">
        <v>5518.8675999999996</v>
      </c>
      <c r="BD154" s="4">
        <v>209716.9688</v>
      </c>
    </row>
    <row r="155" spans="33:56" ht="15" thickBot="1" x14ac:dyDescent="0.4">
      <c r="AX155" s="3" t="s">
        <v>126</v>
      </c>
      <c r="AY155" t="s">
        <v>127</v>
      </c>
      <c r="AZ155" t="s">
        <v>123</v>
      </c>
      <c r="BA155" s="10">
        <v>10</v>
      </c>
      <c r="BB155" t="s">
        <v>5</v>
      </c>
      <c r="BC155" s="10">
        <v>6816.5331999999999</v>
      </c>
      <c r="BD155" s="4">
        <v>68165.331999999995</v>
      </c>
    </row>
    <row r="156" spans="33:56" x14ac:dyDescent="0.35">
      <c r="AG156" s="84" t="s">
        <v>0</v>
      </c>
      <c r="AH156" s="85"/>
      <c r="AI156" s="85"/>
      <c r="AJ156" s="85"/>
      <c r="AK156" s="85"/>
      <c r="AL156" s="16"/>
      <c r="AM156" s="16"/>
      <c r="AN156" s="17"/>
      <c r="AX156" s="3" t="s">
        <v>128</v>
      </c>
      <c r="AY156" t="s">
        <v>129</v>
      </c>
      <c r="AZ156" t="s">
        <v>123</v>
      </c>
      <c r="BA156" s="10">
        <v>2.7</v>
      </c>
      <c r="BB156" t="s">
        <v>74</v>
      </c>
      <c r="BC156" s="10">
        <v>142062.04490000001</v>
      </c>
      <c r="BD156" s="4">
        <v>383567.52123000001</v>
      </c>
    </row>
    <row r="157" spans="33:56" x14ac:dyDescent="0.35">
      <c r="AG157" s="82" t="s">
        <v>1</v>
      </c>
      <c r="AH157" s="83"/>
      <c r="AI157" s="83"/>
      <c r="AJ157" s="83"/>
      <c r="AK157" s="83"/>
      <c r="AL157" s="18"/>
      <c r="AM157" s="18"/>
      <c r="AN157" s="19"/>
      <c r="AX157" s="3" t="s">
        <v>130</v>
      </c>
      <c r="AY157" t="s">
        <v>131</v>
      </c>
      <c r="AZ157" t="s">
        <v>123</v>
      </c>
      <c r="BA157" s="10">
        <v>47</v>
      </c>
      <c r="BB157" t="s">
        <v>5</v>
      </c>
      <c r="BC157" s="10">
        <v>6354.5132000000003</v>
      </c>
      <c r="BD157" s="4">
        <v>298662.12040000001</v>
      </c>
    </row>
    <row r="158" spans="33:56" x14ac:dyDescent="0.35">
      <c r="AG158" s="20"/>
      <c r="AH158" s="18"/>
      <c r="AI158" s="18"/>
      <c r="AJ158" s="18"/>
      <c r="AK158" s="18"/>
      <c r="AL158" s="18"/>
      <c r="AM158" s="18"/>
      <c r="AN158" s="19"/>
      <c r="AX158" s="3" t="s">
        <v>132</v>
      </c>
      <c r="AY158" t="s">
        <v>133</v>
      </c>
      <c r="AZ158" t="s">
        <v>123</v>
      </c>
      <c r="BA158" s="10">
        <v>95</v>
      </c>
      <c r="BB158" t="s">
        <v>134</v>
      </c>
      <c r="BC158" s="10">
        <v>12999.9997</v>
      </c>
      <c r="BD158" s="4">
        <v>1234999.9715</v>
      </c>
    </row>
    <row r="159" spans="33:56" x14ac:dyDescent="0.35">
      <c r="AG159" s="82" t="s">
        <v>10</v>
      </c>
      <c r="AH159" s="83" t="s">
        <v>11</v>
      </c>
      <c r="AI159" s="18" t="s">
        <v>279</v>
      </c>
      <c r="AJ159" s="18"/>
      <c r="AK159" s="18"/>
      <c r="AL159" s="18"/>
      <c r="AM159" s="18"/>
      <c r="AN159" s="19"/>
      <c r="AX159" s="3" t="s">
        <v>135</v>
      </c>
      <c r="AY159" t="s">
        <v>136</v>
      </c>
      <c r="AZ159" t="s">
        <v>123</v>
      </c>
      <c r="BA159" s="10">
        <v>15</v>
      </c>
      <c r="BB159" t="s">
        <v>5</v>
      </c>
      <c r="BC159" s="10">
        <v>5676.6629000000003</v>
      </c>
      <c r="BD159" s="4">
        <v>85149.943499999994</v>
      </c>
    </row>
    <row r="160" spans="33:56" x14ac:dyDescent="0.35">
      <c r="AG160" s="82" t="s">
        <v>16</v>
      </c>
      <c r="AH160" s="83" t="s">
        <v>11</v>
      </c>
      <c r="AI160" s="18" t="s">
        <v>211</v>
      </c>
      <c r="AJ160" s="18"/>
      <c r="AK160" s="18"/>
      <c r="AL160" s="18"/>
      <c r="AM160" s="18"/>
      <c r="AN160" s="19"/>
      <c r="AX160" s="3" t="s">
        <v>137</v>
      </c>
      <c r="AY160" t="s">
        <v>138</v>
      </c>
      <c r="AZ160" t="s">
        <v>123</v>
      </c>
      <c r="BA160" s="10">
        <v>19</v>
      </c>
      <c r="BB160" t="s">
        <v>5</v>
      </c>
      <c r="BC160" s="10">
        <v>16089.183300000001</v>
      </c>
      <c r="BD160" s="4">
        <v>305694.48269999999</v>
      </c>
    </row>
    <row r="161" spans="33:56" x14ac:dyDescent="0.35">
      <c r="AG161" s="82" t="s">
        <v>21</v>
      </c>
      <c r="AH161" s="83" t="s">
        <v>11</v>
      </c>
      <c r="AI161" s="18" t="s">
        <v>22</v>
      </c>
      <c r="AJ161" s="18"/>
      <c r="AK161" s="18"/>
      <c r="AL161" s="18"/>
      <c r="AM161" s="18"/>
      <c r="AN161" s="19"/>
      <c r="AX161" s="3" t="s">
        <v>139</v>
      </c>
      <c r="AY161" t="s">
        <v>140</v>
      </c>
      <c r="AZ161" t="s">
        <v>123</v>
      </c>
      <c r="BA161" s="10">
        <v>15</v>
      </c>
      <c r="BB161" t="s">
        <v>5</v>
      </c>
      <c r="BC161" s="10">
        <v>42453.578999999998</v>
      </c>
      <c r="BD161" s="4">
        <v>636803.68500000006</v>
      </c>
    </row>
    <row r="162" spans="33:56" x14ac:dyDescent="0.35">
      <c r="AG162" s="82" t="s">
        <v>26</v>
      </c>
      <c r="AH162" s="83" t="s">
        <v>11</v>
      </c>
      <c r="AI162" s="18" t="s">
        <v>280</v>
      </c>
      <c r="AJ162" s="18"/>
      <c r="AK162" s="18"/>
      <c r="AL162" s="18"/>
      <c r="AM162" s="18"/>
      <c r="AN162" s="19"/>
      <c r="AX162" s="3" t="s">
        <v>141</v>
      </c>
      <c r="AY162" t="s">
        <v>142</v>
      </c>
      <c r="AZ162" t="s">
        <v>123</v>
      </c>
      <c r="BA162" s="10">
        <v>9</v>
      </c>
      <c r="BB162" t="s">
        <v>5</v>
      </c>
      <c r="BC162" s="10">
        <v>41773.5821</v>
      </c>
      <c r="BD162" s="4">
        <v>375962.2389</v>
      </c>
    </row>
    <row r="163" spans="33:56" x14ac:dyDescent="0.35">
      <c r="AG163" s="82" t="s">
        <v>31</v>
      </c>
      <c r="AH163" s="83" t="s">
        <v>11</v>
      </c>
      <c r="AI163" s="18" t="s">
        <v>198</v>
      </c>
      <c r="AJ163" s="18"/>
      <c r="AK163" s="18"/>
      <c r="AL163" s="18"/>
      <c r="AM163" s="18"/>
      <c r="AN163" s="19"/>
      <c r="AX163" s="3" t="s">
        <v>143</v>
      </c>
      <c r="AY163" t="s">
        <v>144</v>
      </c>
      <c r="AZ163" t="s">
        <v>123</v>
      </c>
      <c r="BA163" s="10">
        <v>0.25</v>
      </c>
      <c r="BB163" t="s">
        <v>5</v>
      </c>
      <c r="BC163" s="10">
        <v>55200</v>
      </c>
      <c r="BD163" s="4">
        <v>13800</v>
      </c>
    </row>
    <row r="164" spans="33:56" x14ac:dyDescent="0.35">
      <c r="AG164" s="82" t="s">
        <v>35</v>
      </c>
      <c r="AH164" s="83" t="s">
        <v>11</v>
      </c>
      <c r="AI164" s="18" t="s">
        <v>281</v>
      </c>
      <c r="AJ164" s="18"/>
      <c r="AK164" s="18"/>
      <c r="AL164" s="18"/>
      <c r="AM164" s="18"/>
      <c r="AN164" s="19"/>
      <c r="AX164" s="3" t="s">
        <v>145</v>
      </c>
      <c r="AY164" t="s">
        <v>146</v>
      </c>
      <c r="AZ164" t="s">
        <v>123</v>
      </c>
      <c r="BA164" s="10">
        <v>56</v>
      </c>
      <c r="BB164" t="s">
        <v>5</v>
      </c>
      <c r="BC164" s="10">
        <v>4604.1441999999997</v>
      </c>
      <c r="BD164" s="4">
        <v>257832.07519999999</v>
      </c>
    </row>
    <row r="165" spans="33:56" x14ac:dyDescent="0.35">
      <c r="AG165" s="20"/>
      <c r="AH165" s="18"/>
      <c r="AI165" s="18"/>
      <c r="AJ165" s="18"/>
      <c r="AK165" s="18"/>
      <c r="AL165" s="18"/>
      <c r="AM165" s="18"/>
      <c r="AN165" s="19"/>
      <c r="AX165" s="3" t="s">
        <v>147</v>
      </c>
      <c r="AY165" t="s">
        <v>148</v>
      </c>
      <c r="AZ165" t="s">
        <v>123</v>
      </c>
      <c r="BA165" s="10">
        <v>0.5</v>
      </c>
      <c r="BB165" t="s">
        <v>5</v>
      </c>
      <c r="BC165" s="10">
        <v>14782.333300000004</v>
      </c>
      <c r="BD165" s="4">
        <v>7391.1666500000001</v>
      </c>
    </row>
    <row r="166" spans="33:56" x14ac:dyDescent="0.35">
      <c r="AG166" s="20" t="s">
        <v>42</v>
      </c>
      <c r="AH166" s="18" t="s">
        <v>43</v>
      </c>
      <c r="AI166" s="18" t="s">
        <v>44</v>
      </c>
      <c r="AJ166" s="18" t="s">
        <v>45</v>
      </c>
      <c r="AK166" s="18" t="s">
        <v>46</v>
      </c>
      <c r="AL166" s="18" t="s">
        <v>47</v>
      </c>
      <c r="AM166" s="18" t="s">
        <v>48</v>
      </c>
      <c r="AN166" s="19" t="s">
        <v>49</v>
      </c>
      <c r="AX166" s="3" t="s">
        <v>149</v>
      </c>
      <c r="AY166" t="s">
        <v>150</v>
      </c>
      <c r="AZ166" t="s">
        <v>151</v>
      </c>
      <c r="BA166" s="10">
        <v>1</v>
      </c>
      <c r="BB166" t="s">
        <v>20</v>
      </c>
      <c r="BC166" s="10">
        <v>14620.625</v>
      </c>
      <c r="BD166" s="4">
        <v>14620.625</v>
      </c>
    </row>
    <row r="167" spans="33:56" x14ac:dyDescent="0.35">
      <c r="AG167" s="20">
        <v>1</v>
      </c>
      <c r="AH167" s="18" t="s">
        <v>282</v>
      </c>
      <c r="AI167" s="18" t="s">
        <v>283</v>
      </c>
      <c r="AJ167" s="18" t="s">
        <v>165</v>
      </c>
      <c r="AK167" s="21">
        <v>1</v>
      </c>
      <c r="AL167" s="18" t="s">
        <v>20</v>
      </c>
      <c r="AM167" s="21">
        <v>453050</v>
      </c>
      <c r="AN167" s="19">
        <v>453050</v>
      </c>
      <c r="AX167" s="3" t="s">
        <v>152</v>
      </c>
      <c r="AY167" t="s">
        <v>153</v>
      </c>
      <c r="AZ167" t="s">
        <v>151</v>
      </c>
      <c r="BA167" s="10">
        <v>2</v>
      </c>
      <c r="BB167" t="s">
        <v>20</v>
      </c>
      <c r="BC167" s="10">
        <v>13786</v>
      </c>
      <c r="BD167" s="4">
        <v>27572</v>
      </c>
    </row>
    <row r="168" spans="33:56" x14ac:dyDescent="0.35">
      <c r="AG168" s="20">
        <v>2</v>
      </c>
      <c r="AH168" s="18" t="s">
        <v>284</v>
      </c>
      <c r="AI168" s="18" t="s">
        <v>285</v>
      </c>
      <c r="AJ168" s="18" t="s">
        <v>165</v>
      </c>
      <c r="AK168" s="21">
        <v>2</v>
      </c>
      <c r="AL168" s="18" t="s">
        <v>20</v>
      </c>
      <c r="AM168" s="21">
        <v>6905.6575000000003</v>
      </c>
      <c r="AN168" s="19">
        <v>13811.315000000001</v>
      </c>
      <c r="AX168" s="3" t="s">
        <v>154</v>
      </c>
      <c r="AY168" t="s">
        <v>155</v>
      </c>
      <c r="AZ168" t="s">
        <v>151</v>
      </c>
      <c r="BA168" s="10">
        <v>49</v>
      </c>
      <c r="BB168" t="s">
        <v>20</v>
      </c>
      <c r="BC168" s="10">
        <v>1000.6605</v>
      </c>
      <c r="BD168" s="4">
        <v>49032.364500000003</v>
      </c>
    </row>
    <row r="169" spans="33:56" x14ac:dyDescent="0.35">
      <c r="AG169" s="20">
        <v>3</v>
      </c>
      <c r="AH169" s="18" t="s">
        <v>286</v>
      </c>
      <c r="AI169" s="18" t="s">
        <v>287</v>
      </c>
      <c r="AJ169" s="18" t="s">
        <v>165</v>
      </c>
      <c r="AK169" s="21">
        <v>1</v>
      </c>
      <c r="AL169" s="18" t="s">
        <v>20</v>
      </c>
      <c r="AM169" s="21">
        <v>42846.315799999997</v>
      </c>
      <c r="AN169" s="19">
        <v>42846.315799999997</v>
      </c>
      <c r="AX169" s="3" t="s">
        <v>156</v>
      </c>
      <c r="AY169" t="s">
        <v>157</v>
      </c>
      <c r="AZ169" t="s">
        <v>151</v>
      </c>
      <c r="BA169" s="10">
        <v>2</v>
      </c>
      <c r="BB169" t="s">
        <v>20</v>
      </c>
      <c r="BC169" s="10">
        <v>2042.27</v>
      </c>
      <c r="BD169" s="4">
        <v>4084.54</v>
      </c>
    </row>
    <row r="170" spans="33:56" x14ac:dyDescent="0.35">
      <c r="AG170" s="20">
        <v>4</v>
      </c>
      <c r="AH170" s="18" t="s">
        <v>288</v>
      </c>
      <c r="AI170" s="18" t="s">
        <v>289</v>
      </c>
      <c r="AJ170" s="18" t="s">
        <v>165</v>
      </c>
      <c r="AK170" s="21">
        <v>1</v>
      </c>
      <c r="AL170" s="18" t="s">
        <v>20</v>
      </c>
      <c r="AM170" s="21">
        <v>11629.880622724999</v>
      </c>
      <c r="AN170" s="19">
        <v>11629.880622999999</v>
      </c>
      <c r="AX170" s="3" t="s">
        <v>158</v>
      </c>
      <c r="AY170" t="s">
        <v>159</v>
      </c>
      <c r="AZ170" t="s">
        <v>151</v>
      </c>
      <c r="BA170" s="10">
        <v>2</v>
      </c>
      <c r="BB170" t="s">
        <v>160</v>
      </c>
      <c r="BC170" s="10">
        <v>11281.2646</v>
      </c>
      <c r="BD170" s="4">
        <v>22562.529200000001</v>
      </c>
    </row>
    <row r="171" spans="33:56" x14ac:dyDescent="0.35">
      <c r="AG171" s="20">
        <v>5</v>
      </c>
      <c r="AH171" s="18" t="s">
        <v>176</v>
      </c>
      <c r="AI171" s="18" t="s">
        <v>177</v>
      </c>
      <c r="AJ171" s="18" t="s">
        <v>165</v>
      </c>
      <c r="AK171" s="21">
        <v>3</v>
      </c>
      <c r="AL171" s="18" t="s">
        <v>20</v>
      </c>
      <c r="AM171" s="21">
        <v>10743.434527270705</v>
      </c>
      <c r="AN171" s="19">
        <v>32230.303582</v>
      </c>
      <c r="AX171" s="3" t="s">
        <v>161</v>
      </c>
      <c r="AY171" t="s">
        <v>162</v>
      </c>
      <c r="AZ171" t="s">
        <v>151</v>
      </c>
      <c r="BA171">
        <v>1.6</v>
      </c>
      <c r="BB171" t="s">
        <v>5</v>
      </c>
      <c r="BC171">
        <v>3776.1725000000001</v>
      </c>
      <c r="BD171" s="4">
        <v>6041.8760000000002</v>
      </c>
    </row>
    <row r="172" spans="33:56" x14ac:dyDescent="0.35">
      <c r="AG172" s="20">
        <v>6</v>
      </c>
      <c r="AH172" s="18" t="s">
        <v>290</v>
      </c>
      <c r="AI172" s="18" t="s">
        <v>291</v>
      </c>
      <c r="AJ172" s="18" t="s">
        <v>165</v>
      </c>
      <c r="AK172" s="21">
        <v>1</v>
      </c>
      <c r="AL172" s="18" t="s">
        <v>20</v>
      </c>
      <c r="AM172" s="21">
        <v>12665</v>
      </c>
      <c r="AN172" s="19">
        <v>12665</v>
      </c>
      <c r="AX172" s="3" t="s">
        <v>163</v>
      </c>
      <c r="AY172" t="s">
        <v>164</v>
      </c>
      <c r="AZ172" t="s">
        <v>165</v>
      </c>
      <c r="BA172" s="10">
        <v>1</v>
      </c>
      <c r="BB172" t="s">
        <v>20</v>
      </c>
      <c r="BC172" s="10">
        <v>23194.6</v>
      </c>
      <c r="BD172" s="4">
        <v>23194.6</v>
      </c>
    </row>
    <row r="173" spans="33:56" x14ac:dyDescent="0.35">
      <c r="AG173" s="20">
        <v>7</v>
      </c>
      <c r="AH173" s="18" t="s">
        <v>292</v>
      </c>
      <c r="AI173" s="18" t="s">
        <v>293</v>
      </c>
      <c r="AJ173" s="18" t="s">
        <v>165</v>
      </c>
      <c r="AK173" s="21">
        <v>1</v>
      </c>
      <c r="AL173" s="18" t="s">
        <v>20</v>
      </c>
      <c r="AM173" s="21">
        <v>16766.669999999998</v>
      </c>
      <c r="AN173" s="19">
        <v>16766.669999999998</v>
      </c>
      <c r="AX173" s="3" t="s">
        <v>166</v>
      </c>
      <c r="AY173" t="s">
        <v>167</v>
      </c>
      <c r="AZ173" t="s">
        <v>165</v>
      </c>
      <c r="BA173" s="10">
        <v>1</v>
      </c>
      <c r="BB173" t="s">
        <v>20</v>
      </c>
      <c r="BC173" s="10">
        <v>24650</v>
      </c>
      <c r="BD173" s="4">
        <v>24650</v>
      </c>
    </row>
    <row r="174" spans="33:56" x14ac:dyDescent="0.35">
      <c r="AG174" s="20">
        <v>8</v>
      </c>
      <c r="AH174" s="18" t="s">
        <v>294</v>
      </c>
      <c r="AI174" s="18" t="s">
        <v>295</v>
      </c>
      <c r="AJ174" s="18" t="s">
        <v>165</v>
      </c>
      <c r="AK174" s="21">
        <v>1</v>
      </c>
      <c r="AL174" s="18" t="s">
        <v>20</v>
      </c>
      <c r="AM174" s="21">
        <v>15501.836199999998</v>
      </c>
      <c r="AN174" s="19">
        <v>15501.8362</v>
      </c>
      <c r="AX174" s="3" t="s">
        <v>168</v>
      </c>
      <c r="AY174" t="s">
        <v>169</v>
      </c>
      <c r="AZ174" t="s">
        <v>165</v>
      </c>
      <c r="BA174" s="10">
        <v>7</v>
      </c>
      <c r="BB174" t="s">
        <v>20</v>
      </c>
      <c r="BC174" s="10">
        <v>41934.239000000001</v>
      </c>
      <c r="BD174" s="4">
        <v>293539.67300000001</v>
      </c>
    </row>
    <row r="175" spans="33:56" x14ac:dyDescent="0.35">
      <c r="AG175" s="20">
        <v>9</v>
      </c>
      <c r="AH175" s="18" t="s">
        <v>296</v>
      </c>
      <c r="AI175" s="18" t="s">
        <v>297</v>
      </c>
      <c r="AJ175" s="18" t="s">
        <v>165</v>
      </c>
      <c r="AK175" s="21">
        <v>5</v>
      </c>
      <c r="AL175" s="18" t="s">
        <v>20</v>
      </c>
      <c r="AM175" s="21">
        <v>18704.660599999999</v>
      </c>
      <c r="AN175" s="19">
        <v>93523.303</v>
      </c>
      <c r="AX175" s="3" t="s">
        <v>170</v>
      </c>
      <c r="AY175" t="s">
        <v>171</v>
      </c>
      <c r="AZ175" t="s">
        <v>165</v>
      </c>
      <c r="BA175" s="10">
        <v>1</v>
      </c>
      <c r="BB175" t="s">
        <v>20</v>
      </c>
      <c r="BC175" s="10">
        <v>16850</v>
      </c>
      <c r="BD175" s="4">
        <v>16850</v>
      </c>
    </row>
    <row r="176" spans="33:56" x14ac:dyDescent="0.35">
      <c r="AG176" s="20">
        <v>10</v>
      </c>
      <c r="AH176" s="18" t="s">
        <v>193</v>
      </c>
      <c r="AI176" s="18" t="s">
        <v>194</v>
      </c>
      <c r="AJ176" s="18" t="s">
        <v>192</v>
      </c>
      <c r="AK176" s="21">
        <v>4</v>
      </c>
      <c r="AL176" s="18" t="s">
        <v>20</v>
      </c>
      <c r="AM176" s="21">
        <v>3590</v>
      </c>
      <c r="AN176" s="19">
        <v>14360</v>
      </c>
      <c r="AX176" s="3" t="s">
        <v>173</v>
      </c>
      <c r="AY176" t="s">
        <v>174</v>
      </c>
      <c r="AZ176" t="s">
        <v>165</v>
      </c>
      <c r="BA176" s="10">
        <v>5</v>
      </c>
      <c r="BB176" t="s">
        <v>20</v>
      </c>
      <c r="BC176" s="10">
        <v>18772.62380895</v>
      </c>
      <c r="BD176" s="4">
        <v>93863.119044999999</v>
      </c>
    </row>
    <row r="177" spans="33:56" x14ac:dyDescent="0.35">
      <c r="AG177" s="20">
        <v>11</v>
      </c>
      <c r="AH177" s="18" t="s">
        <v>298</v>
      </c>
      <c r="AI177" s="18" t="s">
        <v>299</v>
      </c>
      <c r="AJ177" s="18" t="s">
        <v>192</v>
      </c>
      <c r="AK177" s="18">
        <v>1</v>
      </c>
      <c r="AL177" s="18" t="s">
        <v>20</v>
      </c>
      <c r="AM177" s="18">
        <v>32435.483870960008</v>
      </c>
      <c r="AN177" s="19">
        <v>32435.483871</v>
      </c>
      <c r="AX177" s="3" t="s">
        <v>176</v>
      </c>
      <c r="AY177" t="s">
        <v>177</v>
      </c>
      <c r="AZ177" t="s">
        <v>165</v>
      </c>
      <c r="BA177" s="10">
        <v>2</v>
      </c>
      <c r="BB177" t="s">
        <v>20</v>
      </c>
      <c r="BC177" s="10">
        <v>10743.434527270705</v>
      </c>
      <c r="BD177" s="4">
        <v>21486.869054999999</v>
      </c>
    </row>
    <row r="178" spans="33:56" ht="15" thickBot="1" x14ac:dyDescent="0.4">
      <c r="AG178" s="22" t="s">
        <v>223</v>
      </c>
      <c r="AH178" s="23" t="s">
        <v>223</v>
      </c>
      <c r="AI178" s="23" t="s">
        <v>223</v>
      </c>
      <c r="AJ178" s="23" t="s">
        <v>223</v>
      </c>
      <c r="AK178" s="23" t="s">
        <v>223</v>
      </c>
      <c r="AL178" s="23" t="s">
        <v>223</v>
      </c>
      <c r="AM178" s="23" t="s">
        <v>224</v>
      </c>
      <c r="AN178" s="24">
        <v>738820.108076</v>
      </c>
      <c r="AX178" s="3" t="s">
        <v>178</v>
      </c>
      <c r="AY178" t="s">
        <v>179</v>
      </c>
      <c r="AZ178" t="s">
        <v>165</v>
      </c>
      <c r="BA178" s="10">
        <v>2</v>
      </c>
      <c r="BB178" t="s">
        <v>20</v>
      </c>
      <c r="BC178" s="10">
        <v>9945</v>
      </c>
      <c r="BD178" s="4">
        <v>19890</v>
      </c>
    </row>
    <row r="179" spans="33:56" x14ac:dyDescent="0.35">
      <c r="AX179" s="3" t="s">
        <v>180</v>
      </c>
      <c r="AY179" t="s">
        <v>181</v>
      </c>
      <c r="AZ179" t="s">
        <v>182</v>
      </c>
      <c r="BA179" s="10">
        <v>71</v>
      </c>
      <c r="BB179" t="s">
        <v>20</v>
      </c>
      <c r="BC179" s="10">
        <v>11541.669999999998</v>
      </c>
      <c r="BD179" s="4">
        <v>819458.57</v>
      </c>
    </row>
    <row r="180" spans="33:56" x14ac:dyDescent="0.35">
      <c r="AX180" s="3" t="s">
        <v>184</v>
      </c>
      <c r="AY180" t="s">
        <v>185</v>
      </c>
      <c r="AZ180" t="s">
        <v>182</v>
      </c>
      <c r="BA180" s="10">
        <v>4</v>
      </c>
      <c r="BB180" t="s">
        <v>20</v>
      </c>
      <c r="BC180" s="10">
        <v>1570.2313999999999</v>
      </c>
      <c r="BD180" s="4">
        <v>6280.9255999999996</v>
      </c>
    </row>
    <row r="181" spans="33:56" x14ac:dyDescent="0.35">
      <c r="AX181" s="3" t="s">
        <v>187</v>
      </c>
      <c r="AY181" t="s">
        <v>188</v>
      </c>
      <c r="AZ181" t="s">
        <v>182</v>
      </c>
      <c r="BA181" s="10">
        <v>6</v>
      </c>
      <c r="BB181" t="s">
        <v>20</v>
      </c>
      <c r="BC181" s="10">
        <v>3391.7220000000002</v>
      </c>
      <c r="BD181" s="4">
        <v>20350.331999999999</v>
      </c>
    </row>
    <row r="182" spans="33:56" x14ac:dyDescent="0.35">
      <c r="AX182" s="3" t="s">
        <v>190</v>
      </c>
      <c r="AY182" t="s">
        <v>191</v>
      </c>
      <c r="AZ182" t="s">
        <v>192</v>
      </c>
      <c r="BA182" s="10">
        <v>3</v>
      </c>
      <c r="BB182" t="s">
        <v>20</v>
      </c>
      <c r="BC182" s="10">
        <v>138557.64136451614</v>
      </c>
      <c r="BD182" s="4">
        <v>415672.92409400002</v>
      </c>
    </row>
    <row r="183" spans="33:56" ht="15" thickBot="1" x14ac:dyDescent="0.4">
      <c r="AX183" s="11" t="s">
        <v>193</v>
      </c>
      <c r="AY183" s="12" t="s">
        <v>194</v>
      </c>
      <c r="AZ183" s="12" t="s">
        <v>192</v>
      </c>
      <c r="BA183" s="12">
        <v>6</v>
      </c>
      <c r="BB183" s="12" t="s">
        <v>20</v>
      </c>
      <c r="BC183" s="12">
        <v>3590</v>
      </c>
      <c r="BD183" s="13">
        <v>21540</v>
      </c>
    </row>
    <row r="184" spans="33:56" ht="15" thickTop="1" x14ac:dyDescent="0.35"/>
  </sheetData>
  <mergeCells count="71">
    <mergeCell ref="O17:P17"/>
    <mergeCell ref="O10:S10"/>
    <mergeCell ref="O12:S12"/>
    <mergeCell ref="O14:P14"/>
    <mergeCell ref="O15:P15"/>
    <mergeCell ref="O16:P16"/>
    <mergeCell ref="O72:S72"/>
    <mergeCell ref="O18:P18"/>
    <mergeCell ref="O19:P19"/>
    <mergeCell ref="O39:S39"/>
    <mergeCell ref="O40:S40"/>
    <mergeCell ref="O42:P42"/>
    <mergeCell ref="O43:P43"/>
    <mergeCell ref="O44:P44"/>
    <mergeCell ref="O45:P45"/>
    <mergeCell ref="O46:P46"/>
    <mergeCell ref="O47:P47"/>
    <mergeCell ref="O71:S71"/>
    <mergeCell ref="O75:P75"/>
    <mergeCell ref="O76:P76"/>
    <mergeCell ref="O77:P77"/>
    <mergeCell ref="O78:P78"/>
    <mergeCell ref="O79:P79"/>
    <mergeCell ref="O111:P111"/>
    <mergeCell ref="O112:P112"/>
    <mergeCell ref="AG1:AK1"/>
    <mergeCell ref="AG11:AH11"/>
    <mergeCell ref="AG12:AH12"/>
    <mergeCell ref="AG13:AH13"/>
    <mergeCell ref="AG14:AH14"/>
    <mergeCell ref="AG15:AH15"/>
    <mergeCell ref="AG16:AH16"/>
    <mergeCell ref="O104:S104"/>
    <mergeCell ref="O105:S105"/>
    <mergeCell ref="O107:P107"/>
    <mergeCell ref="O108:P108"/>
    <mergeCell ref="O109:P109"/>
    <mergeCell ref="O110:P110"/>
    <mergeCell ref="O74:P74"/>
    <mergeCell ref="AG88:AH88"/>
    <mergeCell ref="AG40:AK40"/>
    <mergeCell ref="AG41:AK41"/>
    <mergeCell ref="AG43:AH43"/>
    <mergeCell ref="AG44:AH44"/>
    <mergeCell ref="AG45:AH45"/>
    <mergeCell ref="AG46:AH46"/>
    <mergeCell ref="AG47:AH47"/>
    <mergeCell ref="AG48:AH48"/>
    <mergeCell ref="AG84:AK84"/>
    <mergeCell ref="AG85:AK85"/>
    <mergeCell ref="AG87:AH87"/>
    <mergeCell ref="AG128:AH128"/>
    <mergeCell ref="AG89:AH89"/>
    <mergeCell ref="AG90:AH90"/>
    <mergeCell ref="AG91:AH91"/>
    <mergeCell ref="AG92:AH92"/>
    <mergeCell ref="AG120:AK120"/>
    <mergeCell ref="AG121:AK121"/>
    <mergeCell ref="AG123:AH123"/>
    <mergeCell ref="AG124:AH124"/>
    <mergeCell ref="AG125:AH125"/>
    <mergeCell ref="AG126:AH126"/>
    <mergeCell ref="AG127:AH127"/>
    <mergeCell ref="AG163:AH163"/>
    <mergeCell ref="AG164:AH164"/>
    <mergeCell ref="AG156:AK156"/>
    <mergeCell ref="AG157:AK157"/>
    <mergeCell ref="AG159:AH159"/>
    <mergeCell ref="AG160:AH160"/>
    <mergeCell ref="AG161:AH161"/>
    <mergeCell ref="AG162:AH162"/>
  </mergeCells>
  <conditionalFormatting sqref="J13:J117">
    <cfRule type="containsText" dxfId="63" priority="7" operator="containsText" text="Tidak Ada Perubahan">
      <formula>NOT(ISERROR(SEARCH("Tidak Ada Perubahan",J13)))</formula>
    </cfRule>
    <cfRule type="containsText" dxfId="62" priority="8" operator="containsText" text="Penurunan IU">
      <formula>NOT(ISERROR(SEARCH("Penurunan IU",J13)))</formula>
    </cfRule>
    <cfRule type="containsText" dxfId="61" priority="9" operator="containsText" text="Kenaikan IU">
      <formula>NOT(ISERROR(SEARCH("Kenaikan IU",J13)))</formula>
    </cfRule>
  </conditionalFormatting>
  <conditionalFormatting sqref="A12:I117">
    <cfRule type="expression" dxfId="60" priority="6">
      <formula>CELL("row")=ROW()</formula>
    </cfRule>
  </conditionalFormatting>
  <conditionalFormatting sqref="H13:H117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5:F9">
    <cfRule type="expression" dxfId="59" priority="3">
      <formula>CELL("row")=ROW()</formula>
    </cfRule>
  </conditionalFormatting>
  <conditionalFormatting sqref="H5:J9">
    <cfRule type="expression" dxfId="58" priority="2">
      <formula>CELL("row")=ROW()</formula>
    </cfRule>
  </conditionalFormatting>
  <conditionalFormatting sqref="K13:K117">
    <cfRule type="expression" dxfId="57" priority="1">
      <formula>CELL("row")=ROW()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82ACD-324C-4E24-BBE3-1653F198E707}">
  <sheetPr codeName="Sheet2"/>
  <dimension ref="A3:BD139"/>
  <sheetViews>
    <sheetView showGridLines="0" tabSelected="1" topLeftCell="A3" zoomScale="60" zoomScaleNormal="60" workbookViewId="0">
      <pane xSplit="11" ySplit="10" topLeftCell="L13" activePane="bottomRight" state="frozen"/>
      <selection activeCell="A3" sqref="A3"/>
      <selection pane="topRight" activeCell="L3" sqref="L3"/>
      <selection pane="bottomLeft" activeCell="A13" sqref="A13"/>
      <selection pane="bottomRight" activeCell="L70" activeCellId="1" sqref="K56:K70 L70"/>
    </sheetView>
  </sheetViews>
  <sheetFormatPr defaultRowHeight="14.5" x14ac:dyDescent="0.35"/>
  <cols>
    <col min="1" max="1" width="10.81640625" bestFit="1" customWidth="1"/>
    <col min="2" max="2" width="34" customWidth="1"/>
    <col min="3" max="3" width="26.81640625" customWidth="1"/>
    <col min="4" max="4" width="10.36328125" customWidth="1"/>
    <col min="5" max="5" width="34.6328125" bestFit="1" customWidth="1"/>
    <col min="7" max="7" width="7.7265625" customWidth="1"/>
    <col min="8" max="8" width="10.1796875" customWidth="1"/>
    <col min="9" max="9" width="36.453125" bestFit="1" customWidth="1"/>
    <col min="10" max="10" width="26.453125" bestFit="1" customWidth="1"/>
    <col min="11" max="11" width="67.1796875" customWidth="1"/>
    <col min="47" max="47" width="11.81640625" bestFit="1" customWidth="1"/>
    <col min="55" max="55" width="11.81640625" bestFit="1" customWidth="1"/>
  </cols>
  <sheetData>
    <row r="3" spans="1:56" ht="15" thickBot="1" x14ac:dyDescent="0.4">
      <c r="D3" s="61" t="s">
        <v>863</v>
      </c>
      <c r="E3" s="61"/>
      <c r="F3" s="61"/>
      <c r="H3" s="65" t="s">
        <v>869</v>
      </c>
      <c r="I3" s="65"/>
      <c r="J3" s="65"/>
    </row>
    <row r="4" spans="1:56" ht="15" thickTop="1" x14ac:dyDescent="0.35">
      <c r="D4" s="62" t="s">
        <v>864</v>
      </c>
      <c r="E4" s="62" t="s">
        <v>865</v>
      </c>
      <c r="F4" s="62" t="s">
        <v>866</v>
      </c>
      <c r="H4" s="62" t="s">
        <v>864</v>
      </c>
      <c r="I4" s="62" t="s">
        <v>865</v>
      </c>
      <c r="J4" s="62" t="s">
        <v>866</v>
      </c>
    </row>
    <row r="5" spans="1:56" x14ac:dyDescent="0.35">
      <c r="D5" s="63" t="str">
        <f>INDEX($A$12:$A$100, MATCH(F5, $H$12:$H$100, 0))</f>
        <v>OTH00064</v>
      </c>
      <c r="E5" s="63" t="str">
        <f>INDEX($B$12:$B$100, MATCH(F5, $H$12:$H$100, 0))</f>
        <v>LILIN MEJA / TEALIGHT</v>
      </c>
      <c r="F5" s="63">
        <f>LARGE($H$12:$H$100, ROW(A1))</f>
        <v>17</v>
      </c>
      <c r="H5" s="63" t="str" cm="1">
        <f t="array" ref="H5">INDEX($A$12:$A$100, SMALL(IF($H$12:$H$100=J5, ROW($H$12:$H$100)-ROW($H$12)+1), COUNTIF($J$5:J5, J5)))</f>
        <v>MKT00051</v>
      </c>
      <c r="I5" s="63" t="str" cm="1">
        <f t="array" ref="I5">INDEX($B$12:$B$100, SMALL(IF($H$12:$H$100=J5, ROW($H$12:$H$100)-ROW($H$12)+1), COUNTIF($J$5:J5, J5)))</f>
        <v>VOUCHER FREE RAPOKKI CHADOL</v>
      </c>
      <c r="J5" s="63">
        <f>SMALL($H$12:$H$100, ROW(A1))</f>
        <v>-50</v>
      </c>
    </row>
    <row r="6" spans="1:56" x14ac:dyDescent="0.35">
      <c r="D6" s="63" t="str">
        <f t="shared" ref="D6:D9" si="0">INDEX($A$12:$A$100, MATCH(F6, $H$12:$H$100, 0))</f>
        <v>CECM0012</v>
      </c>
      <c r="E6" s="63" t="str">
        <f t="shared" ref="E6:E9" si="1">INDEX($B$12:$B$100, MATCH(F6, $H$12:$H$100, 0))</f>
        <v>NOBLA LIQUID 20 L</v>
      </c>
      <c r="F6" s="63">
        <f t="shared" ref="F6:F9" si="2">LARGE($H$12:$H$100, ROW(A2))</f>
        <v>11</v>
      </c>
      <c r="H6" s="63" t="str" cm="1">
        <f t="array" ref="H6">INDEX($A$12:$A$100, SMALL(IF($H$12:$H$100=J6, ROW($H$12:$H$100)-ROW($H$12)+1), COUNTIF($J$5:J6, J6)))</f>
        <v>STA00080</v>
      </c>
      <c r="I6" s="63" t="str" cm="1">
        <f t="array" ref="I6">INDEX($B$12:$B$100, SMALL(IF($H$12:$H$100=J6, ROW($H$12:$H$100)-ROW($H$12)+1), COUNTIF($J$5:J6, J6)))</f>
        <v>KERTAS THERMAL 80 X 80</v>
      </c>
      <c r="J6" s="63">
        <f t="shared" ref="J6:J9" si="3">SMALL($H$12:$H$100, ROW(A2))</f>
        <v>-20</v>
      </c>
    </row>
    <row r="7" spans="1:56" x14ac:dyDescent="0.35">
      <c r="D7" s="63" t="str">
        <f t="shared" si="0"/>
        <v>CETS0025</v>
      </c>
      <c r="E7" s="63" t="str">
        <f t="shared" si="1"/>
        <v>PLASTIK SAMPAH 60 x 100 (10 LEMBAR)</v>
      </c>
      <c r="F7" s="63">
        <f t="shared" si="2"/>
        <v>9.8999999999999986</v>
      </c>
      <c r="H7" s="63" t="str" cm="1">
        <f t="array" ref="H7">INDEX($A$12:$A$100, SMALL(IF($H$12:$H$100=J7, ROW($H$12:$H$100)-ROW($H$12)+1), COUNTIF($J$5:J7, J7)))</f>
        <v>NCGK0006</v>
      </c>
      <c r="I7" s="63" t="str" cm="1">
        <f t="array" ref="I7">INDEX($B$12:$B$100, SMALL(IF($H$12:$H$100=J7, ROW($H$12:$H$100)-ROW($H$12)+1), COUNTIF($J$5:J7, J7)))</f>
        <v>TISSUE SEE-U HANDTOWELS @ 20 PACK</v>
      </c>
      <c r="J7" s="63">
        <f t="shared" si="3"/>
        <v>-13</v>
      </c>
    </row>
    <row r="8" spans="1:56" ht="15" thickBot="1" x14ac:dyDescent="0.4">
      <c r="D8" s="63" t="str">
        <f t="shared" si="0"/>
        <v>CETS00028</v>
      </c>
      <c r="E8" s="63" t="str">
        <f t="shared" si="1"/>
        <v>GLUE PAD</v>
      </c>
      <c r="F8" s="63">
        <f t="shared" si="2"/>
        <v>7</v>
      </c>
      <c r="H8" s="63" t="str" cm="1">
        <f t="array" ref="H8">INDEX($A$12:$A$100, SMALL(IF($H$12:$H$100=J8, ROW($H$12:$H$100)-ROW($H$12)+1), COUNTIF($J$5:J8, J8)))</f>
        <v>NCGK0009</v>
      </c>
      <c r="I8" s="63" t="str" cm="1">
        <f t="array" ref="I8">INDEX($B$12:$B$100, SMALL(IF($H$12:$H$100=J8, ROW($H$12:$H$100)-ROW($H$12)+1), COUNTIF($J$5:J8, J8)))</f>
        <v>PLASTIK PE 10 KG 40 x 60</v>
      </c>
      <c r="J8" s="63">
        <f t="shared" si="3"/>
        <v>-10</v>
      </c>
    </row>
    <row r="9" spans="1:56" ht="15.5" thickTop="1" thickBot="1" x14ac:dyDescent="0.4">
      <c r="D9" s="64" t="str">
        <f t="shared" si="0"/>
        <v>KW00137</v>
      </c>
      <c r="E9" s="64" t="str">
        <f t="shared" si="1"/>
        <v>SPATULA SILIKON GAGANG KAYU</v>
      </c>
      <c r="F9" s="64">
        <f t="shared" si="2"/>
        <v>6</v>
      </c>
      <c r="H9" s="64" t="str" cm="1">
        <f t="array" ref="H9">INDEX($A$12:$A$100, SMALL(IF($H$12:$H$100=J9, ROW($H$12:$H$100)-ROW($H$12)+1), COUNTIF($J$5:J9, J9)))</f>
        <v>NCGS0001</v>
      </c>
      <c r="I9" s="64" t="str" cm="1">
        <f t="array" ref="I9">INDEX($B$12:$B$100, SMALL(IF($H$12:$H$100=J9, ROW($H$12:$H$100)-ROW($H$12)+1), COUNTIF($J$5:J9, J9)))</f>
        <v>TISSUE COCKTAIL NAPKIN 11x11 (48 PACK)</v>
      </c>
      <c r="J9" s="64">
        <f t="shared" si="3"/>
        <v>-9</v>
      </c>
      <c r="O9" s="88" t="s">
        <v>0</v>
      </c>
      <c r="P9" s="89"/>
      <c r="Q9" s="89"/>
      <c r="R9" s="89"/>
      <c r="S9" s="89"/>
      <c r="T9" s="1"/>
      <c r="U9" s="1"/>
      <c r="V9" s="2"/>
      <c r="AG9" s="84" t="s">
        <v>0</v>
      </c>
      <c r="AH9" s="85"/>
      <c r="AI9" s="85"/>
      <c r="AJ9" s="85"/>
      <c r="AK9" s="85"/>
      <c r="AL9" s="16"/>
      <c r="AM9" s="16"/>
      <c r="AN9" s="17"/>
    </row>
    <row r="10" spans="1:56" ht="21.5" thickTop="1" x14ac:dyDescent="0.5">
      <c r="B10" s="14" t="s">
        <v>840</v>
      </c>
      <c r="O10" s="3"/>
      <c r="V10" s="4"/>
      <c r="AG10" s="82" t="s">
        <v>1</v>
      </c>
      <c r="AH10" s="83"/>
      <c r="AI10" s="83"/>
      <c r="AJ10" s="83"/>
      <c r="AK10" s="83"/>
      <c r="AL10" s="18"/>
      <c r="AM10" s="18"/>
      <c r="AN10" s="19"/>
    </row>
    <row r="11" spans="1:56" ht="15" thickBot="1" x14ac:dyDescent="0.4">
      <c r="O11" s="3"/>
      <c r="V11" s="4"/>
      <c r="AG11" s="20"/>
      <c r="AH11" s="18"/>
      <c r="AI11" s="18"/>
      <c r="AJ11" s="18"/>
      <c r="AK11" s="18"/>
      <c r="AL11" s="18"/>
      <c r="AM11" s="18"/>
      <c r="AN11" s="19"/>
    </row>
    <row r="12" spans="1:56" ht="33" customHeight="1" thickTop="1" thickBot="1" x14ac:dyDescent="0.4">
      <c r="A12" s="33" t="s">
        <v>200</v>
      </c>
      <c r="B12" s="34" t="s">
        <v>201</v>
      </c>
      <c r="C12" s="34" t="s">
        <v>202</v>
      </c>
      <c r="D12" s="34" t="s">
        <v>203</v>
      </c>
      <c r="E12" s="34" t="s">
        <v>204</v>
      </c>
      <c r="F12" s="35" t="s">
        <v>206</v>
      </c>
      <c r="G12" s="35" t="s">
        <v>470</v>
      </c>
      <c r="H12" s="35" t="s">
        <v>207</v>
      </c>
      <c r="I12" s="34" t="s">
        <v>208</v>
      </c>
      <c r="J12" s="34" t="s">
        <v>209</v>
      </c>
      <c r="K12" s="36" t="s">
        <v>860</v>
      </c>
      <c r="O12" s="86" t="s">
        <v>1</v>
      </c>
      <c r="P12" s="87"/>
      <c r="Q12" s="87"/>
      <c r="R12" s="87"/>
      <c r="S12" s="87"/>
      <c r="V12" s="4"/>
      <c r="X12" s="7" t="s">
        <v>2</v>
      </c>
      <c r="Y12" s="1" t="s">
        <v>3</v>
      </c>
      <c r="Z12" s="1" t="s">
        <v>4</v>
      </c>
      <c r="AA12" s="8">
        <v>11</v>
      </c>
      <c r="AB12" s="1" t="s">
        <v>5</v>
      </c>
      <c r="AC12" s="8">
        <v>20813.0952</v>
      </c>
      <c r="AD12" s="2">
        <v>228944.0472</v>
      </c>
      <c r="AG12" s="82" t="s">
        <v>10</v>
      </c>
      <c r="AH12" s="83" t="s">
        <v>11</v>
      </c>
      <c r="AI12" s="18" t="s">
        <v>344</v>
      </c>
      <c r="AJ12" s="18"/>
      <c r="AK12" s="18"/>
      <c r="AL12" s="18"/>
      <c r="AM12" s="18"/>
      <c r="AN12" s="19"/>
      <c r="AP12" s="25" t="s">
        <v>2</v>
      </c>
      <c r="AQ12" s="16" t="s">
        <v>3</v>
      </c>
      <c r="AR12" s="16" t="s">
        <v>4</v>
      </c>
      <c r="AS12" s="26">
        <v>12</v>
      </c>
      <c r="AT12" s="16" t="s">
        <v>5</v>
      </c>
      <c r="AU12" s="26">
        <v>20989.616399999999</v>
      </c>
      <c r="AV12" s="17">
        <v>251875.39679999999</v>
      </c>
      <c r="AX12" s="25" t="s">
        <v>2</v>
      </c>
      <c r="AY12" s="16" t="s">
        <v>3</v>
      </c>
      <c r="AZ12" s="16" t="s">
        <v>4</v>
      </c>
      <c r="BA12" s="26">
        <v>12</v>
      </c>
      <c r="BB12" s="16" t="s">
        <v>5</v>
      </c>
      <c r="BC12" s="26">
        <v>20989.616399999999</v>
      </c>
      <c r="BD12" s="17">
        <v>251875.39679999999</v>
      </c>
    </row>
    <row r="13" spans="1:56" ht="15" thickTop="1" x14ac:dyDescent="0.35">
      <c r="A13" s="38" t="str" cm="1">
        <f t="array" ref="A13:A94">_xlfn.UNIQUE(_xlfn._xlws.FILTER(AX12:AX307, AX12:AX307 &lt;&gt; ""))</f>
        <v>CECM00013</v>
      </c>
      <c r="B13" s="31" t="str">
        <f>_xlfn.XLOOKUP(A13, AX$12:AX$307, AY$12:AY$307, "", 0)</f>
        <v>DAIA 800 GR</v>
      </c>
      <c r="C13" s="31" t="str">
        <f>_xlfn.XLOOKUP(A13, AX$12:AX$307, AZ$12:AZ$307, "", 0)</f>
        <v>CLEANING CHEMICAL</v>
      </c>
      <c r="D13" s="39" t="str">
        <f>_xlfn.XLOOKUP(A13, AX$12:AX$307, BB$12:BB$307, "", 0)</f>
        <v>pack</v>
      </c>
      <c r="E13" s="40">
        <f>ROUND(_xlfn.XLOOKUP(A13, AX$12:AX$307, BC$12:BC$307, "", 0),2)</f>
        <v>20989.62</v>
      </c>
      <c r="F13" s="48">
        <f>_xlfn.XLOOKUP(A13, X$12:X$307, AA$12:AA$307, "0", 0)</f>
        <v>11</v>
      </c>
      <c r="G13" s="48">
        <f>_xlfn.XLOOKUP(A13, AP$12:AP$307, AS$12:AS$307, "0", 0)</f>
        <v>12</v>
      </c>
      <c r="H13" s="48">
        <f>G13-F13</f>
        <v>1</v>
      </c>
      <c r="I13" s="40">
        <f>H13*E13</f>
        <v>20989.62</v>
      </c>
      <c r="J13" s="39" t="str">
        <f>CHOOSE(SIGN(G13 - F13) + 2, "Penurunan IU", "Tidak Ada Perubahan", "Kenaikan IU")</f>
        <v>Kenaikan IU</v>
      </c>
      <c r="K13" s="42" t="s">
        <v>1270</v>
      </c>
      <c r="O13" s="3"/>
      <c r="V13" s="4"/>
      <c r="X13" s="3" t="s">
        <v>217</v>
      </c>
      <c r="Y13" t="s">
        <v>218</v>
      </c>
      <c r="Z13" t="s">
        <v>4</v>
      </c>
      <c r="AA13" s="10">
        <v>0.1</v>
      </c>
      <c r="AB13" t="s">
        <v>9</v>
      </c>
      <c r="AC13" s="10">
        <v>55300</v>
      </c>
      <c r="AD13" s="4">
        <v>5530</v>
      </c>
      <c r="AG13" s="82" t="s">
        <v>16</v>
      </c>
      <c r="AH13" s="83" t="s">
        <v>11</v>
      </c>
      <c r="AI13" s="18" t="s">
        <v>211</v>
      </c>
      <c r="AJ13" s="18"/>
      <c r="AK13" s="18"/>
      <c r="AL13" s="18"/>
      <c r="AM13" s="18"/>
      <c r="AN13" s="19"/>
      <c r="AP13" s="20" t="s">
        <v>7</v>
      </c>
      <c r="AQ13" s="18" t="s">
        <v>8</v>
      </c>
      <c r="AR13" s="18" t="s">
        <v>4</v>
      </c>
      <c r="AS13" s="21">
        <v>0.05</v>
      </c>
      <c r="AT13" s="18" t="s">
        <v>9</v>
      </c>
      <c r="AU13" s="21">
        <v>133200</v>
      </c>
      <c r="AV13" s="19">
        <v>6660</v>
      </c>
      <c r="AX13" s="20" t="s">
        <v>7</v>
      </c>
      <c r="AY13" s="18" t="s">
        <v>8</v>
      </c>
      <c r="AZ13" s="18" t="s">
        <v>4</v>
      </c>
      <c r="BA13" s="21">
        <v>0.05</v>
      </c>
      <c r="BB13" s="18" t="s">
        <v>9</v>
      </c>
      <c r="BC13" s="21">
        <v>133200</v>
      </c>
      <c r="BD13" s="19">
        <v>6660</v>
      </c>
    </row>
    <row r="14" spans="1:56" x14ac:dyDescent="0.35">
      <c r="A14" s="38" t="str">
        <v>CECM0006</v>
      </c>
      <c r="B14" s="31" t="str">
        <f t="shared" ref="B14:B77" si="4">_xlfn.XLOOKUP(A14, AX$12:AX$307, AY$12:AY$307, "", 0)</f>
        <v>XYZ GREASE CLEANER 5 LTR</v>
      </c>
      <c r="C14" s="31" t="str">
        <f t="shared" ref="C14:C77" si="5">_xlfn.XLOOKUP(A14, AX$12:AX$307, AZ$12:AZ$307, "", 0)</f>
        <v>CLEANING CHEMICAL</v>
      </c>
      <c r="D14" s="39" t="str">
        <f t="shared" ref="D14:D77" si="6">_xlfn.XLOOKUP(A14, AX$12:AX$307, BB$12:BB$307, "", 0)</f>
        <v>gln</v>
      </c>
      <c r="E14" s="40">
        <f t="shared" ref="E14:E77" si="7">ROUND(_xlfn.XLOOKUP(A14, AX$12:AX$307, BC$12:BC$307, "", 0),2)</f>
        <v>133200</v>
      </c>
      <c r="F14" s="48">
        <f t="shared" ref="F14:F77" si="8">_xlfn.XLOOKUP(A14, X$12:X$307, AA$12:AA$307, "0", 0)</f>
        <v>0.15</v>
      </c>
      <c r="G14" s="48">
        <f t="shared" ref="G14:G77" si="9">_xlfn.XLOOKUP(A14, AP$12:AP$307, AS$12:AS$307, "0", 0)</f>
        <v>0.05</v>
      </c>
      <c r="H14" s="48">
        <f t="shared" ref="H14:H77" si="10">G14-F14</f>
        <v>-9.9999999999999992E-2</v>
      </c>
      <c r="I14" s="40">
        <f t="shared" ref="I14:I77" si="11">H14*E14</f>
        <v>-13319.999999999998</v>
      </c>
      <c r="J14" s="39" t="str">
        <f t="shared" ref="J14:J77" si="12">CHOOSE(SIGN(G14 - F14) + 2, "Penurunan IU", "Tidak Ada Perubahan", "Kenaikan IU")</f>
        <v>Penurunan IU</v>
      </c>
      <c r="K14" s="42" t="s">
        <v>1271</v>
      </c>
      <c r="O14" s="3"/>
      <c r="V14" s="4"/>
      <c r="X14" s="3"/>
      <c r="AA14" s="10"/>
      <c r="AC14" s="10"/>
      <c r="AD14" s="4"/>
      <c r="AG14" s="82" t="s">
        <v>21</v>
      </c>
      <c r="AH14" s="83" t="s">
        <v>11</v>
      </c>
      <c r="AI14" s="18" t="s">
        <v>301</v>
      </c>
      <c r="AJ14" s="18"/>
      <c r="AK14" s="18"/>
      <c r="AL14" s="18"/>
      <c r="AM14" s="18"/>
      <c r="AN14" s="19"/>
      <c r="AP14" s="20" t="s">
        <v>18</v>
      </c>
      <c r="AQ14" s="18" t="s">
        <v>19</v>
      </c>
      <c r="AR14" s="18" t="s">
        <v>4</v>
      </c>
      <c r="AS14" s="21">
        <v>0.04</v>
      </c>
      <c r="AT14" s="18" t="s">
        <v>20</v>
      </c>
      <c r="AU14" s="21">
        <v>151400</v>
      </c>
      <c r="AV14" s="19">
        <v>6056</v>
      </c>
      <c r="AX14" s="20" t="s">
        <v>18</v>
      </c>
      <c r="AY14" s="18" t="s">
        <v>19</v>
      </c>
      <c r="AZ14" s="18" t="s">
        <v>4</v>
      </c>
      <c r="BA14" s="21">
        <v>0.04</v>
      </c>
      <c r="BB14" s="18" t="s">
        <v>20</v>
      </c>
      <c r="BC14" s="21">
        <v>151400</v>
      </c>
      <c r="BD14" s="19">
        <v>6056</v>
      </c>
    </row>
    <row r="15" spans="1:56" x14ac:dyDescent="0.35">
      <c r="A15" s="38" t="str">
        <v>CECM0009</v>
      </c>
      <c r="B15" s="31" t="str">
        <f t="shared" si="4"/>
        <v>HAND SANITIZER 5 L</v>
      </c>
      <c r="C15" s="31" t="str">
        <f t="shared" si="5"/>
        <v>CLEANING CHEMICAL</v>
      </c>
      <c r="D15" s="39" t="str">
        <f t="shared" si="6"/>
        <v>pcs</v>
      </c>
      <c r="E15" s="40">
        <f t="shared" si="7"/>
        <v>151400</v>
      </c>
      <c r="F15" s="48">
        <f t="shared" si="8"/>
        <v>0.26</v>
      </c>
      <c r="G15" s="48">
        <f t="shared" si="9"/>
        <v>0.04</v>
      </c>
      <c r="H15" s="48">
        <f t="shared" si="10"/>
        <v>-0.22</v>
      </c>
      <c r="I15" s="40">
        <f t="shared" si="11"/>
        <v>-33308</v>
      </c>
      <c r="J15" s="39" t="str">
        <f t="shared" si="12"/>
        <v>Penurunan IU</v>
      </c>
      <c r="K15" s="42" t="s">
        <v>1271</v>
      </c>
      <c r="O15" s="86" t="s">
        <v>10</v>
      </c>
      <c r="P15" s="87" t="s">
        <v>11</v>
      </c>
      <c r="Q15" t="s">
        <v>300</v>
      </c>
      <c r="V15" s="4"/>
      <c r="X15" s="3" t="s">
        <v>7</v>
      </c>
      <c r="Y15" t="s">
        <v>8</v>
      </c>
      <c r="Z15" t="s">
        <v>4</v>
      </c>
      <c r="AA15" s="10">
        <v>0.15</v>
      </c>
      <c r="AB15" t="s">
        <v>9</v>
      </c>
      <c r="AC15" s="10">
        <v>133200</v>
      </c>
      <c r="AD15" s="4">
        <v>19980</v>
      </c>
      <c r="AG15" s="82" t="s">
        <v>26</v>
      </c>
      <c r="AH15" s="83" t="s">
        <v>11</v>
      </c>
      <c r="AI15" s="18" t="s">
        <v>345</v>
      </c>
      <c r="AJ15" s="18"/>
      <c r="AK15" s="18"/>
      <c r="AL15" s="18"/>
      <c r="AM15" s="18"/>
      <c r="AN15" s="19"/>
      <c r="AP15" s="20" t="s">
        <v>219</v>
      </c>
      <c r="AQ15" s="18" t="s">
        <v>220</v>
      </c>
      <c r="AR15" s="18" t="s">
        <v>4</v>
      </c>
      <c r="AS15" s="21">
        <v>4.12</v>
      </c>
      <c r="AT15" s="18" t="s">
        <v>25</v>
      </c>
      <c r="AU15" s="21">
        <v>71427.563299999994</v>
      </c>
      <c r="AV15" s="19">
        <v>294281.56079600001</v>
      </c>
      <c r="AX15" s="20" t="s">
        <v>219</v>
      </c>
      <c r="AY15" s="18" t="s">
        <v>220</v>
      </c>
      <c r="AZ15" s="18" t="s">
        <v>4</v>
      </c>
      <c r="BA15" s="21">
        <v>4.12</v>
      </c>
      <c r="BB15" s="18" t="s">
        <v>25</v>
      </c>
      <c r="BC15" s="21">
        <v>71427.563299999994</v>
      </c>
      <c r="BD15" s="19">
        <v>294281.56079600001</v>
      </c>
    </row>
    <row r="16" spans="1:56" x14ac:dyDescent="0.35">
      <c r="A16" s="38" t="str">
        <v>CECM0010</v>
      </c>
      <c r="B16" s="31" t="str">
        <f t="shared" si="4"/>
        <v>SUMA CRYSTAL 5 L</v>
      </c>
      <c r="C16" s="31" t="str">
        <f t="shared" si="5"/>
        <v>CLEANING CHEMICAL</v>
      </c>
      <c r="D16" s="39" t="str">
        <f t="shared" si="6"/>
        <v>ltr</v>
      </c>
      <c r="E16" s="40">
        <f t="shared" si="7"/>
        <v>71427.56</v>
      </c>
      <c r="F16" s="48">
        <f t="shared" si="8"/>
        <v>1.18</v>
      </c>
      <c r="G16" s="48">
        <f t="shared" si="9"/>
        <v>4.12</v>
      </c>
      <c r="H16" s="48">
        <f t="shared" si="10"/>
        <v>2.9400000000000004</v>
      </c>
      <c r="I16" s="40">
        <f t="shared" si="11"/>
        <v>209997.02640000003</v>
      </c>
      <c r="J16" s="39" t="str">
        <f t="shared" si="12"/>
        <v>Kenaikan IU</v>
      </c>
      <c r="K16" s="42" t="s">
        <v>1272</v>
      </c>
      <c r="O16" s="86" t="s">
        <v>16</v>
      </c>
      <c r="P16" s="87" t="s">
        <v>11</v>
      </c>
      <c r="Q16" t="s">
        <v>17</v>
      </c>
      <c r="V16" s="4"/>
      <c r="X16" s="3" t="s">
        <v>13</v>
      </c>
      <c r="Y16" t="s">
        <v>14</v>
      </c>
      <c r="Z16" t="s">
        <v>4</v>
      </c>
      <c r="AA16" s="10">
        <v>0.2</v>
      </c>
      <c r="AB16" t="s">
        <v>15</v>
      </c>
      <c r="AC16" s="10">
        <v>77700</v>
      </c>
      <c r="AD16" s="4">
        <v>15540</v>
      </c>
      <c r="AG16" s="82" t="s">
        <v>31</v>
      </c>
      <c r="AH16" s="83" t="s">
        <v>11</v>
      </c>
      <c r="AI16" s="18" t="s">
        <v>32</v>
      </c>
      <c r="AJ16" s="18"/>
      <c r="AK16" s="18"/>
      <c r="AL16" s="18"/>
      <c r="AM16" s="18"/>
      <c r="AN16" s="19"/>
      <c r="AP16" s="20" t="s">
        <v>23</v>
      </c>
      <c r="AQ16" s="18" t="s">
        <v>24</v>
      </c>
      <c r="AR16" s="18" t="s">
        <v>4</v>
      </c>
      <c r="AS16" s="21">
        <v>16</v>
      </c>
      <c r="AT16" s="18" t="s">
        <v>25</v>
      </c>
      <c r="AU16" s="21">
        <v>27056.9791</v>
      </c>
      <c r="AV16" s="19">
        <v>432911.66560000001</v>
      </c>
      <c r="AX16" s="20" t="s">
        <v>23</v>
      </c>
      <c r="AY16" s="18" t="s">
        <v>24</v>
      </c>
      <c r="AZ16" s="18" t="s">
        <v>4</v>
      </c>
      <c r="BA16" s="21">
        <v>16</v>
      </c>
      <c r="BB16" s="18" t="s">
        <v>25</v>
      </c>
      <c r="BC16" s="21">
        <v>27056.9791</v>
      </c>
      <c r="BD16" s="19">
        <v>432911.66560000001</v>
      </c>
    </row>
    <row r="17" spans="1:56" x14ac:dyDescent="0.35">
      <c r="A17" s="38" t="str">
        <v>CECM0012</v>
      </c>
      <c r="B17" s="31" t="str">
        <f t="shared" si="4"/>
        <v>NOBLA LIQUID 20 L</v>
      </c>
      <c r="C17" s="31" t="str">
        <f t="shared" si="5"/>
        <v>CLEANING CHEMICAL</v>
      </c>
      <c r="D17" s="39" t="str">
        <f t="shared" si="6"/>
        <v>ltr</v>
      </c>
      <c r="E17" s="40">
        <f t="shared" si="7"/>
        <v>27056.98</v>
      </c>
      <c r="F17" s="48">
        <f t="shared" si="8"/>
        <v>5</v>
      </c>
      <c r="G17" s="48">
        <f t="shared" si="9"/>
        <v>16</v>
      </c>
      <c r="H17" s="48">
        <f t="shared" si="10"/>
        <v>11</v>
      </c>
      <c r="I17" s="40">
        <f t="shared" si="11"/>
        <v>297626.77999999997</v>
      </c>
      <c r="J17" s="39" t="str">
        <f t="shared" si="12"/>
        <v>Kenaikan IU</v>
      </c>
      <c r="K17" s="42" t="s">
        <v>1272</v>
      </c>
      <c r="O17" s="86" t="s">
        <v>21</v>
      </c>
      <c r="P17" s="87" t="s">
        <v>11</v>
      </c>
      <c r="Q17" t="s">
        <v>301</v>
      </c>
      <c r="V17" s="4"/>
      <c r="X17" s="3" t="s">
        <v>18</v>
      </c>
      <c r="Y17" t="s">
        <v>19</v>
      </c>
      <c r="Z17" t="s">
        <v>4</v>
      </c>
      <c r="AA17" s="10">
        <v>0.26</v>
      </c>
      <c r="AB17" t="s">
        <v>20</v>
      </c>
      <c r="AC17" s="10">
        <v>151400</v>
      </c>
      <c r="AD17" s="4">
        <v>39364</v>
      </c>
      <c r="AG17" s="82" t="s">
        <v>35</v>
      </c>
      <c r="AH17" s="83" t="s">
        <v>11</v>
      </c>
      <c r="AI17" s="18" t="s">
        <v>346</v>
      </c>
      <c r="AJ17" s="18"/>
      <c r="AK17" s="18"/>
      <c r="AL17" s="18"/>
      <c r="AM17" s="18"/>
      <c r="AN17" s="19"/>
      <c r="AP17" s="20" t="s">
        <v>28</v>
      </c>
      <c r="AQ17" s="18" t="s">
        <v>29</v>
      </c>
      <c r="AR17" s="18" t="s">
        <v>4</v>
      </c>
      <c r="AS17" s="21">
        <v>3</v>
      </c>
      <c r="AT17" s="18" t="s">
        <v>30</v>
      </c>
      <c r="AU17" s="21">
        <v>19760</v>
      </c>
      <c r="AV17" s="19">
        <v>59280</v>
      </c>
      <c r="AX17" s="20" t="s">
        <v>28</v>
      </c>
      <c r="AY17" s="18" t="s">
        <v>29</v>
      </c>
      <c r="AZ17" s="18" t="s">
        <v>4</v>
      </c>
      <c r="BA17" s="21">
        <v>3</v>
      </c>
      <c r="BB17" s="18" t="s">
        <v>30</v>
      </c>
      <c r="BC17" s="21">
        <v>19760</v>
      </c>
      <c r="BD17" s="19">
        <v>59280</v>
      </c>
    </row>
    <row r="18" spans="1:56" x14ac:dyDescent="0.35">
      <c r="A18" s="38" t="str">
        <v>CECM0014</v>
      </c>
      <c r="B18" s="31" t="str">
        <f t="shared" si="4"/>
        <v>XYZ KARBOL LEMONGRASS 5 L</v>
      </c>
      <c r="C18" s="31" t="str">
        <f t="shared" si="5"/>
        <v>CLEANING CHEMICAL</v>
      </c>
      <c r="D18" s="39" t="str">
        <f t="shared" si="6"/>
        <v>liter</v>
      </c>
      <c r="E18" s="40">
        <f t="shared" si="7"/>
        <v>19760</v>
      </c>
      <c r="F18" s="48">
        <f t="shared" si="8"/>
        <v>9</v>
      </c>
      <c r="G18" s="48">
        <f t="shared" si="9"/>
        <v>3</v>
      </c>
      <c r="H18" s="48">
        <f t="shared" si="10"/>
        <v>-6</v>
      </c>
      <c r="I18" s="40">
        <f t="shared" si="11"/>
        <v>-118560</v>
      </c>
      <c r="J18" s="39" t="str">
        <f t="shared" si="12"/>
        <v>Penurunan IU</v>
      </c>
      <c r="K18" s="42" t="s">
        <v>1271</v>
      </c>
      <c r="O18" s="86" t="s">
        <v>26</v>
      </c>
      <c r="P18" s="87" t="s">
        <v>11</v>
      </c>
      <c r="Q18" t="s">
        <v>302</v>
      </c>
      <c r="V18" s="4"/>
      <c r="X18" s="3" t="s">
        <v>219</v>
      </c>
      <c r="Y18" t="s">
        <v>220</v>
      </c>
      <c r="Z18" t="s">
        <v>4</v>
      </c>
      <c r="AA18" s="10">
        <v>1.18</v>
      </c>
      <c r="AB18" t="s">
        <v>25</v>
      </c>
      <c r="AC18" s="10">
        <v>71587.867155570377</v>
      </c>
      <c r="AD18" s="4">
        <v>84473.683244</v>
      </c>
      <c r="AG18" s="20"/>
      <c r="AH18" s="18"/>
      <c r="AI18" s="18"/>
      <c r="AJ18" s="18"/>
      <c r="AK18" s="18"/>
      <c r="AL18" s="18"/>
      <c r="AM18" s="18"/>
      <c r="AN18" s="19"/>
      <c r="AP18" s="20" t="s">
        <v>39</v>
      </c>
      <c r="AQ18" s="18" t="s">
        <v>40</v>
      </c>
      <c r="AR18" s="18" t="s">
        <v>41</v>
      </c>
      <c r="AS18" s="21">
        <v>3</v>
      </c>
      <c r="AT18" s="18" t="s">
        <v>20</v>
      </c>
      <c r="AU18" s="21">
        <v>6972.4275861636361</v>
      </c>
      <c r="AV18" s="19">
        <v>20917.282758000001</v>
      </c>
      <c r="AX18" s="20" t="s">
        <v>39</v>
      </c>
      <c r="AY18" s="18" t="s">
        <v>40</v>
      </c>
      <c r="AZ18" s="18" t="s">
        <v>41</v>
      </c>
      <c r="BA18" s="21">
        <v>3</v>
      </c>
      <c r="BB18" s="18" t="s">
        <v>20</v>
      </c>
      <c r="BC18" s="21">
        <v>6972.4275861636361</v>
      </c>
      <c r="BD18" s="19">
        <v>20917.282758000001</v>
      </c>
    </row>
    <row r="19" spans="1:56" x14ac:dyDescent="0.35">
      <c r="A19" s="38" t="str">
        <v>CETS0001</v>
      </c>
      <c r="B19" s="31" t="str">
        <f t="shared" si="4"/>
        <v>TOWEL ANJOLY BIRU-KECIL</v>
      </c>
      <c r="C19" s="31" t="str">
        <f t="shared" si="5"/>
        <v>CLEANING TOOLS AND SUPPLIES</v>
      </c>
      <c r="D19" s="39" t="str">
        <f t="shared" si="6"/>
        <v>pcs</v>
      </c>
      <c r="E19" s="40">
        <f t="shared" si="7"/>
        <v>6972.43</v>
      </c>
      <c r="F19" s="48">
        <f t="shared" si="8"/>
        <v>2</v>
      </c>
      <c r="G19" s="48">
        <f t="shared" si="9"/>
        <v>3</v>
      </c>
      <c r="H19" s="48">
        <f t="shared" si="10"/>
        <v>1</v>
      </c>
      <c r="I19" s="40">
        <f t="shared" si="11"/>
        <v>6972.43</v>
      </c>
      <c r="J19" s="39" t="str">
        <f t="shared" si="12"/>
        <v>Kenaikan IU</v>
      </c>
      <c r="K19" s="42" t="s">
        <v>1270</v>
      </c>
      <c r="O19" s="86" t="s">
        <v>31</v>
      </c>
      <c r="P19" s="87" t="s">
        <v>11</v>
      </c>
      <c r="Q19" t="s">
        <v>32</v>
      </c>
      <c r="V19" s="4"/>
      <c r="X19" s="3" t="s">
        <v>221</v>
      </c>
      <c r="Y19" t="s">
        <v>222</v>
      </c>
      <c r="Z19" t="s">
        <v>4</v>
      </c>
      <c r="AA19" s="10">
        <v>8.4</v>
      </c>
      <c r="AB19" t="s">
        <v>25</v>
      </c>
      <c r="AC19" s="10">
        <v>93034.695699999997</v>
      </c>
      <c r="AD19" s="4">
        <v>781491.44388000004</v>
      </c>
      <c r="AG19" s="20" t="s">
        <v>42</v>
      </c>
      <c r="AH19" s="18" t="s">
        <v>43</v>
      </c>
      <c r="AI19" s="18" t="s">
        <v>44</v>
      </c>
      <c r="AJ19" s="18" t="s">
        <v>45</v>
      </c>
      <c r="AK19" s="18" t="s">
        <v>46</v>
      </c>
      <c r="AL19" s="18" t="s">
        <v>47</v>
      </c>
      <c r="AM19" s="18" t="s">
        <v>48</v>
      </c>
      <c r="AN19" s="19" t="s">
        <v>49</v>
      </c>
      <c r="AP19" s="20" t="s">
        <v>50</v>
      </c>
      <c r="AQ19" s="18" t="s">
        <v>51</v>
      </c>
      <c r="AR19" s="18" t="s">
        <v>41</v>
      </c>
      <c r="AS19" s="21">
        <v>8</v>
      </c>
      <c r="AT19" s="18" t="s">
        <v>52</v>
      </c>
      <c r="AU19" s="21">
        <v>20500</v>
      </c>
      <c r="AV19" s="19">
        <v>164000</v>
      </c>
      <c r="AX19" s="20" t="s">
        <v>50</v>
      </c>
      <c r="AY19" s="18" t="s">
        <v>51</v>
      </c>
      <c r="AZ19" s="18" t="s">
        <v>41</v>
      </c>
      <c r="BA19" s="21">
        <v>8</v>
      </c>
      <c r="BB19" s="18" t="s">
        <v>52</v>
      </c>
      <c r="BC19" s="21">
        <v>20500</v>
      </c>
      <c r="BD19" s="19">
        <v>164000</v>
      </c>
    </row>
    <row r="20" spans="1:56" x14ac:dyDescent="0.35">
      <c r="A20" s="38" t="str">
        <v>CETS00028</v>
      </c>
      <c r="B20" s="31" t="str">
        <f t="shared" si="4"/>
        <v>GLUE PAD</v>
      </c>
      <c r="C20" s="31" t="str">
        <f t="shared" si="5"/>
        <v>CLEANING TOOLS AND SUPPLIES</v>
      </c>
      <c r="D20" s="39" t="str">
        <f t="shared" si="6"/>
        <v>lembar</v>
      </c>
      <c r="E20" s="40">
        <f t="shared" si="7"/>
        <v>20500</v>
      </c>
      <c r="F20" s="48">
        <f t="shared" si="8"/>
        <v>1</v>
      </c>
      <c r="G20" s="48">
        <f t="shared" si="9"/>
        <v>8</v>
      </c>
      <c r="H20" s="48">
        <f t="shared" si="10"/>
        <v>7</v>
      </c>
      <c r="I20" s="40">
        <f t="shared" si="11"/>
        <v>143500</v>
      </c>
      <c r="J20" s="39" t="str">
        <f t="shared" si="12"/>
        <v>Kenaikan IU</v>
      </c>
      <c r="K20" s="42" t="s">
        <v>1273</v>
      </c>
      <c r="O20" s="86" t="s">
        <v>35</v>
      </c>
      <c r="P20" s="87" t="s">
        <v>11</v>
      </c>
      <c r="Q20" t="s">
        <v>303</v>
      </c>
      <c r="V20" s="4"/>
      <c r="X20" s="3" t="s">
        <v>23</v>
      </c>
      <c r="Y20" t="s">
        <v>24</v>
      </c>
      <c r="Z20" t="s">
        <v>4</v>
      </c>
      <c r="AA20" s="10">
        <v>5</v>
      </c>
      <c r="AB20" t="s">
        <v>25</v>
      </c>
      <c r="AC20" s="10">
        <v>26384.678000000004</v>
      </c>
      <c r="AD20" s="4">
        <v>131923.39000000001</v>
      </c>
      <c r="AG20" s="20">
        <v>1</v>
      </c>
      <c r="AH20" s="18" t="s">
        <v>2</v>
      </c>
      <c r="AI20" s="18" t="s">
        <v>3</v>
      </c>
      <c r="AJ20" s="18" t="s">
        <v>4</v>
      </c>
      <c r="AK20" s="21">
        <v>12</v>
      </c>
      <c r="AL20" s="18" t="s">
        <v>5</v>
      </c>
      <c r="AM20" s="21">
        <v>20989.616399999999</v>
      </c>
      <c r="AN20" s="19">
        <v>251875.39679999999</v>
      </c>
      <c r="AP20" s="20" t="s">
        <v>308</v>
      </c>
      <c r="AQ20" s="18" t="s">
        <v>309</v>
      </c>
      <c r="AR20" s="18" t="s">
        <v>41</v>
      </c>
      <c r="AS20" s="21">
        <v>2</v>
      </c>
      <c r="AT20" s="18" t="s">
        <v>20</v>
      </c>
      <c r="AU20" s="21">
        <v>8699.6363636565657</v>
      </c>
      <c r="AV20" s="19">
        <v>17399.272727</v>
      </c>
      <c r="AX20" s="20" t="s">
        <v>308</v>
      </c>
      <c r="AY20" s="18" t="s">
        <v>309</v>
      </c>
      <c r="AZ20" s="18" t="s">
        <v>41</v>
      </c>
      <c r="BA20" s="21">
        <v>2</v>
      </c>
      <c r="BB20" s="18" t="s">
        <v>20</v>
      </c>
      <c r="BC20" s="21">
        <v>8699.6363636565657</v>
      </c>
      <c r="BD20" s="19">
        <v>17399.272727</v>
      </c>
    </row>
    <row r="21" spans="1:56" x14ac:dyDescent="0.35">
      <c r="A21" s="38" t="str">
        <v>CETS0005</v>
      </c>
      <c r="B21" s="31" t="str">
        <f t="shared" si="4"/>
        <v>TOWEL ANJOLY HIJAU -KECIL</v>
      </c>
      <c r="C21" s="31" t="str">
        <f t="shared" si="5"/>
        <v>CLEANING TOOLS AND SUPPLIES</v>
      </c>
      <c r="D21" s="39" t="str">
        <f t="shared" si="6"/>
        <v>pcs</v>
      </c>
      <c r="E21" s="40">
        <f t="shared" si="7"/>
        <v>8699.64</v>
      </c>
      <c r="F21" s="48">
        <f t="shared" si="8"/>
        <v>1</v>
      </c>
      <c r="G21" s="48">
        <f t="shared" si="9"/>
        <v>2</v>
      </c>
      <c r="H21" s="48">
        <f t="shared" si="10"/>
        <v>1</v>
      </c>
      <c r="I21" s="40">
        <f t="shared" si="11"/>
        <v>8699.64</v>
      </c>
      <c r="J21" s="39" t="str">
        <f t="shared" si="12"/>
        <v>Kenaikan IU</v>
      </c>
      <c r="K21" s="42" t="s">
        <v>1274</v>
      </c>
      <c r="O21" s="3"/>
      <c r="V21" s="4"/>
      <c r="X21" s="3" t="s">
        <v>28</v>
      </c>
      <c r="Y21" t="s">
        <v>29</v>
      </c>
      <c r="Z21" t="s">
        <v>4</v>
      </c>
      <c r="AA21" s="10">
        <v>9</v>
      </c>
      <c r="AB21" t="s">
        <v>30</v>
      </c>
      <c r="AC21" s="10">
        <v>19760</v>
      </c>
      <c r="AD21" s="4">
        <v>177840</v>
      </c>
      <c r="AG21" s="20">
        <v>2</v>
      </c>
      <c r="AH21" s="18" t="s">
        <v>7</v>
      </c>
      <c r="AI21" s="18" t="s">
        <v>8</v>
      </c>
      <c r="AJ21" s="18" t="s">
        <v>4</v>
      </c>
      <c r="AK21" s="21">
        <v>0.05</v>
      </c>
      <c r="AL21" s="18" t="s">
        <v>9</v>
      </c>
      <c r="AM21" s="21">
        <v>133200</v>
      </c>
      <c r="AN21" s="19">
        <v>6660</v>
      </c>
      <c r="AP21" s="20" t="s">
        <v>53</v>
      </c>
      <c r="AQ21" s="18" t="s">
        <v>54</v>
      </c>
      <c r="AR21" s="18" t="s">
        <v>41</v>
      </c>
      <c r="AS21" s="21">
        <v>12</v>
      </c>
      <c r="AT21" s="18" t="s">
        <v>20</v>
      </c>
      <c r="AU21" s="21">
        <v>4011.106600000001</v>
      </c>
      <c r="AV21" s="19">
        <v>48133.279199999997</v>
      </c>
      <c r="AX21" s="20" t="s">
        <v>53</v>
      </c>
      <c r="AY21" s="18" t="s">
        <v>54</v>
      </c>
      <c r="AZ21" s="18" t="s">
        <v>41</v>
      </c>
      <c r="BA21" s="21">
        <v>12</v>
      </c>
      <c r="BB21" s="18" t="s">
        <v>20</v>
      </c>
      <c r="BC21" s="21">
        <v>4011.106600000001</v>
      </c>
      <c r="BD21" s="19">
        <v>48133.279199999997</v>
      </c>
    </row>
    <row r="22" spans="1:56" x14ac:dyDescent="0.35">
      <c r="A22" s="38" t="str">
        <v>CETS0006</v>
      </c>
      <c r="B22" s="31" t="str">
        <f t="shared" si="4"/>
        <v>SPONGE BUSA</v>
      </c>
      <c r="C22" s="31" t="str">
        <f t="shared" si="5"/>
        <v>CLEANING TOOLS AND SUPPLIES</v>
      </c>
      <c r="D22" s="39" t="str">
        <f t="shared" si="6"/>
        <v>pcs</v>
      </c>
      <c r="E22" s="40">
        <f t="shared" si="7"/>
        <v>4011.11</v>
      </c>
      <c r="F22" s="48">
        <f t="shared" si="8"/>
        <v>14</v>
      </c>
      <c r="G22" s="48">
        <f t="shared" si="9"/>
        <v>12</v>
      </c>
      <c r="H22" s="48">
        <f t="shared" si="10"/>
        <v>-2</v>
      </c>
      <c r="I22" s="40">
        <f t="shared" si="11"/>
        <v>-8022.22</v>
      </c>
      <c r="J22" s="39" t="str">
        <f t="shared" si="12"/>
        <v>Penurunan IU</v>
      </c>
      <c r="K22" s="42" t="s">
        <v>1275</v>
      </c>
      <c r="O22" s="3" t="s">
        <v>42</v>
      </c>
      <c r="P22" t="s">
        <v>43</v>
      </c>
      <c r="Q22" t="s">
        <v>44</v>
      </c>
      <c r="R22" t="s">
        <v>45</v>
      </c>
      <c r="S22" t="s">
        <v>46</v>
      </c>
      <c r="T22" t="s">
        <v>47</v>
      </c>
      <c r="U22" t="s">
        <v>48</v>
      </c>
      <c r="V22" s="4" t="s">
        <v>49</v>
      </c>
      <c r="X22" s="3" t="s">
        <v>39</v>
      </c>
      <c r="Y22" t="s">
        <v>40</v>
      </c>
      <c r="Z22" t="s">
        <v>41</v>
      </c>
      <c r="AA22" s="10">
        <v>2</v>
      </c>
      <c r="AB22" t="s">
        <v>20</v>
      </c>
      <c r="AC22" s="10">
        <v>6972.4275861636361</v>
      </c>
      <c r="AD22" s="4">
        <v>13944.855172</v>
      </c>
      <c r="AG22" s="20">
        <v>3</v>
      </c>
      <c r="AH22" s="18" t="s">
        <v>18</v>
      </c>
      <c r="AI22" s="18" t="s">
        <v>19</v>
      </c>
      <c r="AJ22" s="18" t="s">
        <v>4</v>
      </c>
      <c r="AK22" s="21">
        <v>0.04</v>
      </c>
      <c r="AL22" s="18" t="s">
        <v>20</v>
      </c>
      <c r="AM22" s="21">
        <v>151400</v>
      </c>
      <c r="AN22" s="19">
        <v>6056</v>
      </c>
      <c r="AP22" s="20" t="s">
        <v>57</v>
      </c>
      <c r="AQ22" s="18" t="s">
        <v>58</v>
      </c>
      <c r="AR22" s="18" t="s">
        <v>41</v>
      </c>
      <c r="AS22" s="21">
        <v>14.1</v>
      </c>
      <c r="AT22" s="18" t="s">
        <v>5</v>
      </c>
      <c r="AU22" s="21">
        <v>8997.5239000000001</v>
      </c>
      <c r="AV22" s="19">
        <v>126865.08699</v>
      </c>
      <c r="AX22" s="20" t="s">
        <v>57</v>
      </c>
      <c r="AY22" s="18" t="s">
        <v>58</v>
      </c>
      <c r="AZ22" s="18" t="s">
        <v>41</v>
      </c>
      <c r="BA22" s="21">
        <v>14.1</v>
      </c>
      <c r="BB22" s="18" t="s">
        <v>5</v>
      </c>
      <c r="BC22" s="21">
        <v>8997.5239000000001</v>
      </c>
      <c r="BD22" s="19">
        <v>126865.08699</v>
      </c>
    </row>
    <row r="23" spans="1:56" x14ac:dyDescent="0.35">
      <c r="A23" s="38" t="str">
        <v>CETS0025</v>
      </c>
      <c r="B23" s="31" t="str">
        <f t="shared" si="4"/>
        <v>PLASTIK SAMPAH 60 x 100 (10 LEMBAR)</v>
      </c>
      <c r="C23" s="31" t="str">
        <f t="shared" si="5"/>
        <v>CLEANING TOOLS AND SUPPLIES</v>
      </c>
      <c r="D23" s="39" t="str">
        <f t="shared" si="6"/>
        <v>pack</v>
      </c>
      <c r="E23" s="40">
        <f t="shared" si="7"/>
        <v>8997.52</v>
      </c>
      <c r="F23" s="48">
        <f t="shared" si="8"/>
        <v>4.2</v>
      </c>
      <c r="G23" s="48">
        <f t="shared" si="9"/>
        <v>14.1</v>
      </c>
      <c r="H23" s="48">
        <f t="shared" si="10"/>
        <v>9.8999999999999986</v>
      </c>
      <c r="I23" s="40">
        <f t="shared" si="11"/>
        <v>89075.447999999989</v>
      </c>
      <c r="J23" s="39" t="str">
        <f t="shared" si="12"/>
        <v>Kenaikan IU</v>
      </c>
      <c r="K23" s="42" t="s">
        <v>1274</v>
      </c>
      <c r="O23" s="3">
        <v>1</v>
      </c>
      <c r="P23" t="s">
        <v>2</v>
      </c>
      <c r="Q23" t="s">
        <v>3</v>
      </c>
      <c r="R23" t="s">
        <v>4</v>
      </c>
      <c r="S23" s="10">
        <v>11</v>
      </c>
      <c r="T23" t="s">
        <v>5</v>
      </c>
      <c r="U23" s="10">
        <v>20813.0952</v>
      </c>
      <c r="V23" s="4">
        <v>228944.0472</v>
      </c>
      <c r="X23" s="3" t="s">
        <v>304</v>
      </c>
      <c r="Y23" t="s">
        <v>305</v>
      </c>
      <c r="Z23" t="s">
        <v>41</v>
      </c>
      <c r="AA23" s="10">
        <v>2</v>
      </c>
      <c r="AB23" t="s">
        <v>20</v>
      </c>
      <c r="AC23" s="10">
        <v>6961.0322580300008</v>
      </c>
      <c r="AD23" s="4">
        <v>13922.064516</v>
      </c>
      <c r="AG23" s="20">
        <v>4</v>
      </c>
      <c r="AH23" s="18" t="s">
        <v>219</v>
      </c>
      <c r="AI23" s="18" t="s">
        <v>220</v>
      </c>
      <c r="AJ23" s="18" t="s">
        <v>4</v>
      </c>
      <c r="AK23" s="21">
        <v>4.12</v>
      </c>
      <c r="AL23" s="18" t="s">
        <v>25</v>
      </c>
      <c r="AM23" s="21">
        <v>71427.563299999994</v>
      </c>
      <c r="AN23" s="19">
        <v>294281.56079600001</v>
      </c>
      <c r="AP23" s="20" t="s">
        <v>59</v>
      </c>
      <c r="AQ23" s="18" t="s">
        <v>60</v>
      </c>
      <c r="AR23" s="18" t="s">
        <v>41</v>
      </c>
      <c r="AS23" s="21">
        <v>9.1999999999999993</v>
      </c>
      <c r="AT23" s="18" t="s">
        <v>5</v>
      </c>
      <c r="AU23" s="21">
        <v>7999.5414000000001</v>
      </c>
      <c r="AV23" s="19">
        <v>73595.780880000006</v>
      </c>
      <c r="AX23" s="20" t="s">
        <v>59</v>
      </c>
      <c r="AY23" s="18" t="s">
        <v>60</v>
      </c>
      <c r="AZ23" s="18" t="s">
        <v>41</v>
      </c>
      <c r="BA23" s="21">
        <v>9.1999999999999993</v>
      </c>
      <c r="BB23" s="18" t="s">
        <v>5</v>
      </c>
      <c r="BC23" s="21">
        <v>7999.5414000000001</v>
      </c>
      <c r="BD23" s="19">
        <v>73595.780880000006</v>
      </c>
    </row>
    <row r="24" spans="1:56" x14ac:dyDescent="0.35">
      <c r="A24" s="38" t="str">
        <v>CETS0026</v>
      </c>
      <c r="B24" s="31" t="str">
        <f t="shared" si="4"/>
        <v>PLASTIK SAMPAH 90 x 120 (5 LEMBAR)</v>
      </c>
      <c r="C24" s="31" t="str">
        <f t="shared" si="5"/>
        <v>CLEANING TOOLS AND SUPPLIES</v>
      </c>
      <c r="D24" s="39" t="str">
        <f t="shared" si="6"/>
        <v>pack</v>
      </c>
      <c r="E24" s="40">
        <f t="shared" si="7"/>
        <v>7999.54</v>
      </c>
      <c r="F24" s="48">
        <f t="shared" si="8"/>
        <v>3.4</v>
      </c>
      <c r="G24" s="48">
        <f t="shared" si="9"/>
        <v>9.1999999999999993</v>
      </c>
      <c r="H24" s="48">
        <f t="shared" si="10"/>
        <v>5.7999999999999989</v>
      </c>
      <c r="I24" s="40">
        <f t="shared" si="11"/>
        <v>46397.331999999995</v>
      </c>
      <c r="J24" s="39" t="str">
        <f t="shared" si="12"/>
        <v>Kenaikan IU</v>
      </c>
      <c r="K24" s="42" t="s">
        <v>1274</v>
      </c>
      <c r="O24" s="3">
        <v>2</v>
      </c>
      <c r="P24" t="s">
        <v>217</v>
      </c>
      <c r="Q24" t="s">
        <v>218</v>
      </c>
      <c r="R24" t="s">
        <v>4</v>
      </c>
      <c r="S24" s="10">
        <v>0.1</v>
      </c>
      <c r="T24" t="s">
        <v>9</v>
      </c>
      <c r="U24" s="10">
        <v>55300</v>
      </c>
      <c r="V24" s="4">
        <v>5530</v>
      </c>
      <c r="X24" s="3" t="s">
        <v>50</v>
      </c>
      <c r="Y24" t="s">
        <v>51</v>
      </c>
      <c r="Z24" t="s">
        <v>41</v>
      </c>
      <c r="AA24" s="10">
        <v>1</v>
      </c>
      <c r="AB24" t="s">
        <v>52</v>
      </c>
      <c r="AC24" s="10">
        <v>20500</v>
      </c>
      <c r="AD24" s="4">
        <v>20500</v>
      </c>
      <c r="AG24" s="20">
        <v>5</v>
      </c>
      <c r="AH24" s="18" t="s">
        <v>23</v>
      </c>
      <c r="AI24" s="18" t="s">
        <v>24</v>
      </c>
      <c r="AJ24" s="18" t="s">
        <v>4</v>
      </c>
      <c r="AK24" s="21">
        <v>16</v>
      </c>
      <c r="AL24" s="18" t="s">
        <v>25</v>
      </c>
      <c r="AM24" s="21">
        <v>27056.9791</v>
      </c>
      <c r="AN24" s="19">
        <v>432911.66560000001</v>
      </c>
      <c r="AP24" s="20" t="s">
        <v>61</v>
      </c>
      <c r="AQ24" s="18" t="s">
        <v>62</v>
      </c>
      <c r="AR24" s="18" t="s">
        <v>41</v>
      </c>
      <c r="AS24" s="18">
        <v>1</v>
      </c>
      <c r="AT24" s="18" t="s">
        <v>5</v>
      </c>
      <c r="AU24" s="18">
        <v>8644.8275861724142</v>
      </c>
      <c r="AV24" s="19">
        <v>8644.8275859999994</v>
      </c>
      <c r="AX24" s="20" t="s">
        <v>61</v>
      </c>
      <c r="AY24" s="18" t="s">
        <v>62</v>
      </c>
      <c r="AZ24" s="18" t="s">
        <v>41</v>
      </c>
      <c r="BA24" s="18">
        <v>1</v>
      </c>
      <c r="BB24" s="18" t="s">
        <v>5</v>
      </c>
      <c r="BC24" s="18">
        <v>8644.8275861724142</v>
      </c>
      <c r="BD24" s="19">
        <v>8644.8275859999994</v>
      </c>
    </row>
    <row r="25" spans="1:56" x14ac:dyDescent="0.35">
      <c r="A25" s="38" t="str">
        <v>CETS0027</v>
      </c>
      <c r="B25" s="31" t="str">
        <f t="shared" si="4"/>
        <v>PLASTIK KRESEK HITAM 35 (Utk Tong Sampah)</v>
      </c>
      <c r="C25" s="31" t="str">
        <f t="shared" si="5"/>
        <v>CLEANING TOOLS AND SUPPLIES</v>
      </c>
      <c r="D25" s="39" t="str">
        <f t="shared" si="6"/>
        <v>pack</v>
      </c>
      <c r="E25" s="40">
        <f t="shared" si="7"/>
        <v>8644.83</v>
      </c>
      <c r="F25" s="48">
        <f t="shared" si="8"/>
        <v>1</v>
      </c>
      <c r="G25" s="48">
        <f t="shared" si="9"/>
        <v>1</v>
      </c>
      <c r="H25" s="48">
        <f t="shared" si="10"/>
        <v>0</v>
      </c>
      <c r="I25" s="40">
        <f t="shared" si="11"/>
        <v>0</v>
      </c>
      <c r="J25" s="39" t="str">
        <f t="shared" si="12"/>
        <v>Tidak Ada Perubahan</v>
      </c>
      <c r="K25" s="42"/>
      <c r="O25" s="3">
        <v>3</v>
      </c>
      <c r="P25" t="s">
        <v>7</v>
      </c>
      <c r="Q25" t="s">
        <v>8</v>
      </c>
      <c r="R25" t="s">
        <v>4</v>
      </c>
      <c r="S25" s="10">
        <v>0.15</v>
      </c>
      <c r="T25" t="s">
        <v>9</v>
      </c>
      <c r="U25" s="10">
        <v>133200</v>
      </c>
      <c r="V25" s="4">
        <v>19980</v>
      </c>
      <c r="X25" s="3" t="s">
        <v>306</v>
      </c>
      <c r="Y25" t="s">
        <v>307</v>
      </c>
      <c r="Z25" t="s">
        <v>41</v>
      </c>
      <c r="AA25" s="10">
        <v>2</v>
      </c>
      <c r="AB25" t="s">
        <v>20</v>
      </c>
      <c r="AC25" s="10">
        <v>7017.6225999999997</v>
      </c>
      <c r="AD25" s="4">
        <v>14035.245199999999</v>
      </c>
      <c r="AG25" s="20">
        <v>6</v>
      </c>
      <c r="AH25" s="18" t="s">
        <v>28</v>
      </c>
      <c r="AI25" s="18" t="s">
        <v>29</v>
      </c>
      <c r="AJ25" s="18" t="s">
        <v>4</v>
      </c>
      <c r="AK25" s="21">
        <v>3</v>
      </c>
      <c r="AL25" s="18" t="s">
        <v>30</v>
      </c>
      <c r="AM25" s="21">
        <v>19760</v>
      </c>
      <c r="AN25" s="19">
        <v>59280</v>
      </c>
      <c r="AP25" s="20" t="s">
        <v>350</v>
      </c>
      <c r="AQ25" s="18" t="s">
        <v>351</v>
      </c>
      <c r="AR25" s="18" t="s">
        <v>117</v>
      </c>
      <c r="AS25" s="21">
        <v>2</v>
      </c>
      <c r="AT25" s="18" t="s">
        <v>20</v>
      </c>
      <c r="AU25" s="21">
        <v>115000</v>
      </c>
      <c r="AV25" s="19">
        <v>230000</v>
      </c>
      <c r="AX25" s="20" t="s">
        <v>350</v>
      </c>
      <c r="AY25" s="18" t="s">
        <v>351</v>
      </c>
      <c r="AZ25" s="18" t="s">
        <v>117</v>
      </c>
      <c r="BA25" s="21">
        <v>2</v>
      </c>
      <c r="BB25" s="18" t="s">
        <v>20</v>
      </c>
      <c r="BC25" s="21">
        <v>115000</v>
      </c>
      <c r="BD25" s="19">
        <v>230000</v>
      </c>
    </row>
    <row r="26" spans="1:56" x14ac:dyDescent="0.35">
      <c r="A26" s="38" t="str">
        <v>MKT00042</v>
      </c>
      <c r="B26" s="31" t="str">
        <f t="shared" si="4"/>
        <v>MATERI PROMOSI LIGHT BOX</v>
      </c>
      <c r="C26" s="31" t="str">
        <f t="shared" si="5"/>
        <v>MARKETING</v>
      </c>
      <c r="D26" s="39" t="str">
        <f t="shared" si="6"/>
        <v>pcs</v>
      </c>
      <c r="E26" s="40">
        <f t="shared" si="7"/>
        <v>115000</v>
      </c>
      <c r="F26" s="48" t="str">
        <f t="shared" si="8"/>
        <v>0</v>
      </c>
      <c r="G26" s="48">
        <f t="shared" si="9"/>
        <v>2</v>
      </c>
      <c r="H26" s="48">
        <f t="shared" si="10"/>
        <v>2</v>
      </c>
      <c r="I26" s="40">
        <f t="shared" si="11"/>
        <v>230000</v>
      </c>
      <c r="J26" s="39" t="str">
        <f t="shared" si="12"/>
        <v>Kenaikan IU</v>
      </c>
      <c r="K26" s="42" t="s">
        <v>1274</v>
      </c>
      <c r="O26" s="3">
        <v>4</v>
      </c>
      <c r="P26" t="s">
        <v>13</v>
      </c>
      <c r="Q26" t="s">
        <v>14</v>
      </c>
      <c r="R26" t="s">
        <v>4</v>
      </c>
      <c r="S26" s="10">
        <v>0.2</v>
      </c>
      <c r="T26" t="s">
        <v>15</v>
      </c>
      <c r="U26" s="10">
        <v>77700</v>
      </c>
      <c r="V26" s="4">
        <v>15540</v>
      </c>
      <c r="X26" s="3" t="s">
        <v>308</v>
      </c>
      <c r="Y26" t="s">
        <v>309</v>
      </c>
      <c r="Z26" t="s">
        <v>41</v>
      </c>
      <c r="AA26" s="10">
        <v>1</v>
      </c>
      <c r="AB26" t="s">
        <v>20</v>
      </c>
      <c r="AC26" s="10">
        <v>8699.6363636565657</v>
      </c>
      <c r="AD26" s="4">
        <v>8699.636364</v>
      </c>
      <c r="AG26" s="20">
        <v>7</v>
      </c>
      <c r="AH26" s="18" t="s">
        <v>39</v>
      </c>
      <c r="AI26" s="18" t="s">
        <v>40</v>
      </c>
      <c r="AJ26" s="18" t="s">
        <v>41</v>
      </c>
      <c r="AK26" s="21">
        <v>3</v>
      </c>
      <c r="AL26" s="18" t="s">
        <v>20</v>
      </c>
      <c r="AM26" s="21">
        <v>6972.4275861636361</v>
      </c>
      <c r="AN26" s="19">
        <v>20917.282758000001</v>
      </c>
      <c r="AP26" s="20" t="s">
        <v>118</v>
      </c>
      <c r="AQ26" s="18" t="s">
        <v>119</v>
      </c>
      <c r="AR26" s="18" t="s">
        <v>120</v>
      </c>
      <c r="AS26" s="21">
        <v>5</v>
      </c>
      <c r="AT26" s="18" t="s">
        <v>20</v>
      </c>
      <c r="AU26" s="21">
        <v>14700</v>
      </c>
      <c r="AV26" s="19">
        <v>73500</v>
      </c>
      <c r="AX26" s="20" t="s">
        <v>118</v>
      </c>
      <c r="AY26" s="18" t="s">
        <v>119</v>
      </c>
      <c r="AZ26" s="18" t="s">
        <v>120</v>
      </c>
      <c r="BA26" s="21">
        <v>5</v>
      </c>
      <c r="BB26" s="18" t="s">
        <v>20</v>
      </c>
      <c r="BC26" s="21">
        <v>14700</v>
      </c>
      <c r="BD26" s="19">
        <v>73500</v>
      </c>
    </row>
    <row r="27" spans="1:56" x14ac:dyDescent="0.35">
      <c r="A27" s="38" t="str">
        <v>MRP00043</v>
      </c>
      <c r="B27" s="31" t="str">
        <f t="shared" si="4"/>
        <v>SEDIMENT FILTER CARTRIDGE 1 MIKRON 20 INCH D10,7CM</v>
      </c>
      <c r="C27" s="31" t="str">
        <f t="shared" si="5"/>
        <v>IT GA AND MRP STOCK</v>
      </c>
      <c r="D27" s="39" t="str">
        <f t="shared" si="6"/>
        <v>pcs</v>
      </c>
      <c r="E27" s="40">
        <f t="shared" si="7"/>
        <v>14700</v>
      </c>
      <c r="F27" s="48">
        <f t="shared" si="8"/>
        <v>1</v>
      </c>
      <c r="G27" s="48">
        <f t="shared" si="9"/>
        <v>5</v>
      </c>
      <c r="H27" s="48">
        <f t="shared" si="10"/>
        <v>4</v>
      </c>
      <c r="I27" s="40">
        <f t="shared" si="11"/>
        <v>58800</v>
      </c>
      <c r="J27" s="39" t="str">
        <f t="shared" si="12"/>
        <v>Kenaikan IU</v>
      </c>
      <c r="K27" s="42" t="s">
        <v>1274</v>
      </c>
      <c r="O27" s="3">
        <v>5</v>
      </c>
      <c r="P27" t="s">
        <v>18</v>
      </c>
      <c r="Q27" t="s">
        <v>19</v>
      </c>
      <c r="R27" t="s">
        <v>4</v>
      </c>
      <c r="S27" s="10">
        <v>0.26</v>
      </c>
      <c r="T27" t="s">
        <v>20</v>
      </c>
      <c r="U27" s="10">
        <v>151400</v>
      </c>
      <c r="V27" s="4">
        <v>39364</v>
      </c>
      <c r="X27" s="3" t="s">
        <v>53</v>
      </c>
      <c r="Y27" t="s">
        <v>54</v>
      </c>
      <c r="Z27" t="s">
        <v>41</v>
      </c>
      <c r="AA27" s="10">
        <v>14</v>
      </c>
      <c r="AB27" t="s">
        <v>20</v>
      </c>
      <c r="AC27" s="10">
        <v>4066.6392375</v>
      </c>
      <c r="AD27" s="4">
        <v>56932.949325000001</v>
      </c>
      <c r="AG27" s="20">
        <v>8</v>
      </c>
      <c r="AH27" s="18" t="s">
        <v>50</v>
      </c>
      <c r="AI27" s="18" t="s">
        <v>51</v>
      </c>
      <c r="AJ27" s="18" t="s">
        <v>41</v>
      </c>
      <c r="AK27" s="21">
        <v>8</v>
      </c>
      <c r="AL27" s="18" t="s">
        <v>52</v>
      </c>
      <c r="AM27" s="21">
        <v>20500</v>
      </c>
      <c r="AN27" s="19">
        <v>164000</v>
      </c>
      <c r="AP27" s="20" t="s">
        <v>121</v>
      </c>
      <c r="AQ27" s="18" t="s">
        <v>122</v>
      </c>
      <c r="AR27" s="18" t="s">
        <v>123</v>
      </c>
      <c r="AS27" s="21">
        <v>2</v>
      </c>
      <c r="AT27" s="18" t="s">
        <v>5</v>
      </c>
      <c r="AU27" s="21">
        <v>5501.0582000000004</v>
      </c>
      <c r="AV27" s="19">
        <v>11002.116400000001</v>
      </c>
      <c r="AX27" s="20" t="s">
        <v>121</v>
      </c>
      <c r="AY27" s="18" t="s">
        <v>122</v>
      </c>
      <c r="AZ27" s="18" t="s">
        <v>123</v>
      </c>
      <c r="BA27" s="21">
        <v>2</v>
      </c>
      <c r="BB27" s="18" t="s">
        <v>5</v>
      </c>
      <c r="BC27" s="21">
        <v>5501.0582000000004</v>
      </c>
      <c r="BD27" s="19">
        <v>11002.116400000001</v>
      </c>
    </row>
    <row r="28" spans="1:56" x14ac:dyDescent="0.35">
      <c r="A28" s="38" t="str">
        <v>NCG00018</v>
      </c>
      <c r="B28" s="31" t="str">
        <f t="shared" si="4"/>
        <v>SARUNG TANGAN PELASTIK</v>
      </c>
      <c r="C28" s="31" t="str">
        <f t="shared" si="5"/>
        <v>NCG</v>
      </c>
      <c r="D28" s="39" t="str">
        <f t="shared" si="6"/>
        <v>pack</v>
      </c>
      <c r="E28" s="40">
        <f t="shared" si="7"/>
        <v>5501.06</v>
      </c>
      <c r="F28" s="48">
        <f t="shared" si="8"/>
        <v>8</v>
      </c>
      <c r="G28" s="48">
        <f t="shared" si="9"/>
        <v>2</v>
      </c>
      <c r="H28" s="48">
        <f t="shared" si="10"/>
        <v>-6</v>
      </c>
      <c r="I28" s="40">
        <f t="shared" si="11"/>
        <v>-33006.36</v>
      </c>
      <c r="J28" s="39" t="str">
        <f t="shared" si="12"/>
        <v>Penurunan IU</v>
      </c>
      <c r="K28" s="42" t="s">
        <v>1275</v>
      </c>
      <c r="O28" s="3">
        <v>6</v>
      </c>
      <c r="P28" t="s">
        <v>219</v>
      </c>
      <c r="Q28" t="s">
        <v>220</v>
      </c>
      <c r="R28" t="s">
        <v>4</v>
      </c>
      <c r="S28" s="10">
        <v>1.18</v>
      </c>
      <c r="T28" t="s">
        <v>25</v>
      </c>
      <c r="U28" s="10">
        <v>71587.867155570377</v>
      </c>
      <c r="V28" s="4">
        <v>84473.683244</v>
      </c>
      <c r="X28" s="3" t="s">
        <v>310</v>
      </c>
      <c r="Y28" t="s">
        <v>311</v>
      </c>
      <c r="Z28" t="s">
        <v>41</v>
      </c>
      <c r="AA28" s="10">
        <v>1</v>
      </c>
      <c r="AB28" t="s">
        <v>20</v>
      </c>
      <c r="AC28" s="10">
        <v>9637</v>
      </c>
      <c r="AD28" s="4">
        <v>9637</v>
      </c>
      <c r="AG28" s="20">
        <v>9</v>
      </c>
      <c r="AH28" s="18" t="s">
        <v>308</v>
      </c>
      <c r="AI28" s="18" t="s">
        <v>309</v>
      </c>
      <c r="AJ28" s="18" t="s">
        <v>41</v>
      </c>
      <c r="AK28" s="21">
        <v>2</v>
      </c>
      <c r="AL28" s="18" t="s">
        <v>20</v>
      </c>
      <c r="AM28" s="21">
        <v>8699.6363636565657</v>
      </c>
      <c r="AN28" s="19">
        <v>17399.272727</v>
      </c>
      <c r="AP28" s="20" t="s">
        <v>126</v>
      </c>
      <c r="AQ28" s="18" t="s">
        <v>127</v>
      </c>
      <c r="AR28" s="18" t="s">
        <v>123</v>
      </c>
      <c r="AS28" s="21">
        <v>11</v>
      </c>
      <c r="AT28" s="18" t="s">
        <v>5</v>
      </c>
      <c r="AU28" s="21">
        <v>5316.8608000000004</v>
      </c>
      <c r="AV28" s="19">
        <v>58485.468800000002</v>
      </c>
      <c r="AX28" s="20" t="s">
        <v>126</v>
      </c>
      <c r="AY28" s="18" t="s">
        <v>127</v>
      </c>
      <c r="AZ28" s="18" t="s">
        <v>123</v>
      </c>
      <c r="BA28" s="21">
        <v>11</v>
      </c>
      <c r="BB28" s="18" t="s">
        <v>5</v>
      </c>
      <c r="BC28" s="21">
        <v>5316.8608000000004</v>
      </c>
      <c r="BD28" s="19">
        <v>58485.468800000002</v>
      </c>
    </row>
    <row r="29" spans="1:56" x14ac:dyDescent="0.35">
      <c r="A29" s="38" t="str">
        <v>NCGK0003</v>
      </c>
      <c r="B29" s="31" t="str">
        <f t="shared" si="4"/>
        <v>PLASTIK PE 1 KG 15 x 30</v>
      </c>
      <c r="C29" s="31" t="str">
        <f t="shared" si="5"/>
        <v>NCG</v>
      </c>
      <c r="D29" s="39" t="str">
        <f t="shared" si="6"/>
        <v>pack</v>
      </c>
      <c r="E29" s="40">
        <f t="shared" si="7"/>
        <v>5316.86</v>
      </c>
      <c r="F29" s="48">
        <f t="shared" si="8"/>
        <v>9</v>
      </c>
      <c r="G29" s="48">
        <f t="shared" si="9"/>
        <v>11</v>
      </c>
      <c r="H29" s="48">
        <f t="shared" si="10"/>
        <v>2</v>
      </c>
      <c r="I29" s="40">
        <f t="shared" si="11"/>
        <v>10633.72</v>
      </c>
      <c r="J29" s="39" t="str">
        <f t="shared" si="12"/>
        <v>Kenaikan IU</v>
      </c>
      <c r="K29" s="42" t="s">
        <v>1274</v>
      </c>
      <c r="O29" s="3">
        <v>7</v>
      </c>
      <c r="P29" t="s">
        <v>221</v>
      </c>
      <c r="Q29" t="s">
        <v>222</v>
      </c>
      <c r="R29" t="s">
        <v>4</v>
      </c>
      <c r="S29" s="10">
        <v>8.4</v>
      </c>
      <c r="T29" t="s">
        <v>25</v>
      </c>
      <c r="U29" s="10">
        <v>93034.695699999997</v>
      </c>
      <c r="V29" s="4">
        <v>781491.44388000004</v>
      </c>
      <c r="X29" s="3" t="s">
        <v>57</v>
      </c>
      <c r="Y29" t="s">
        <v>58</v>
      </c>
      <c r="Z29" t="s">
        <v>41</v>
      </c>
      <c r="AA29" s="10">
        <v>4.2</v>
      </c>
      <c r="AB29" t="s">
        <v>5</v>
      </c>
      <c r="AC29" s="10">
        <v>8995.2312000000002</v>
      </c>
      <c r="AD29" s="4">
        <v>37779.971039999997</v>
      </c>
      <c r="AG29" s="20">
        <v>10</v>
      </c>
      <c r="AH29" s="18" t="s">
        <v>53</v>
      </c>
      <c r="AI29" s="18" t="s">
        <v>54</v>
      </c>
      <c r="AJ29" s="18" t="s">
        <v>41</v>
      </c>
      <c r="AK29" s="21">
        <v>12</v>
      </c>
      <c r="AL29" s="18" t="s">
        <v>20</v>
      </c>
      <c r="AM29" s="21">
        <v>4011.106600000001</v>
      </c>
      <c r="AN29" s="19">
        <v>48133.279199999997</v>
      </c>
      <c r="AP29" s="20" t="s">
        <v>128</v>
      </c>
      <c r="AQ29" s="18" t="s">
        <v>129</v>
      </c>
      <c r="AR29" s="18" t="s">
        <v>123</v>
      </c>
      <c r="AS29" s="21">
        <v>3</v>
      </c>
      <c r="AT29" s="18" t="s">
        <v>74</v>
      </c>
      <c r="AU29" s="21">
        <v>135107.48009999999</v>
      </c>
      <c r="AV29" s="19">
        <v>405322.44030000002</v>
      </c>
      <c r="AX29" s="20" t="s">
        <v>128</v>
      </c>
      <c r="AY29" s="18" t="s">
        <v>129</v>
      </c>
      <c r="AZ29" s="18" t="s">
        <v>123</v>
      </c>
      <c r="BA29" s="21">
        <v>3</v>
      </c>
      <c r="BB29" s="18" t="s">
        <v>74</v>
      </c>
      <c r="BC29" s="21">
        <v>135107.48009999999</v>
      </c>
      <c r="BD29" s="19">
        <v>405322.44030000002</v>
      </c>
    </row>
    <row r="30" spans="1:56" x14ac:dyDescent="0.35">
      <c r="A30" s="38" t="str">
        <v>NCGK0005</v>
      </c>
      <c r="B30" s="31" t="str">
        <f t="shared" si="4"/>
        <v>CLING WRAP 45 x 50 @ 6 ROLL</v>
      </c>
      <c r="C30" s="31" t="str">
        <f t="shared" si="5"/>
        <v>NCG</v>
      </c>
      <c r="D30" s="39" t="str">
        <f t="shared" si="6"/>
        <v>roll</v>
      </c>
      <c r="E30" s="40">
        <f t="shared" si="7"/>
        <v>135107.48000000001</v>
      </c>
      <c r="F30" s="48">
        <f t="shared" si="8"/>
        <v>5.5</v>
      </c>
      <c r="G30" s="48">
        <f t="shared" si="9"/>
        <v>3</v>
      </c>
      <c r="H30" s="48">
        <f t="shared" si="10"/>
        <v>-2.5</v>
      </c>
      <c r="I30" s="40">
        <f t="shared" si="11"/>
        <v>-337768.7</v>
      </c>
      <c r="J30" s="39" t="str">
        <f t="shared" si="12"/>
        <v>Penurunan IU</v>
      </c>
      <c r="K30" s="42" t="s">
        <v>1275</v>
      </c>
      <c r="O30" s="3">
        <v>8</v>
      </c>
      <c r="P30" t="s">
        <v>23</v>
      </c>
      <c r="Q30" t="s">
        <v>24</v>
      </c>
      <c r="R30" t="s">
        <v>4</v>
      </c>
      <c r="S30" s="10">
        <v>5</v>
      </c>
      <c r="T30" t="s">
        <v>25</v>
      </c>
      <c r="U30" s="10">
        <v>26384.678000000004</v>
      </c>
      <c r="V30" s="4">
        <v>131923.39000000001</v>
      </c>
      <c r="X30" s="3" t="s">
        <v>59</v>
      </c>
      <c r="Y30" t="s">
        <v>60</v>
      </c>
      <c r="Z30" t="s">
        <v>41</v>
      </c>
      <c r="AA30" s="10">
        <v>3.4</v>
      </c>
      <c r="AB30" t="s">
        <v>5</v>
      </c>
      <c r="AC30" s="10">
        <v>7999.0082000000002</v>
      </c>
      <c r="AD30" s="4">
        <v>27196.62788</v>
      </c>
      <c r="AG30" s="20">
        <v>11</v>
      </c>
      <c r="AH30" s="18" t="s">
        <v>57</v>
      </c>
      <c r="AI30" s="18" t="s">
        <v>58</v>
      </c>
      <c r="AJ30" s="18" t="s">
        <v>41</v>
      </c>
      <c r="AK30" s="21">
        <v>14.1</v>
      </c>
      <c r="AL30" s="18" t="s">
        <v>5</v>
      </c>
      <c r="AM30" s="21">
        <v>8997.5239000000001</v>
      </c>
      <c r="AN30" s="19">
        <v>126865.08699</v>
      </c>
      <c r="AP30" s="20" t="s">
        <v>130</v>
      </c>
      <c r="AQ30" s="18" t="s">
        <v>131</v>
      </c>
      <c r="AR30" s="18" t="s">
        <v>123</v>
      </c>
      <c r="AS30" s="21">
        <v>37</v>
      </c>
      <c r="AT30" s="18" t="s">
        <v>5</v>
      </c>
      <c r="AU30" s="21">
        <v>6355.2948999999999</v>
      </c>
      <c r="AV30" s="19">
        <v>235145.91130000001</v>
      </c>
      <c r="AX30" s="20" t="s">
        <v>130</v>
      </c>
      <c r="AY30" s="18" t="s">
        <v>131</v>
      </c>
      <c r="AZ30" s="18" t="s">
        <v>123</v>
      </c>
      <c r="BA30" s="21">
        <v>37</v>
      </c>
      <c r="BB30" s="18" t="s">
        <v>5</v>
      </c>
      <c r="BC30" s="21">
        <v>6355.2948999999999</v>
      </c>
      <c r="BD30" s="19">
        <v>235145.91130000001</v>
      </c>
    </row>
    <row r="31" spans="1:56" x14ac:dyDescent="0.35">
      <c r="A31" s="38" t="str">
        <v>NCGK0006</v>
      </c>
      <c r="B31" s="31" t="str">
        <f t="shared" si="4"/>
        <v>TISSUE SEE-U HANDTOWELS @ 20 PACK</v>
      </c>
      <c r="C31" s="31" t="str">
        <f t="shared" si="5"/>
        <v>NCG</v>
      </c>
      <c r="D31" s="39" t="str">
        <f t="shared" si="6"/>
        <v>pack</v>
      </c>
      <c r="E31" s="40">
        <f t="shared" si="7"/>
        <v>6355.29</v>
      </c>
      <c r="F31" s="48">
        <f t="shared" si="8"/>
        <v>50</v>
      </c>
      <c r="G31" s="48">
        <f t="shared" si="9"/>
        <v>37</v>
      </c>
      <c r="H31" s="48">
        <f t="shared" si="10"/>
        <v>-13</v>
      </c>
      <c r="I31" s="40">
        <f t="shared" si="11"/>
        <v>-82618.77</v>
      </c>
      <c r="J31" s="39" t="str">
        <f t="shared" si="12"/>
        <v>Penurunan IU</v>
      </c>
      <c r="K31" s="42" t="s">
        <v>1275</v>
      </c>
      <c r="O31" s="3">
        <v>9</v>
      </c>
      <c r="P31" t="s">
        <v>28</v>
      </c>
      <c r="Q31" t="s">
        <v>29</v>
      </c>
      <c r="R31" t="s">
        <v>4</v>
      </c>
      <c r="S31" s="10">
        <v>9</v>
      </c>
      <c r="T31" t="s">
        <v>30</v>
      </c>
      <c r="U31" s="10">
        <v>19760</v>
      </c>
      <c r="V31" s="4">
        <v>177840</v>
      </c>
      <c r="X31" s="3" t="s">
        <v>61</v>
      </c>
      <c r="Y31" t="s">
        <v>62</v>
      </c>
      <c r="Z31" t="s">
        <v>41</v>
      </c>
      <c r="AA31" s="10">
        <v>1</v>
      </c>
      <c r="AB31" t="s">
        <v>5</v>
      </c>
      <c r="AC31" s="10">
        <v>8644.8275861724142</v>
      </c>
      <c r="AD31" s="4">
        <v>8644.8275859999994</v>
      </c>
      <c r="AG31" s="20">
        <v>12</v>
      </c>
      <c r="AH31" s="18" t="s">
        <v>59</v>
      </c>
      <c r="AI31" s="18" t="s">
        <v>60</v>
      </c>
      <c r="AJ31" s="18" t="s">
        <v>41</v>
      </c>
      <c r="AK31" s="21">
        <v>9.1999999999999993</v>
      </c>
      <c r="AL31" s="18" t="s">
        <v>5</v>
      </c>
      <c r="AM31" s="21">
        <v>7999.5414000000001</v>
      </c>
      <c r="AN31" s="19">
        <v>73595.780880000006</v>
      </c>
      <c r="AP31" s="20" t="s">
        <v>132</v>
      </c>
      <c r="AQ31" s="18" t="s">
        <v>133</v>
      </c>
      <c r="AR31" s="18" t="s">
        <v>123</v>
      </c>
      <c r="AS31" s="21">
        <v>22.9</v>
      </c>
      <c r="AT31" s="18" t="s">
        <v>134</v>
      </c>
      <c r="AU31" s="21">
        <v>14983.315999999999</v>
      </c>
      <c r="AV31" s="19">
        <v>343117.93640000001</v>
      </c>
      <c r="AX31" s="20" t="s">
        <v>132</v>
      </c>
      <c r="AY31" s="18" t="s">
        <v>133</v>
      </c>
      <c r="AZ31" s="18" t="s">
        <v>123</v>
      </c>
      <c r="BA31" s="21">
        <v>22.9</v>
      </c>
      <c r="BB31" s="18" t="s">
        <v>134</v>
      </c>
      <c r="BC31" s="21">
        <v>14983.315999999999</v>
      </c>
      <c r="BD31" s="19">
        <v>343117.93640000001</v>
      </c>
    </row>
    <row r="32" spans="1:56" x14ac:dyDescent="0.35">
      <c r="A32" s="38" t="str">
        <v>NCGK0007</v>
      </c>
      <c r="B32" s="31" t="str">
        <f t="shared" si="4"/>
        <v>GAS BUTANE PORTABLE PURITY 230G @24 CAN</v>
      </c>
      <c r="C32" s="31" t="str">
        <f t="shared" si="5"/>
        <v>NCG</v>
      </c>
      <c r="D32" s="39" t="str">
        <f t="shared" si="6"/>
        <v>can</v>
      </c>
      <c r="E32" s="40">
        <f t="shared" si="7"/>
        <v>14983.32</v>
      </c>
      <c r="F32" s="48">
        <f t="shared" si="8"/>
        <v>26.6</v>
      </c>
      <c r="G32" s="48">
        <f t="shared" si="9"/>
        <v>22.9</v>
      </c>
      <c r="H32" s="48">
        <f t="shared" si="10"/>
        <v>-3.7000000000000028</v>
      </c>
      <c r="I32" s="40">
        <f t="shared" si="11"/>
        <v>-55438.284000000043</v>
      </c>
      <c r="J32" s="39" t="str">
        <f t="shared" si="12"/>
        <v>Penurunan IU</v>
      </c>
      <c r="K32" s="42" t="s">
        <v>1275</v>
      </c>
      <c r="O32" s="3">
        <v>10</v>
      </c>
      <c r="P32" t="s">
        <v>39</v>
      </c>
      <c r="Q32" t="s">
        <v>40</v>
      </c>
      <c r="R32" t="s">
        <v>41</v>
      </c>
      <c r="S32" s="10">
        <v>2</v>
      </c>
      <c r="T32" t="s">
        <v>20</v>
      </c>
      <c r="U32" s="10">
        <v>6972.4275861636361</v>
      </c>
      <c r="V32" s="4">
        <v>13944.855172</v>
      </c>
      <c r="X32" s="3" t="s">
        <v>312</v>
      </c>
      <c r="Y32" t="s">
        <v>313</v>
      </c>
      <c r="Z32" t="s">
        <v>41</v>
      </c>
      <c r="AA32" s="10">
        <v>1</v>
      </c>
      <c r="AB32" t="s">
        <v>20</v>
      </c>
      <c r="AC32" s="10">
        <v>17500</v>
      </c>
      <c r="AD32" s="4">
        <v>17500</v>
      </c>
      <c r="AG32" s="20">
        <v>13</v>
      </c>
      <c r="AH32" s="18" t="s">
        <v>61</v>
      </c>
      <c r="AI32" s="18" t="s">
        <v>62</v>
      </c>
      <c r="AJ32" s="18" t="s">
        <v>41</v>
      </c>
      <c r="AK32" s="18">
        <v>1</v>
      </c>
      <c r="AL32" s="18" t="s">
        <v>5</v>
      </c>
      <c r="AM32" s="18">
        <v>8644.8275861724142</v>
      </c>
      <c r="AN32" s="19">
        <v>8644.8275859999994</v>
      </c>
      <c r="AP32" s="20" t="s">
        <v>135</v>
      </c>
      <c r="AQ32" s="18" t="s">
        <v>136</v>
      </c>
      <c r="AR32" s="18" t="s">
        <v>123</v>
      </c>
      <c r="AS32" s="21">
        <v>9</v>
      </c>
      <c r="AT32" s="18" t="s">
        <v>5</v>
      </c>
      <c r="AU32" s="21">
        <v>5444.4699000000001</v>
      </c>
      <c r="AV32" s="19">
        <v>49000.229099999997</v>
      </c>
      <c r="AX32" s="20" t="s">
        <v>135</v>
      </c>
      <c r="AY32" s="18" t="s">
        <v>136</v>
      </c>
      <c r="AZ32" s="18" t="s">
        <v>123</v>
      </c>
      <c r="BA32" s="21">
        <v>9</v>
      </c>
      <c r="BB32" s="18" t="s">
        <v>5</v>
      </c>
      <c r="BC32" s="21">
        <v>5444.4699000000001</v>
      </c>
      <c r="BD32" s="19">
        <v>49000.229099999997</v>
      </c>
    </row>
    <row r="33" spans="1:56" ht="15" thickBot="1" x14ac:dyDescent="0.4">
      <c r="A33" s="38" t="str">
        <v>NCGK0008</v>
      </c>
      <c r="B33" s="31" t="str">
        <f t="shared" si="4"/>
        <v>PLASTIK PE 1/4 KG 10x20</v>
      </c>
      <c r="C33" s="31" t="str">
        <f t="shared" si="5"/>
        <v>NCG</v>
      </c>
      <c r="D33" s="39" t="str">
        <f t="shared" si="6"/>
        <v>pack</v>
      </c>
      <c r="E33" s="40">
        <f t="shared" si="7"/>
        <v>5444.47</v>
      </c>
      <c r="F33" s="48">
        <f t="shared" si="8"/>
        <v>12</v>
      </c>
      <c r="G33" s="48">
        <f t="shared" si="9"/>
        <v>9</v>
      </c>
      <c r="H33" s="48">
        <f t="shared" si="10"/>
        <v>-3</v>
      </c>
      <c r="I33" s="40">
        <f t="shared" si="11"/>
        <v>-16333.41</v>
      </c>
      <c r="J33" s="39" t="str">
        <f t="shared" si="12"/>
        <v>Penurunan IU</v>
      </c>
      <c r="K33" s="42" t="s">
        <v>1275</v>
      </c>
      <c r="O33" s="3">
        <v>11</v>
      </c>
      <c r="P33" t="s">
        <v>304</v>
      </c>
      <c r="Q33" t="s">
        <v>305</v>
      </c>
      <c r="R33" t="s">
        <v>41</v>
      </c>
      <c r="S33" s="10">
        <v>2</v>
      </c>
      <c r="T33" t="s">
        <v>20</v>
      </c>
      <c r="U33" s="10">
        <v>6961.0322580300008</v>
      </c>
      <c r="V33" s="4">
        <v>13922.064516</v>
      </c>
      <c r="X33" s="3" t="s">
        <v>314</v>
      </c>
      <c r="Y33" t="s">
        <v>315</v>
      </c>
      <c r="Z33" t="s">
        <v>41</v>
      </c>
      <c r="AA33">
        <v>0.7</v>
      </c>
      <c r="AB33" t="s">
        <v>20</v>
      </c>
      <c r="AC33">
        <v>6480</v>
      </c>
      <c r="AD33" s="4">
        <v>4536</v>
      </c>
      <c r="AG33" s="22" t="s">
        <v>223</v>
      </c>
      <c r="AH33" s="23" t="s">
        <v>223</v>
      </c>
      <c r="AI33" s="23" t="s">
        <v>223</v>
      </c>
      <c r="AJ33" s="23" t="s">
        <v>223</v>
      </c>
      <c r="AK33" s="23" t="s">
        <v>223</v>
      </c>
      <c r="AL33" s="23" t="s">
        <v>223</v>
      </c>
      <c r="AM33" s="23" t="s">
        <v>224</v>
      </c>
      <c r="AN33" s="24">
        <v>1510620.1533370002</v>
      </c>
      <c r="AP33" s="20" t="s">
        <v>137</v>
      </c>
      <c r="AQ33" s="18" t="s">
        <v>138</v>
      </c>
      <c r="AR33" s="18" t="s">
        <v>123</v>
      </c>
      <c r="AS33" s="21">
        <v>11</v>
      </c>
      <c r="AT33" s="18" t="s">
        <v>5</v>
      </c>
      <c r="AU33" s="21">
        <v>17895.337200000002</v>
      </c>
      <c r="AV33" s="19">
        <v>196848.70920000001</v>
      </c>
      <c r="AX33" s="20" t="s">
        <v>137</v>
      </c>
      <c r="AY33" s="18" t="s">
        <v>138</v>
      </c>
      <c r="AZ33" s="18" t="s">
        <v>123</v>
      </c>
      <c r="BA33" s="21">
        <v>11</v>
      </c>
      <c r="BB33" s="18" t="s">
        <v>5</v>
      </c>
      <c r="BC33" s="21">
        <v>17895.337200000002</v>
      </c>
      <c r="BD33" s="19">
        <v>196848.70920000001</v>
      </c>
    </row>
    <row r="34" spans="1:56" ht="15" thickBot="1" x14ac:dyDescent="0.4">
      <c r="A34" s="38" t="str">
        <v>NCGK0009</v>
      </c>
      <c r="B34" s="31" t="str">
        <f t="shared" si="4"/>
        <v>PLASTIK PE 10 KG 40 x 60</v>
      </c>
      <c r="C34" s="31" t="str">
        <f t="shared" si="5"/>
        <v>NCG</v>
      </c>
      <c r="D34" s="39" t="str">
        <f t="shared" si="6"/>
        <v>pack</v>
      </c>
      <c r="E34" s="40">
        <f t="shared" si="7"/>
        <v>17895.34</v>
      </c>
      <c r="F34" s="48">
        <f t="shared" si="8"/>
        <v>21</v>
      </c>
      <c r="G34" s="48">
        <f t="shared" si="9"/>
        <v>11</v>
      </c>
      <c r="H34" s="48">
        <f t="shared" si="10"/>
        <v>-10</v>
      </c>
      <c r="I34" s="40">
        <f t="shared" si="11"/>
        <v>-178953.4</v>
      </c>
      <c r="J34" s="39" t="str">
        <f t="shared" si="12"/>
        <v>Penurunan IU</v>
      </c>
      <c r="K34" s="42" t="s">
        <v>1275</v>
      </c>
      <c r="O34" s="3">
        <v>12</v>
      </c>
      <c r="P34" t="s">
        <v>50</v>
      </c>
      <c r="Q34" t="s">
        <v>51</v>
      </c>
      <c r="R34" t="s">
        <v>41</v>
      </c>
      <c r="S34" s="10">
        <v>1</v>
      </c>
      <c r="T34" t="s">
        <v>52</v>
      </c>
      <c r="U34" s="10">
        <v>20500</v>
      </c>
      <c r="V34" s="4">
        <v>20500</v>
      </c>
      <c r="X34" s="3" t="s">
        <v>316</v>
      </c>
      <c r="Y34" t="s">
        <v>317</v>
      </c>
      <c r="Z34" t="s">
        <v>117</v>
      </c>
      <c r="AA34" s="10">
        <v>1</v>
      </c>
      <c r="AB34" t="s">
        <v>20</v>
      </c>
      <c r="AC34" s="10">
        <v>471351.5</v>
      </c>
      <c r="AD34" s="4">
        <v>471351.5</v>
      </c>
      <c r="AP34" s="20" t="s">
        <v>139</v>
      </c>
      <c r="AQ34" s="18" t="s">
        <v>140</v>
      </c>
      <c r="AR34" s="18" t="s">
        <v>123</v>
      </c>
      <c r="AS34" s="21">
        <v>10</v>
      </c>
      <c r="AT34" s="18" t="s">
        <v>5</v>
      </c>
      <c r="AU34" s="21">
        <v>29540.085899999998</v>
      </c>
      <c r="AV34" s="19">
        <v>295400.859</v>
      </c>
      <c r="AX34" s="20" t="s">
        <v>139</v>
      </c>
      <c r="AY34" s="18" t="s">
        <v>140</v>
      </c>
      <c r="AZ34" s="18" t="s">
        <v>123</v>
      </c>
      <c r="BA34" s="21">
        <v>10</v>
      </c>
      <c r="BB34" s="18" t="s">
        <v>5</v>
      </c>
      <c r="BC34" s="21">
        <v>29540.085899999998</v>
      </c>
      <c r="BD34" s="19">
        <v>295400.859</v>
      </c>
    </row>
    <row r="35" spans="1:56" x14ac:dyDescent="0.35">
      <c r="A35" s="38" t="str">
        <v>NCGK0011</v>
      </c>
      <c r="B35" s="31" t="str">
        <f t="shared" si="4"/>
        <v>HAND GLOVES NITRILE SIZE M</v>
      </c>
      <c r="C35" s="31" t="str">
        <f t="shared" si="5"/>
        <v>NCG</v>
      </c>
      <c r="D35" s="39" t="str">
        <f t="shared" si="6"/>
        <v>pack</v>
      </c>
      <c r="E35" s="40">
        <f t="shared" si="7"/>
        <v>29540.09</v>
      </c>
      <c r="F35" s="48">
        <f t="shared" si="8"/>
        <v>7</v>
      </c>
      <c r="G35" s="48">
        <f t="shared" si="9"/>
        <v>10</v>
      </c>
      <c r="H35" s="48">
        <f t="shared" si="10"/>
        <v>3</v>
      </c>
      <c r="I35" s="40">
        <f t="shared" si="11"/>
        <v>88620.27</v>
      </c>
      <c r="J35" s="39" t="str">
        <f t="shared" si="12"/>
        <v>Kenaikan IU</v>
      </c>
      <c r="K35" s="42" t="s">
        <v>1274</v>
      </c>
      <c r="O35" s="3">
        <v>13</v>
      </c>
      <c r="P35" t="s">
        <v>306</v>
      </c>
      <c r="Q35" t="s">
        <v>307</v>
      </c>
      <c r="R35" t="s">
        <v>41</v>
      </c>
      <c r="S35" s="10">
        <v>2</v>
      </c>
      <c r="T35" t="s">
        <v>20</v>
      </c>
      <c r="U35" s="10">
        <v>7017.6225999999997</v>
      </c>
      <c r="V35" s="4">
        <v>14035.245199999999</v>
      </c>
      <c r="X35" s="3" t="s">
        <v>318</v>
      </c>
      <c r="Y35" t="s">
        <v>319</v>
      </c>
      <c r="Z35" t="s">
        <v>117</v>
      </c>
      <c r="AA35" s="10">
        <v>50</v>
      </c>
      <c r="AB35" t="s">
        <v>20</v>
      </c>
      <c r="AC35" s="10">
        <v>800</v>
      </c>
      <c r="AD35" s="4">
        <v>40000</v>
      </c>
      <c r="AG35" s="84" t="s">
        <v>0</v>
      </c>
      <c r="AH35" s="85"/>
      <c r="AI35" s="85"/>
      <c r="AJ35" s="85"/>
      <c r="AK35" s="85"/>
      <c r="AL35" s="16"/>
      <c r="AM35" s="16"/>
      <c r="AN35" s="17"/>
      <c r="AP35" s="20" t="s">
        <v>143</v>
      </c>
      <c r="AQ35" s="18" t="s">
        <v>144</v>
      </c>
      <c r="AR35" s="18" t="s">
        <v>123</v>
      </c>
      <c r="AS35" s="21">
        <v>0.02</v>
      </c>
      <c r="AT35" s="18" t="s">
        <v>5</v>
      </c>
      <c r="AU35" s="21">
        <v>26345.394200000006</v>
      </c>
      <c r="AV35" s="19">
        <v>526.90788399999997</v>
      </c>
      <c r="AX35" s="20" t="s">
        <v>143</v>
      </c>
      <c r="AY35" s="18" t="s">
        <v>144</v>
      </c>
      <c r="AZ35" s="18" t="s">
        <v>123</v>
      </c>
      <c r="BA35" s="21">
        <v>0.02</v>
      </c>
      <c r="BB35" s="18" t="s">
        <v>5</v>
      </c>
      <c r="BC35" s="21">
        <v>26345.394200000006</v>
      </c>
      <c r="BD35" s="19">
        <v>526.90788399999997</v>
      </c>
    </row>
    <row r="36" spans="1:56" x14ac:dyDescent="0.35">
      <c r="A36" s="38" t="str">
        <v>NCGK0016</v>
      </c>
      <c r="B36" s="31" t="str">
        <f t="shared" si="4"/>
        <v>HAIR NET @100 PCS</v>
      </c>
      <c r="C36" s="31" t="str">
        <f t="shared" si="5"/>
        <v>NCG</v>
      </c>
      <c r="D36" s="39" t="str">
        <f t="shared" si="6"/>
        <v>pack</v>
      </c>
      <c r="E36" s="40">
        <f t="shared" si="7"/>
        <v>26345.39</v>
      </c>
      <c r="F36" s="48">
        <f t="shared" si="8"/>
        <v>0.04</v>
      </c>
      <c r="G36" s="48">
        <f t="shared" si="9"/>
        <v>0.02</v>
      </c>
      <c r="H36" s="48">
        <f t="shared" si="10"/>
        <v>-0.02</v>
      </c>
      <c r="I36" s="40">
        <f t="shared" si="11"/>
        <v>-526.90779999999995</v>
      </c>
      <c r="J36" s="39" t="str">
        <f t="shared" si="12"/>
        <v>Penurunan IU</v>
      </c>
      <c r="K36" s="42" t="s">
        <v>1275</v>
      </c>
      <c r="O36" s="3">
        <v>14</v>
      </c>
      <c r="P36" t="s">
        <v>308</v>
      </c>
      <c r="Q36" t="s">
        <v>309</v>
      </c>
      <c r="R36" t="s">
        <v>41</v>
      </c>
      <c r="S36" s="10">
        <v>1</v>
      </c>
      <c r="T36" t="s">
        <v>20</v>
      </c>
      <c r="U36" s="10">
        <v>8699.6363636565657</v>
      </c>
      <c r="V36" s="4">
        <v>8699.636364</v>
      </c>
      <c r="X36" s="3" t="s">
        <v>118</v>
      </c>
      <c r="Y36" t="s">
        <v>119</v>
      </c>
      <c r="Z36" t="s">
        <v>120</v>
      </c>
      <c r="AA36" s="10">
        <v>1</v>
      </c>
      <c r="AB36" t="s">
        <v>20</v>
      </c>
      <c r="AC36" s="10">
        <v>14700</v>
      </c>
      <c r="AD36" s="4">
        <v>14700</v>
      </c>
      <c r="AG36" s="82" t="s">
        <v>1</v>
      </c>
      <c r="AH36" s="83"/>
      <c r="AI36" s="83"/>
      <c r="AJ36" s="83"/>
      <c r="AK36" s="83"/>
      <c r="AL36" s="18"/>
      <c r="AM36" s="18"/>
      <c r="AN36" s="19"/>
      <c r="AP36" s="20" t="s">
        <v>145</v>
      </c>
      <c r="AQ36" s="18" t="s">
        <v>146</v>
      </c>
      <c r="AR36" s="18" t="s">
        <v>123</v>
      </c>
      <c r="AS36" s="21">
        <v>62</v>
      </c>
      <c r="AT36" s="18" t="s">
        <v>5</v>
      </c>
      <c r="AU36" s="21">
        <v>4604.1441999999997</v>
      </c>
      <c r="AV36" s="19">
        <v>285456.94040000002</v>
      </c>
      <c r="AX36" s="20" t="s">
        <v>145</v>
      </c>
      <c r="AY36" s="18" t="s">
        <v>146</v>
      </c>
      <c r="AZ36" s="18" t="s">
        <v>123</v>
      </c>
      <c r="BA36" s="21">
        <v>62</v>
      </c>
      <c r="BB36" s="18" t="s">
        <v>5</v>
      </c>
      <c r="BC36" s="21">
        <v>4604.1441999999997</v>
      </c>
      <c r="BD36" s="19">
        <v>285456.94040000002</v>
      </c>
    </row>
    <row r="37" spans="1:56" x14ac:dyDescent="0.35">
      <c r="A37" s="38" t="str">
        <v>NCGS0001</v>
      </c>
      <c r="B37" s="31" t="str">
        <f t="shared" si="4"/>
        <v>TISSUE COCKTAIL NAPKIN 11x11 (48 PACK)</v>
      </c>
      <c r="C37" s="31" t="str">
        <f t="shared" si="5"/>
        <v>NCG</v>
      </c>
      <c r="D37" s="39" t="str">
        <f t="shared" si="6"/>
        <v>pack</v>
      </c>
      <c r="E37" s="40">
        <f t="shared" si="7"/>
        <v>4604.1400000000003</v>
      </c>
      <c r="F37" s="48">
        <f t="shared" si="8"/>
        <v>71</v>
      </c>
      <c r="G37" s="48">
        <f t="shared" si="9"/>
        <v>62</v>
      </c>
      <c r="H37" s="48">
        <f t="shared" si="10"/>
        <v>-9</v>
      </c>
      <c r="I37" s="40">
        <f t="shared" si="11"/>
        <v>-41437.26</v>
      </c>
      <c r="J37" s="39" t="str">
        <f t="shared" si="12"/>
        <v>Penurunan IU</v>
      </c>
      <c r="K37" s="42" t="s">
        <v>1275</v>
      </c>
      <c r="O37" s="3">
        <v>15</v>
      </c>
      <c r="P37" t="s">
        <v>53</v>
      </c>
      <c r="Q37" t="s">
        <v>54</v>
      </c>
      <c r="R37" t="s">
        <v>41</v>
      </c>
      <c r="S37" s="10">
        <v>14</v>
      </c>
      <c r="T37" t="s">
        <v>20</v>
      </c>
      <c r="U37" s="10">
        <v>4066.6392375</v>
      </c>
      <c r="V37" s="4">
        <v>56932.949325000001</v>
      </c>
      <c r="X37" s="3" t="s">
        <v>121</v>
      </c>
      <c r="Y37" t="s">
        <v>122</v>
      </c>
      <c r="Z37" t="s">
        <v>123</v>
      </c>
      <c r="AA37" s="10">
        <v>8</v>
      </c>
      <c r="AB37" t="s">
        <v>5</v>
      </c>
      <c r="AC37" s="10">
        <v>5501.0582000000004</v>
      </c>
      <c r="AD37" s="4">
        <v>44008.465600000003</v>
      </c>
      <c r="AG37" s="20"/>
      <c r="AH37" s="18"/>
      <c r="AI37" s="18"/>
      <c r="AJ37" s="18"/>
      <c r="AK37" s="18"/>
      <c r="AL37" s="18"/>
      <c r="AM37" s="18"/>
      <c r="AN37" s="19"/>
      <c r="AP37" s="20" t="s">
        <v>147</v>
      </c>
      <c r="AQ37" s="18" t="s">
        <v>148</v>
      </c>
      <c r="AR37" s="18" t="s">
        <v>123</v>
      </c>
      <c r="AS37" s="21">
        <v>7.0000000000000007E-2</v>
      </c>
      <c r="AT37" s="18" t="s">
        <v>5</v>
      </c>
      <c r="AU37" s="21">
        <v>14957.0093</v>
      </c>
      <c r="AV37" s="19">
        <v>1046.9906510000001</v>
      </c>
      <c r="AX37" s="20" t="s">
        <v>147</v>
      </c>
      <c r="AY37" s="18" t="s">
        <v>148</v>
      </c>
      <c r="AZ37" s="18" t="s">
        <v>123</v>
      </c>
      <c r="BA37" s="21">
        <v>7.0000000000000007E-2</v>
      </c>
      <c r="BB37" s="18" t="s">
        <v>5</v>
      </c>
      <c r="BC37" s="21">
        <v>14957.0093</v>
      </c>
      <c r="BD37" s="19">
        <v>1046.9906510000001</v>
      </c>
    </row>
    <row r="38" spans="1:56" x14ac:dyDescent="0.35">
      <c r="A38" s="38" t="str">
        <v>NCGS0002</v>
      </c>
      <c r="B38" s="31" t="str">
        <f t="shared" si="4"/>
        <v>TUSUK GIGI ION @ 500 PCS</v>
      </c>
      <c r="C38" s="31" t="str">
        <f t="shared" si="5"/>
        <v>NCG</v>
      </c>
      <c r="D38" s="39" t="str">
        <f t="shared" si="6"/>
        <v>pack</v>
      </c>
      <c r="E38" s="40">
        <f t="shared" si="7"/>
        <v>14957.01</v>
      </c>
      <c r="F38" s="48">
        <f t="shared" si="8"/>
        <v>1.07</v>
      </c>
      <c r="G38" s="48">
        <f t="shared" si="9"/>
        <v>7.0000000000000007E-2</v>
      </c>
      <c r="H38" s="48">
        <f t="shared" si="10"/>
        <v>-1</v>
      </c>
      <c r="I38" s="40">
        <f t="shared" si="11"/>
        <v>-14957.01</v>
      </c>
      <c r="J38" s="39" t="str">
        <f t="shared" si="12"/>
        <v>Penurunan IU</v>
      </c>
      <c r="K38" s="42" t="s">
        <v>1275</v>
      </c>
      <c r="O38" s="3">
        <v>16</v>
      </c>
      <c r="P38" t="s">
        <v>310</v>
      </c>
      <c r="Q38" t="s">
        <v>311</v>
      </c>
      <c r="R38" t="s">
        <v>41</v>
      </c>
      <c r="S38" s="10">
        <v>1</v>
      </c>
      <c r="T38" t="s">
        <v>20</v>
      </c>
      <c r="U38" s="10">
        <v>9637</v>
      </c>
      <c r="V38" s="4">
        <v>9637</v>
      </c>
      <c r="X38" s="3" t="s">
        <v>126</v>
      </c>
      <c r="Y38" t="s">
        <v>127</v>
      </c>
      <c r="Z38" t="s">
        <v>123</v>
      </c>
      <c r="AA38" s="10">
        <v>9</v>
      </c>
      <c r="AB38" t="s">
        <v>5</v>
      </c>
      <c r="AC38" s="10">
        <v>5316.8608000000004</v>
      </c>
      <c r="AD38" s="4">
        <v>47851.747199999998</v>
      </c>
      <c r="AG38" s="82" t="s">
        <v>10</v>
      </c>
      <c r="AH38" s="83" t="s">
        <v>11</v>
      </c>
      <c r="AI38" s="18" t="s">
        <v>347</v>
      </c>
      <c r="AJ38" s="18"/>
      <c r="AK38" s="18"/>
      <c r="AL38" s="18"/>
      <c r="AM38" s="18"/>
      <c r="AN38" s="19"/>
      <c r="AP38" s="20" t="s">
        <v>154</v>
      </c>
      <c r="AQ38" s="18" t="s">
        <v>155</v>
      </c>
      <c r="AR38" s="18" t="s">
        <v>151</v>
      </c>
      <c r="AS38" s="21">
        <v>17</v>
      </c>
      <c r="AT38" s="18" t="s">
        <v>20</v>
      </c>
      <c r="AU38" s="21">
        <v>4210.2388228571444</v>
      </c>
      <c r="AV38" s="19">
        <v>71574.059989000001</v>
      </c>
      <c r="AX38" s="20" t="s">
        <v>154</v>
      </c>
      <c r="AY38" s="18" t="s">
        <v>155</v>
      </c>
      <c r="AZ38" s="18" t="s">
        <v>151</v>
      </c>
      <c r="BA38" s="21">
        <v>17</v>
      </c>
      <c r="BB38" s="18" t="s">
        <v>20</v>
      </c>
      <c r="BC38" s="21">
        <v>4210.2388228571444</v>
      </c>
      <c r="BD38" s="19">
        <v>71574.059989000001</v>
      </c>
    </row>
    <row r="39" spans="1:56" x14ac:dyDescent="0.35">
      <c r="A39" s="38" t="str">
        <v>OTH00064</v>
      </c>
      <c r="B39" s="31" t="str">
        <f t="shared" si="4"/>
        <v>LILIN MEJA / TEALIGHT</v>
      </c>
      <c r="C39" s="31" t="str">
        <f t="shared" si="5"/>
        <v>OTHERS</v>
      </c>
      <c r="D39" s="39" t="str">
        <f t="shared" si="6"/>
        <v>pcs</v>
      </c>
      <c r="E39" s="40">
        <f t="shared" si="7"/>
        <v>4210.24</v>
      </c>
      <c r="F39" s="48" t="str">
        <f t="shared" si="8"/>
        <v>0</v>
      </c>
      <c r="G39" s="48">
        <f t="shared" si="9"/>
        <v>17</v>
      </c>
      <c r="H39" s="48">
        <f t="shared" si="10"/>
        <v>17</v>
      </c>
      <c r="I39" s="40">
        <f t="shared" si="11"/>
        <v>71574.080000000002</v>
      </c>
      <c r="J39" s="39" t="str">
        <f t="shared" si="12"/>
        <v>Kenaikan IU</v>
      </c>
      <c r="K39" s="42" t="s">
        <v>1273</v>
      </c>
      <c r="O39" s="3">
        <v>17</v>
      </c>
      <c r="P39" t="s">
        <v>57</v>
      </c>
      <c r="Q39" t="s">
        <v>58</v>
      </c>
      <c r="R39" t="s">
        <v>41</v>
      </c>
      <c r="S39" s="10">
        <v>4.2</v>
      </c>
      <c r="T39" t="s">
        <v>5</v>
      </c>
      <c r="U39" s="10">
        <v>8995.2312000000002</v>
      </c>
      <c r="V39" s="4">
        <v>37779.971039999997</v>
      </c>
      <c r="X39" s="3" t="s">
        <v>128</v>
      </c>
      <c r="Y39" t="s">
        <v>129</v>
      </c>
      <c r="Z39" t="s">
        <v>123</v>
      </c>
      <c r="AA39" s="10">
        <v>5.5</v>
      </c>
      <c r="AB39" t="s">
        <v>74</v>
      </c>
      <c r="AC39" s="10">
        <v>135107.48009999999</v>
      </c>
      <c r="AD39" s="4">
        <v>743091.14055000001</v>
      </c>
      <c r="AG39" s="82" t="s">
        <v>16</v>
      </c>
      <c r="AH39" s="83" t="s">
        <v>11</v>
      </c>
      <c r="AI39" s="18" t="s">
        <v>211</v>
      </c>
      <c r="AJ39" s="18"/>
      <c r="AK39" s="18"/>
      <c r="AL39" s="18"/>
      <c r="AM39" s="18"/>
      <c r="AN39" s="19"/>
      <c r="AP39" s="20" t="s">
        <v>272</v>
      </c>
      <c r="AQ39" s="18" t="s">
        <v>273</v>
      </c>
      <c r="AR39" s="18" t="s">
        <v>151</v>
      </c>
      <c r="AS39" s="21">
        <v>2</v>
      </c>
      <c r="AT39" s="18" t="s">
        <v>5</v>
      </c>
      <c r="AU39" s="21">
        <v>3988</v>
      </c>
      <c r="AV39" s="19">
        <v>7976</v>
      </c>
      <c r="AX39" s="20" t="s">
        <v>272</v>
      </c>
      <c r="AY39" s="18" t="s">
        <v>273</v>
      </c>
      <c r="AZ39" s="18" t="s">
        <v>151</v>
      </c>
      <c r="BA39" s="21">
        <v>2</v>
      </c>
      <c r="BB39" s="18" t="s">
        <v>5</v>
      </c>
      <c r="BC39" s="21">
        <v>3988</v>
      </c>
      <c r="BD39" s="19">
        <v>7976</v>
      </c>
    </row>
    <row r="40" spans="1:56" x14ac:dyDescent="0.35">
      <c r="A40" s="38" t="str">
        <v>OTH00092</v>
      </c>
      <c r="B40" s="31" t="str">
        <f t="shared" si="4"/>
        <v>KABEL TIES 10 CM</v>
      </c>
      <c r="C40" s="31" t="str">
        <f t="shared" si="5"/>
        <v>OTHERS</v>
      </c>
      <c r="D40" s="39" t="str">
        <f t="shared" si="6"/>
        <v>pack</v>
      </c>
      <c r="E40" s="40">
        <f t="shared" si="7"/>
        <v>3988</v>
      </c>
      <c r="F40" s="48">
        <f t="shared" si="8"/>
        <v>1</v>
      </c>
      <c r="G40" s="48">
        <f t="shared" si="9"/>
        <v>2</v>
      </c>
      <c r="H40" s="48">
        <f t="shared" si="10"/>
        <v>1</v>
      </c>
      <c r="I40" s="40">
        <f t="shared" si="11"/>
        <v>3988</v>
      </c>
      <c r="J40" s="39" t="str">
        <f t="shared" si="12"/>
        <v>Kenaikan IU</v>
      </c>
      <c r="K40" s="42" t="s">
        <v>1275</v>
      </c>
      <c r="O40" s="3">
        <v>18</v>
      </c>
      <c r="P40" t="s">
        <v>59</v>
      </c>
      <c r="Q40" t="s">
        <v>60</v>
      </c>
      <c r="R40" t="s">
        <v>41</v>
      </c>
      <c r="S40" s="10">
        <v>3.4</v>
      </c>
      <c r="T40" t="s">
        <v>5</v>
      </c>
      <c r="U40" s="10">
        <v>7999.0082000000002</v>
      </c>
      <c r="V40" s="4">
        <v>27196.62788</v>
      </c>
      <c r="X40" s="3" t="s">
        <v>130</v>
      </c>
      <c r="Y40" t="s">
        <v>131</v>
      </c>
      <c r="Z40" t="s">
        <v>123</v>
      </c>
      <c r="AA40" s="10">
        <v>50</v>
      </c>
      <c r="AB40" t="s">
        <v>5</v>
      </c>
      <c r="AC40" s="10">
        <v>6355.2948999999999</v>
      </c>
      <c r="AD40" s="4">
        <v>317764.745</v>
      </c>
      <c r="AG40" s="82" t="s">
        <v>21</v>
      </c>
      <c r="AH40" s="83" t="s">
        <v>11</v>
      </c>
      <c r="AI40" s="18" t="s">
        <v>301</v>
      </c>
      <c r="AJ40" s="18"/>
      <c r="AK40" s="18"/>
      <c r="AL40" s="18"/>
      <c r="AM40" s="18"/>
      <c r="AN40" s="19"/>
      <c r="AP40" s="20" t="s">
        <v>161</v>
      </c>
      <c r="AQ40" s="18" t="s">
        <v>162</v>
      </c>
      <c r="AR40" s="18" t="s">
        <v>151</v>
      </c>
      <c r="AS40" s="18">
        <v>1.6</v>
      </c>
      <c r="AT40" s="18" t="s">
        <v>5</v>
      </c>
      <c r="AU40" s="18">
        <v>6841.8717999999999</v>
      </c>
      <c r="AV40" s="19">
        <v>10946.99488</v>
      </c>
      <c r="AX40" s="20" t="s">
        <v>161</v>
      </c>
      <c r="AY40" s="18" t="s">
        <v>162</v>
      </c>
      <c r="AZ40" s="18" t="s">
        <v>151</v>
      </c>
      <c r="BA40" s="18">
        <v>1.6</v>
      </c>
      <c r="BB40" s="18" t="s">
        <v>5</v>
      </c>
      <c r="BC40" s="18">
        <v>6841.8717999999999</v>
      </c>
      <c r="BD40" s="19">
        <v>10946.99488</v>
      </c>
    </row>
    <row r="41" spans="1:56" x14ac:dyDescent="0.35">
      <c r="A41" s="38" t="str">
        <v>OTH00151</v>
      </c>
      <c r="B41" s="31" t="str">
        <f t="shared" si="4"/>
        <v>LILIN ULANG TAHUN</v>
      </c>
      <c r="C41" s="31" t="str">
        <f t="shared" si="5"/>
        <v>OTHERS</v>
      </c>
      <c r="D41" s="39" t="str">
        <f t="shared" si="6"/>
        <v>pack</v>
      </c>
      <c r="E41" s="40">
        <f t="shared" si="7"/>
        <v>6841.87</v>
      </c>
      <c r="F41" s="48">
        <f t="shared" si="8"/>
        <v>0.2</v>
      </c>
      <c r="G41" s="48">
        <f t="shared" si="9"/>
        <v>1.6</v>
      </c>
      <c r="H41" s="48">
        <f t="shared" si="10"/>
        <v>1.4000000000000001</v>
      </c>
      <c r="I41" s="40">
        <f t="shared" si="11"/>
        <v>9578.6180000000004</v>
      </c>
      <c r="J41" s="39" t="str">
        <f t="shared" si="12"/>
        <v>Kenaikan IU</v>
      </c>
      <c r="K41" s="42" t="s">
        <v>1276</v>
      </c>
      <c r="O41" s="3">
        <v>19</v>
      </c>
      <c r="P41" t="s">
        <v>61</v>
      </c>
      <c r="Q41" t="s">
        <v>62</v>
      </c>
      <c r="R41" t="s">
        <v>41</v>
      </c>
      <c r="S41" s="10">
        <v>1</v>
      </c>
      <c r="T41" t="s">
        <v>5</v>
      </c>
      <c r="U41" s="10">
        <v>8644.8275861724142</v>
      </c>
      <c r="V41" s="4">
        <v>8644.8275859999994</v>
      </c>
      <c r="X41" s="3" t="s">
        <v>132</v>
      </c>
      <c r="Y41" t="s">
        <v>133</v>
      </c>
      <c r="Z41" t="s">
        <v>123</v>
      </c>
      <c r="AA41" s="10">
        <v>26.6</v>
      </c>
      <c r="AB41" t="s">
        <v>134</v>
      </c>
      <c r="AC41" s="10">
        <v>14983.315999999999</v>
      </c>
      <c r="AD41" s="4">
        <v>398556.20559999999</v>
      </c>
      <c r="AG41" s="82" t="s">
        <v>26</v>
      </c>
      <c r="AH41" s="83" t="s">
        <v>11</v>
      </c>
      <c r="AI41" s="18" t="s">
        <v>348</v>
      </c>
      <c r="AJ41" s="18"/>
      <c r="AK41" s="18"/>
      <c r="AL41" s="18"/>
      <c r="AM41" s="18"/>
      <c r="AN41" s="19"/>
      <c r="AP41" s="20" t="s">
        <v>65</v>
      </c>
      <c r="AQ41" s="18" t="s">
        <v>66</v>
      </c>
      <c r="AR41" s="18" t="s">
        <v>67</v>
      </c>
      <c r="AS41" s="21">
        <v>0.14000000000000001</v>
      </c>
      <c r="AT41" s="18" t="s">
        <v>20</v>
      </c>
      <c r="AU41" s="21">
        <v>45203.703699999998</v>
      </c>
      <c r="AV41" s="19">
        <v>6328.5185179999999</v>
      </c>
      <c r="AX41" s="20" t="s">
        <v>65</v>
      </c>
      <c r="AY41" s="18" t="s">
        <v>66</v>
      </c>
      <c r="AZ41" s="18" t="s">
        <v>67</v>
      </c>
      <c r="BA41" s="21">
        <v>0.14000000000000001</v>
      </c>
      <c r="BB41" s="18" t="s">
        <v>20</v>
      </c>
      <c r="BC41" s="21">
        <v>45203.703699999998</v>
      </c>
      <c r="BD41" s="19">
        <v>6328.5185179999999</v>
      </c>
    </row>
    <row r="42" spans="1:56" x14ac:dyDescent="0.35">
      <c r="A42" s="38" t="str">
        <v>STA00003</v>
      </c>
      <c r="B42" s="31" t="str">
        <f t="shared" si="4"/>
        <v>AMPLOP COKLAT</v>
      </c>
      <c r="C42" s="31" t="str">
        <f t="shared" si="5"/>
        <v>STATIONARY AND OFFICE SUPPLIES</v>
      </c>
      <c r="D42" s="39" t="str">
        <f t="shared" si="6"/>
        <v>pcs</v>
      </c>
      <c r="E42" s="40">
        <f t="shared" si="7"/>
        <v>45203.7</v>
      </c>
      <c r="F42" s="48">
        <f t="shared" si="8"/>
        <v>0.16</v>
      </c>
      <c r="G42" s="48">
        <f t="shared" si="9"/>
        <v>0.14000000000000001</v>
      </c>
      <c r="H42" s="48">
        <f t="shared" si="10"/>
        <v>-1.999999999999999E-2</v>
      </c>
      <c r="I42" s="40">
        <f t="shared" si="11"/>
        <v>-904.0739999999995</v>
      </c>
      <c r="J42" s="39" t="str">
        <f t="shared" si="12"/>
        <v>Penurunan IU</v>
      </c>
      <c r="K42" s="42" t="s">
        <v>1274</v>
      </c>
      <c r="O42" s="3">
        <v>20</v>
      </c>
      <c r="P42" t="s">
        <v>312</v>
      </c>
      <c r="Q42" t="s">
        <v>313</v>
      </c>
      <c r="R42" t="s">
        <v>41</v>
      </c>
      <c r="S42" s="10">
        <v>1</v>
      </c>
      <c r="T42" t="s">
        <v>20</v>
      </c>
      <c r="U42" s="10">
        <v>17500</v>
      </c>
      <c r="V42" s="4">
        <v>17500</v>
      </c>
      <c r="X42" s="3" t="s">
        <v>135</v>
      </c>
      <c r="Y42" t="s">
        <v>136</v>
      </c>
      <c r="Z42" t="s">
        <v>123</v>
      </c>
      <c r="AA42" s="10">
        <v>12</v>
      </c>
      <c r="AB42" t="s">
        <v>5</v>
      </c>
      <c r="AC42" s="10">
        <v>5444.4699000000001</v>
      </c>
      <c r="AD42" s="4">
        <v>65333.638800000001</v>
      </c>
      <c r="AG42" s="82" t="s">
        <v>31</v>
      </c>
      <c r="AH42" s="83" t="s">
        <v>11</v>
      </c>
      <c r="AI42" s="18" t="s">
        <v>186</v>
      </c>
      <c r="AJ42" s="18"/>
      <c r="AK42" s="18"/>
      <c r="AL42" s="18"/>
      <c r="AM42" s="18"/>
      <c r="AN42" s="19"/>
      <c r="AP42" s="20" t="s">
        <v>68</v>
      </c>
      <c r="AQ42" s="18" t="s">
        <v>69</v>
      </c>
      <c r="AR42" s="18" t="s">
        <v>67</v>
      </c>
      <c r="AS42" s="21">
        <v>0.08</v>
      </c>
      <c r="AT42" s="18" t="s">
        <v>5</v>
      </c>
      <c r="AU42" s="21">
        <v>16501.606</v>
      </c>
      <c r="AV42" s="19">
        <v>1320.1284800000001</v>
      </c>
      <c r="AX42" s="20" t="s">
        <v>68</v>
      </c>
      <c r="AY42" s="18" t="s">
        <v>69</v>
      </c>
      <c r="AZ42" s="18" t="s">
        <v>67</v>
      </c>
      <c r="BA42" s="21">
        <v>0.08</v>
      </c>
      <c r="BB42" s="18" t="s">
        <v>5</v>
      </c>
      <c r="BC42" s="21">
        <v>16501.606</v>
      </c>
      <c r="BD42" s="19">
        <v>1320.1284800000001</v>
      </c>
    </row>
    <row r="43" spans="1:56" x14ac:dyDescent="0.35">
      <c r="A43" s="38" t="str">
        <v>STA00009</v>
      </c>
      <c r="B43" s="31" t="str">
        <f t="shared" si="4"/>
        <v>AMPLOP PUTIH 104</v>
      </c>
      <c r="C43" s="31" t="str">
        <f t="shared" si="5"/>
        <v>STATIONARY AND OFFICE SUPPLIES</v>
      </c>
      <c r="D43" s="39" t="str">
        <f t="shared" si="6"/>
        <v>pack</v>
      </c>
      <c r="E43" s="40">
        <f t="shared" si="7"/>
        <v>16501.61</v>
      </c>
      <c r="F43" s="48">
        <f t="shared" si="8"/>
        <v>0.08</v>
      </c>
      <c r="G43" s="48">
        <f t="shared" si="9"/>
        <v>0.08</v>
      </c>
      <c r="H43" s="48">
        <f t="shared" si="10"/>
        <v>0</v>
      </c>
      <c r="I43" s="40">
        <f t="shared" si="11"/>
        <v>0</v>
      </c>
      <c r="J43" s="39" t="str">
        <f t="shared" si="12"/>
        <v>Tidak Ada Perubahan</v>
      </c>
      <c r="K43" s="42"/>
      <c r="O43" s="3">
        <v>21</v>
      </c>
      <c r="P43" t="s">
        <v>314</v>
      </c>
      <c r="Q43" t="s">
        <v>315</v>
      </c>
      <c r="R43" t="s">
        <v>41</v>
      </c>
      <c r="S43">
        <v>0.7</v>
      </c>
      <c r="T43" t="s">
        <v>20</v>
      </c>
      <c r="U43">
        <v>6480</v>
      </c>
      <c r="V43" s="4">
        <v>4536</v>
      </c>
      <c r="X43" s="3" t="s">
        <v>137</v>
      </c>
      <c r="Y43" t="s">
        <v>138</v>
      </c>
      <c r="Z43" t="s">
        <v>123</v>
      </c>
      <c r="AA43" s="10">
        <v>21</v>
      </c>
      <c r="AB43" t="s">
        <v>5</v>
      </c>
      <c r="AC43" s="10">
        <v>17848.709299999999</v>
      </c>
      <c r="AD43" s="4">
        <v>374822.89529999997</v>
      </c>
      <c r="AG43" s="82" t="s">
        <v>35</v>
      </c>
      <c r="AH43" s="83" t="s">
        <v>11</v>
      </c>
      <c r="AI43" s="18" t="s">
        <v>349</v>
      </c>
      <c r="AJ43" s="18"/>
      <c r="AK43" s="18"/>
      <c r="AL43" s="18"/>
      <c r="AM43" s="18"/>
      <c r="AN43" s="19"/>
      <c r="AP43" s="20" t="s">
        <v>355</v>
      </c>
      <c r="AQ43" s="18" t="s">
        <v>356</v>
      </c>
      <c r="AR43" s="18" t="s">
        <v>67</v>
      </c>
      <c r="AS43" s="21">
        <v>1</v>
      </c>
      <c r="AT43" s="18" t="s">
        <v>160</v>
      </c>
      <c r="AU43" s="21">
        <v>4846.1538499999997</v>
      </c>
      <c r="AV43" s="19">
        <v>4846.1538499999997</v>
      </c>
      <c r="AX43" s="20" t="s">
        <v>355</v>
      </c>
      <c r="AY43" s="18" t="s">
        <v>356</v>
      </c>
      <c r="AZ43" s="18" t="s">
        <v>67</v>
      </c>
      <c r="BA43" s="21">
        <v>1</v>
      </c>
      <c r="BB43" s="18" t="s">
        <v>160</v>
      </c>
      <c r="BC43" s="21">
        <v>4846.1538499999997</v>
      </c>
      <c r="BD43" s="19">
        <v>4846.1538499999997</v>
      </c>
    </row>
    <row r="44" spans="1:56" ht="15" thickBot="1" x14ac:dyDescent="0.4">
      <c r="A44" s="38" t="str">
        <v>STA00011</v>
      </c>
      <c r="B44" s="31" t="str">
        <f t="shared" si="4"/>
        <v>BINDER CLIP 111</v>
      </c>
      <c r="C44" s="31" t="str">
        <f t="shared" si="5"/>
        <v>STATIONARY AND OFFICE SUPPLIES</v>
      </c>
      <c r="D44" s="39" t="str">
        <f t="shared" si="6"/>
        <v>box</v>
      </c>
      <c r="E44" s="40">
        <f t="shared" si="7"/>
        <v>4846.1499999999996</v>
      </c>
      <c r="F44" s="48" t="str">
        <f t="shared" si="8"/>
        <v>0</v>
      </c>
      <c r="G44" s="48">
        <f t="shared" si="9"/>
        <v>1</v>
      </c>
      <c r="H44" s="48">
        <f t="shared" si="10"/>
        <v>1</v>
      </c>
      <c r="I44" s="40">
        <f t="shared" si="11"/>
        <v>4846.1499999999996</v>
      </c>
      <c r="J44" s="39" t="str">
        <f t="shared" si="12"/>
        <v>Kenaikan IU</v>
      </c>
      <c r="K44" s="42" t="s">
        <v>1274</v>
      </c>
      <c r="O44" s="11" t="s">
        <v>223</v>
      </c>
      <c r="P44" s="12" t="s">
        <v>223</v>
      </c>
      <c r="Q44" s="12" t="s">
        <v>223</v>
      </c>
      <c r="R44" s="12" t="s">
        <v>223</v>
      </c>
      <c r="S44" s="12" t="s">
        <v>223</v>
      </c>
      <c r="T44" s="12" t="s">
        <v>223</v>
      </c>
      <c r="U44" s="12" t="s">
        <v>224</v>
      </c>
      <c r="V44" s="13">
        <v>1718415.7414069998</v>
      </c>
      <c r="X44" s="3" t="s">
        <v>139</v>
      </c>
      <c r="Y44" t="s">
        <v>140</v>
      </c>
      <c r="Z44" t="s">
        <v>123</v>
      </c>
      <c r="AA44" s="10">
        <v>7</v>
      </c>
      <c r="AB44" t="s">
        <v>5</v>
      </c>
      <c r="AC44" s="10">
        <v>30191.244650000001</v>
      </c>
      <c r="AD44" s="4">
        <v>211338.71255</v>
      </c>
      <c r="AG44" s="20"/>
      <c r="AH44" s="18"/>
      <c r="AI44" s="18"/>
      <c r="AJ44" s="18"/>
      <c r="AK44" s="18"/>
      <c r="AL44" s="18"/>
      <c r="AM44" s="18"/>
      <c r="AN44" s="19"/>
      <c r="AP44" s="20" t="s">
        <v>75</v>
      </c>
      <c r="AQ44" s="18" t="s">
        <v>76</v>
      </c>
      <c r="AR44" s="18" t="s">
        <v>67</v>
      </c>
      <c r="AS44" s="21">
        <v>2</v>
      </c>
      <c r="AT44" s="18" t="s">
        <v>74</v>
      </c>
      <c r="AU44" s="21">
        <v>6993.1972999999998</v>
      </c>
      <c r="AV44" s="19">
        <v>13986.3946</v>
      </c>
      <c r="AX44" s="20" t="s">
        <v>75</v>
      </c>
      <c r="AY44" s="18" t="s">
        <v>76</v>
      </c>
      <c r="AZ44" s="18" t="s">
        <v>67</v>
      </c>
      <c r="BA44" s="21">
        <v>2</v>
      </c>
      <c r="BB44" s="18" t="s">
        <v>74</v>
      </c>
      <c r="BC44" s="21">
        <v>6993.1972999999998</v>
      </c>
      <c r="BD44" s="19">
        <v>13986.3946</v>
      </c>
    </row>
    <row r="45" spans="1:56" ht="15.5" thickTop="1" thickBot="1" x14ac:dyDescent="0.4">
      <c r="A45" s="38" t="str">
        <v>STA00029</v>
      </c>
      <c r="B45" s="31" t="str">
        <f t="shared" si="4"/>
        <v>SOLATIP SEDANG</v>
      </c>
      <c r="C45" s="31" t="str">
        <f t="shared" si="5"/>
        <v>STATIONARY AND OFFICE SUPPLIES</v>
      </c>
      <c r="D45" s="39" t="str">
        <f t="shared" si="6"/>
        <v>roll</v>
      </c>
      <c r="E45" s="40">
        <f t="shared" si="7"/>
        <v>6993.2</v>
      </c>
      <c r="F45" s="48">
        <f t="shared" si="8"/>
        <v>1</v>
      </c>
      <c r="G45" s="48">
        <f t="shared" si="9"/>
        <v>2</v>
      </c>
      <c r="H45" s="48">
        <f t="shared" si="10"/>
        <v>1</v>
      </c>
      <c r="I45" s="40">
        <f t="shared" si="11"/>
        <v>6993.2</v>
      </c>
      <c r="J45" s="39" t="str">
        <f t="shared" si="12"/>
        <v>Kenaikan IU</v>
      </c>
      <c r="K45" s="42" t="s">
        <v>1274</v>
      </c>
      <c r="X45" s="3" t="s">
        <v>143</v>
      </c>
      <c r="Y45" t="s">
        <v>144</v>
      </c>
      <c r="Z45" t="s">
        <v>123</v>
      </c>
      <c r="AA45" s="10">
        <v>0.04</v>
      </c>
      <c r="AB45" t="s">
        <v>5</v>
      </c>
      <c r="AC45" s="10">
        <v>26345.394200000006</v>
      </c>
      <c r="AD45" s="4">
        <v>1053.8157679999999</v>
      </c>
      <c r="AG45" s="20" t="s">
        <v>42</v>
      </c>
      <c r="AH45" s="18" t="s">
        <v>43</v>
      </c>
      <c r="AI45" s="18" t="s">
        <v>44</v>
      </c>
      <c r="AJ45" s="18" t="s">
        <v>45</v>
      </c>
      <c r="AK45" s="18" t="s">
        <v>46</v>
      </c>
      <c r="AL45" s="18" t="s">
        <v>47</v>
      </c>
      <c r="AM45" s="18" t="s">
        <v>48</v>
      </c>
      <c r="AN45" s="19" t="s">
        <v>49</v>
      </c>
      <c r="AP45" s="20" t="s">
        <v>325</v>
      </c>
      <c r="AQ45" s="18" t="s">
        <v>326</v>
      </c>
      <c r="AR45" s="18" t="s">
        <v>67</v>
      </c>
      <c r="AS45" s="21">
        <v>1</v>
      </c>
      <c r="AT45" s="18" t="s">
        <v>5</v>
      </c>
      <c r="AU45" s="21">
        <v>46109.567900000002</v>
      </c>
      <c r="AV45" s="19">
        <v>46109.567900000002</v>
      </c>
      <c r="AX45" s="20" t="s">
        <v>325</v>
      </c>
      <c r="AY45" s="18" t="s">
        <v>326</v>
      </c>
      <c r="AZ45" s="18" t="s">
        <v>67</v>
      </c>
      <c r="BA45" s="21">
        <v>1</v>
      </c>
      <c r="BB45" s="18" t="s">
        <v>5</v>
      </c>
      <c r="BC45" s="21">
        <v>46109.567900000002</v>
      </c>
      <c r="BD45" s="19">
        <v>46109.567900000002</v>
      </c>
    </row>
    <row r="46" spans="1:56" ht="15" thickTop="1" x14ac:dyDescent="0.35">
      <c r="A46" s="38" t="str">
        <v>STA00037</v>
      </c>
      <c r="B46" s="31" t="str">
        <f t="shared" si="4"/>
        <v>KERTAS HVS A4</v>
      </c>
      <c r="C46" s="31" t="str">
        <f t="shared" si="5"/>
        <v>STATIONARY AND OFFICE SUPPLIES</v>
      </c>
      <c r="D46" s="39" t="str">
        <f t="shared" si="6"/>
        <v>pack</v>
      </c>
      <c r="E46" s="40">
        <f t="shared" si="7"/>
        <v>46109.57</v>
      </c>
      <c r="F46" s="48">
        <f t="shared" si="8"/>
        <v>1</v>
      </c>
      <c r="G46" s="48">
        <f t="shared" si="9"/>
        <v>1</v>
      </c>
      <c r="H46" s="48">
        <f t="shared" si="10"/>
        <v>0</v>
      </c>
      <c r="I46" s="40">
        <f t="shared" si="11"/>
        <v>0</v>
      </c>
      <c r="J46" s="39" t="str">
        <f t="shared" si="12"/>
        <v>Tidak Ada Perubahan</v>
      </c>
      <c r="K46" s="42"/>
      <c r="O46" s="88" t="s">
        <v>0</v>
      </c>
      <c r="P46" s="89"/>
      <c r="Q46" s="89"/>
      <c r="R46" s="89"/>
      <c r="S46" s="89"/>
      <c r="T46" s="1"/>
      <c r="U46" s="1"/>
      <c r="V46" s="2"/>
      <c r="X46" s="3" t="s">
        <v>145</v>
      </c>
      <c r="Y46" t="s">
        <v>146</v>
      </c>
      <c r="Z46" t="s">
        <v>123</v>
      </c>
      <c r="AA46" s="10">
        <v>71</v>
      </c>
      <c r="AB46" t="s">
        <v>5</v>
      </c>
      <c r="AC46" s="10">
        <v>4604.1441999999997</v>
      </c>
      <c r="AD46" s="4">
        <v>326894.23820000002</v>
      </c>
      <c r="AG46" s="20">
        <v>1</v>
      </c>
      <c r="AH46" s="18" t="s">
        <v>350</v>
      </c>
      <c r="AI46" s="18" t="s">
        <v>351</v>
      </c>
      <c r="AJ46" s="18" t="s">
        <v>117</v>
      </c>
      <c r="AK46" s="21">
        <v>2</v>
      </c>
      <c r="AL46" s="18" t="s">
        <v>20</v>
      </c>
      <c r="AM46" s="21">
        <v>115000</v>
      </c>
      <c r="AN46" s="19">
        <v>230000</v>
      </c>
      <c r="AP46" s="20" t="s">
        <v>357</v>
      </c>
      <c r="AQ46" s="18" t="s">
        <v>358</v>
      </c>
      <c r="AR46" s="18" t="s">
        <v>67</v>
      </c>
      <c r="AS46" s="21">
        <v>0.1</v>
      </c>
      <c r="AT46" s="18" t="s">
        <v>5</v>
      </c>
      <c r="AU46" s="21">
        <v>15666.6667</v>
      </c>
      <c r="AV46" s="19">
        <v>1566.6666700000001</v>
      </c>
      <c r="AX46" s="20" t="s">
        <v>357</v>
      </c>
      <c r="AY46" s="18" t="s">
        <v>358</v>
      </c>
      <c r="AZ46" s="18" t="s">
        <v>67</v>
      </c>
      <c r="BA46" s="21">
        <v>0.1</v>
      </c>
      <c r="BB46" s="18" t="s">
        <v>5</v>
      </c>
      <c r="BC46" s="21">
        <v>15666.6667</v>
      </c>
      <c r="BD46" s="19">
        <v>1566.6666700000001</v>
      </c>
    </row>
    <row r="47" spans="1:56" x14ac:dyDescent="0.35">
      <c r="A47" s="38" t="str">
        <v>STA00042</v>
      </c>
      <c r="B47" s="31" t="str">
        <f t="shared" si="4"/>
        <v>KARET GELANG</v>
      </c>
      <c r="C47" s="31" t="str">
        <f t="shared" si="5"/>
        <v>STATIONARY AND OFFICE SUPPLIES</v>
      </c>
      <c r="D47" s="39" t="str">
        <f t="shared" si="6"/>
        <v>pack</v>
      </c>
      <c r="E47" s="40">
        <f t="shared" si="7"/>
        <v>15666.67</v>
      </c>
      <c r="F47" s="48" t="str">
        <f t="shared" si="8"/>
        <v>0</v>
      </c>
      <c r="G47" s="48">
        <f t="shared" si="9"/>
        <v>0.1</v>
      </c>
      <c r="H47" s="48">
        <f t="shared" si="10"/>
        <v>0.1</v>
      </c>
      <c r="I47" s="40">
        <f t="shared" si="11"/>
        <v>1566.6670000000001</v>
      </c>
      <c r="J47" s="39" t="str">
        <f t="shared" si="12"/>
        <v>Kenaikan IU</v>
      </c>
      <c r="K47" s="42" t="s">
        <v>1277</v>
      </c>
      <c r="O47" s="86" t="s">
        <v>1</v>
      </c>
      <c r="P47" s="87"/>
      <c r="Q47" s="87"/>
      <c r="R47" s="87"/>
      <c r="S47" s="87"/>
      <c r="V47" s="4"/>
      <c r="X47" s="3" t="s">
        <v>147</v>
      </c>
      <c r="Y47" t="s">
        <v>148</v>
      </c>
      <c r="Z47" t="s">
        <v>123</v>
      </c>
      <c r="AA47" s="10">
        <v>1.07</v>
      </c>
      <c r="AB47" t="s">
        <v>5</v>
      </c>
      <c r="AC47" s="10">
        <v>14957.0093</v>
      </c>
      <c r="AD47" s="4">
        <v>16003.999951</v>
      </c>
      <c r="AG47" s="20">
        <v>2</v>
      </c>
      <c r="AH47" s="18" t="s">
        <v>118</v>
      </c>
      <c r="AI47" s="18" t="s">
        <v>119</v>
      </c>
      <c r="AJ47" s="18" t="s">
        <v>120</v>
      </c>
      <c r="AK47" s="21">
        <v>5</v>
      </c>
      <c r="AL47" s="18" t="s">
        <v>20</v>
      </c>
      <c r="AM47" s="21">
        <v>14700</v>
      </c>
      <c r="AN47" s="19">
        <v>73500</v>
      </c>
      <c r="AP47" s="20" t="s">
        <v>359</v>
      </c>
      <c r="AQ47" s="18" t="s">
        <v>360</v>
      </c>
      <c r="AR47" s="18" t="s">
        <v>67</v>
      </c>
      <c r="AS47" s="21">
        <v>0.2</v>
      </c>
      <c r="AT47" s="18" t="s">
        <v>216</v>
      </c>
      <c r="AU47" s="21">
        <v>20750</v>
      </c>
      <c r="AV47" s="19">
        <v>4150</v>
      </c>
      <c r="AX47" s="20" t="s">
        <v>359</v>
      </c>
      <c r="AY47" s="18" t="s">
        <v>360</v>
      </c>
      <c r="AZ47" s="18" t="s">
        <v>67</v>
      </c>
      <c r="BA47" s="21">
        <v>0.2</v>
      </c>
      <c r="BB47" s="18" t="s">
        <v>216</v>
      </c>
      <c r="BC47" s="21">
        <v>20750</v>
      </c>
      <c r="BD47" s="19">
        <v>4150</v>
      </c>
    </row>
    <row r="48" spans="1:56" x14ac:dyDescent="0.35">
      <c r="A48" s="38" t="str">
        <v>STA00047</v>
      </c>
      <c r="B48" s="31" t="str">
        <f t="shared" si="4"/>
        <v>BETADINE</v>
      </c>
      <c r="C48" s="31" t="str">
        <f t="shared" si="5"/>
        <v>STATIONARY AND OFFICE SUPPLIES</v>
      </c>
      <c r="D48" s="39" t="str">
        <f t="shared" si="6"/>
        <v>btl</v>
      </c>
      <c r="E48" s="40">
        <f t="shared" si="7"/>
        <v>20750</v>
      </c>
      <c r="F48" s="48" t="str">
        <f t="shared" si="8"/>
        <v>0</v>
      </c>
      <c r="G48" s="48">
        <f t="shared" si="9"/>
        <v>0.2</v>
      </c>
      <c r="H48" s="48">
        <f t="shared" si="10"/>
        <v>0.2</v>
      </c>
      <c r="I48" s="40">
        <f t="shared" si="11"/>
        <v>4150</v>
      </c>
      <c r="J48" s="39" t="str">
        <f t="shared" si="12"/>
        <v>Kenaikan IU</v>
      </c>
      <c r="K48" s="42" t="s">
        <v>1274</v>
      </c>
      <c r="O48" s="3"/>
      <c r="V48" s="4"/>
      <c r="X48" s="3" t="s">
        <v>272</v>
      </c>
      <c r="Y48" t="s">
        <v>273</v>
      </c>
      <c r="Z48" t="s">
        <v>151</v>
      </c>
      <c r="AA48" s="10">
        <v>1</v>
      </c>
      <c r="AB48" t="s">
        <v>5</v>
      </c>
      <c r="AC48" s="10">
        <v>3988</v>
      </c>
      <c r="AD48" s="4">
        <v>3988</v>
      </c>
      <c r="AG48" s="20">
        <v>3</v>
      </c>
      <c r="AH48" s="18" t="s">
        <v>121</v>
      </c>
      <c r="AI48" s="18" t="s">
        <v>122</v>
      </c>
      <c r="AJ48" s="18" t="s">
        <v>123</v>
      </c>
      <c r="AK48" s="21">
        <v>2</v>
      </c>
      <c r="AL48" s="18" t="s">
        <v>5</v>
      </c>
      <c r="AM48" s="21">
        <v>5501.0582000000004</v>
      </c>
      <c r="AN48" s="19">
        <v>11002.116400000001</v>
      </c>
      <c r="AP48" s="20" t="s">
        <v>85</v>
      </c>
      <c r="AQ48" s="18" t="s">
        <v>86</v>
      </c>
      <c r="AR48" s="18" t="s">
        <v>67</v>
      </c>
      <c r="AS48" s="21">
        <v>1.1000000000000001</v>
      </c>
      <c r="AT48" s="18" t="s">
        <v>87</v>
      </c>
      <c r="AU48" s="21">
        <v>17482.918600000001</v>
      </c>
      <c r="AV48" s="19">
        <v>19231.210459999998</v>
      </c>
      <c r="AX48" s="20" t="s">
        <v>85</v>
      </c>
      <c r="AY48" s="18" t="s">
        <v>86</v>
      </c>
      <c r="AZ48" s="18" t="s">
        <v>67</v>
      </c>
      <c r="BA48" s="21">
        <v>1.1000000000000001</v>
      </c>
      <c r="BB48" s="18" t="s">
        <v>87</v>
      </c>
      <c r="BC48" s="21">
        <v>17482.918600000001</v>
      </c>
      <c r="BD48" s="19">
        <v>19231.210459999998</v>
      </c>
    </row>
    <row r="49" spans="1:56" x14ac:dyDescent="0.35">
      <c r="A49" s="38" t="str">
        <v>STA00051</v>
      </c>
      <c r="B49" s="31" t="str">
        <f t="shared" si="4"/>
        <v>PANADOL HIJAU</v>
      </c>
      <c r="C49" s="31" t="str">
        <f t="shared" si="5"/>
        <v>STATIONARY AND OFFICE SUPPLIES</v>
      </c>
      <c r="D49" s="39" t="str">
        <f t="shared" si="6"/>
        <v>str</v>
      </c>
      <c r="E49" s="40">
        <f t="shared" si="7"/>
        <v>17482.919999999998</v>
      </c>
      <c r="F49" s="48">
        <f t="shared" si="8"/>
        <v>1.6</v>
      </c>
      <c r="G49" s="48">
        <f t="shared" si="9"/>
        <v>1.1000000000000001</v>
      </c>
      <c r="H49" s="48">
        <f t="shared" si="10"/>
        <v>-0.5</v>
      </c>
      <c r="I49" s="40">
        <f t="shared" si="11"/>
        <v>-8741.4599999999991</v>
      </c>
      <c r="J49" s="39" t="str">
        <f t="shared" si="12"/>
        <v>Penurunan IU</v>
      </c>
      <c r="K49" s="42" t="s">
        <v>1278</v>
      </c>
      <c r="O49" s="86" t="s">
        <v>10</v>
      </c>
      <c r="P49" s="87" t="s">
        <v>11</v>
      </c>
      <c r="Q49" t="s">
        <v>320</v>
      </c>
      <c r="V49" s="4"/>
      <c r="X49" s="3" t="s">
        <v>158</v>
      </c>
      <c r="Y49" t="s">
        <v>159</v>
      </c>
      <c r="Z49" t="s">
        <v>151</v>
      </c>
      <c r="AA49" s="10">
        <v>8</v>
      </c>
      <c r="AB49" t="s">
        <v>160</v>
      </c>
      <c r="AC49" s="10">
        <v>10653.953100000001</v>
      </c>
      <c r="AD49" s="4">
        <v>85231.624800000005</v>
      </c>
      <c r="AG49" s="20">
        <v>4</v>
      </c>
      <c r="AH49" s="18" t="s">
        <v>126</v>
      </c>
      <c r="AI49" s="18" t="s">
        <v>127</v>
      </c>
      <c r="AJ49" s="18" t="s">
        <v>123</v>
      </c>
      <c r="AK49" s="21">
        <v>11</v>
      </c>
      <c r="AL49" s="18" t="s">
        <v>5</v>
      </c>
      <c r="AM49" s="21">
        <v>5316.8608000000004</v>
      </c>
      <c r="AN49" s="19">
        <v>58485.468800000002</v>
      </c>
      <c r="AP49" s="20" t="s">
        <v>242</v>
      </c>
      <c r="AQ49" s="18" t="s">
        <v>243</v>
      </c>
      <c r="AR49" s="18" t="s">
        <v>67</v>
      </c>
      <c r="AS49" s="21">
        <v>1.7</v>
      </c>
      <c r="AT49" s="18" t="s">
        <v>87</v>
      </c>
      <c r="AU49" s="21">
        <v>14168.0162</v>
      </c>
      <c r="AV49" s="19">
        <v>24085.627540000001</v>
      </c>
      <c r="AX49" s="20" t="s">
        <v>242</v>
      </c>
      <c r="AY49" s="18" t="s">
        <v>243</v>
      </c>
      <c r="AZ49" s="18" t="s">
        <v>67</v>
      </c>
      <c r="BA49" s="21">
        <v>1.7</v>
      </c>
      <c r="BB49" s="18" t="s">
        <v>87</v>
      </c>
      <c r="BC49" s="21">
        <v>14168.0162</v>
      </c>
      <c r="BD49" s="19">
        <v>24085.627540000001</v>
      </c>
    </row>
    <row r="50" spans="1:56" x14ac:dyDescent="0.35">
      <c r="A50" s="38" t="str">
        <v>STA00052</v>
      </c>
      <c r="B50" s="31" t="str">
        <f t="shared" si="4"/>
        <v>PANADOL MERAH</v>
      </c>
      <c r="C50" s="31" t="str">
        <f t="shared" si="5"/>
        <v>STATIONARY AND OFFICE SUPPLIES</v>
      </c>
      <c r="D50" s="39" t="str">
        <f t="shared" si="6"/>
        <v>str</v>
      </c>
      <c r="E50" s="40">
        <f t="shared" si="7"/>
        <v>14168.02</v>
      </c>
      <c r="F50" s="48">
        <f t="shared" si="8"/>
        <v>1.7</v>
      </c>
      <c r="G50" s="48">
        <f t="shared" si="9"/>
        <v>1.7</v>
      </c>
      <c r="H50" s="48">
        <f t="shared" si="10"/>
        <v>0</v>
      </c>
      <c r="I50" s="40">
        <f t="shared" si="11"/>
        <v>0</v>
      </c>
      <c r="J50" s="39" t="str">
        <f t="shared" si="12"/>
        <v>Tidak Ada Perubahan</v>
      </c>
      <c r="K50" s="42"/>
      <c r="O50" s="86" t="s">
        <v>16</v>
      </c>
      <c r="P50" s="87" t="s">
        <v>11</v>
      </c>
      <c r="Q50" t="s">
        <v>17</v>
      </c>
      <c r="V50" s="4"/>
      <c r="X50" s="3" t="s">
        <v>161</v>
      </c>
      <c r="Y50" t="s">
        <v>162</v>
      </c>
      <c r="Z50" t="s">
        <v>151</v>
      </c>
      <c r="AA50">
        <v>0.2</v>
      </c>
      <c r="AB50" t="s">
        <v>5</v>
      </c>
      <c r="AC50">
        <v>6390.0769</v>
      </c>
      <c r="AD50" s="4">
        <v>1278.0153800000001</v>
      </c>
      <c r="AG50" s="20">
        <v>5</v>
      </c>
      <c r="AH50" s="18" t="s">
        <v>128</v>
      </c>
      <c r="AI50" s="18" t="s">
        <v>129</v>
      </c>
      <c r="AJ50" s="18" t="s">
        <v>123</v>
      </c>
      <c r="AK50" s="21">
        <v>3</v>
      </c>
      <c r="AL50" s="18" t="s">
        <v>74</v>
      </c>
      <c r="AM50" s="21">
        <v>135107.48009999999</v>
      </c>
      <c r="AN50" s="19">
        <v>405322.44030000002</v>
      </c>
      <c r="AP50" s="20" t="s">
        <v>246</v>
      </c>
      <c r="AQ50" s="18" t="s">
        <v>247</v>
      </c>
      <c r="AR50" s="18" t="s">
        <v>67</v>
      </c>
      <c r="AS50" s="21">
        <v>2</v>
      </c>
      <c r="AT50" s="18" t="s">
        <v>5</v>
      </c>
      <c r="AU50" s="21">
        <v>1995.2174833333329</v>
      </c>
      <c r="AV50" s="19">
        <v>3990.4349670000001</v>
      </c>
      <c r="AX50" s="20" t="s">
        <v>246</v>
      </c>
      <c r="AY50" s="18" t="s">
        <v>247</v>
      </c>
      <c r="AZ50" s="18" t="s">
        <v>67</v>
      </c>
      <c r="BA50" s="21">
        <v>2</v>
      </c>
      <c r="BB50" s="18" t="s">
        <v>5</v>
      </c>
      <c r="BC50" s="21">
        <v>1995.2174833333329</v>
      </c>
      <c r="BD50" s="19">
        <v>3990.4349670000001</v>
      </c>
    </row>
    <row r="51" spans="1:56" x14ac:dyDescent="0.35">
      <c r="A51" s="38" t="str">
        <v>STA00057</v>
      </c>
      <c r="B51" s="31" t="str">
        <f t="shared" si="4"/>
        <v>ISI STAPLER</v>
      </c>
      <c r="C51" s="31" t="str">
        <f t="shared" si="5"/>
        <v>STATIONARY AND OFFICE SUPPLIES</v>
      </c>
      <c r="D51" s="39" t="str">
        <f t="shared" si="6"/>
        <v>pack</v>
      </c>
      <c r="E51" s="40">
        <f t="shared" si="7"/>
        <v>1995.22</v>
      </c>
      <c r="F51" s="48">
        <f t="shared" si="8"/>
        <v>2</v>
      </c>
      <c r="G51" s="48">
        <f t="shared" si="9"/>
        <v>2</v>
      </c>
      <c r="H51" s="48">
        <f t="shared" si="10"/>
        <v>0</v>
      </c>
      <c r="I51" s="40">
        <f t="shared" si="11"/>
        <v>0</v>
      </c>
      <c r="J51" s="39" t="str">
        <f t="shared" si="12"/>
        <v>Tidak Ada Perubahan</v>
      </c>
      <c r="K51" s="42"/>
      <c r="O51" s="86" t="s">
        <v>21</v>
      </c>
      <c r="P51" s="87" t="s">
        <v>11</v>
      </c>
      <c r="Q51" t="s">
        <v>301</v>
      </c>
      <c r="V51" s="4"/>
      <c r="X51" s="3" t="s">
        <v>65</v>
      </c>
      <c r="Y51" t="s">
        <v>66</v>
      </c>
      <c r="Z51" t="s">
        <v>67</v>
      </c>
      <c r="AA51" s="10">
        <v>0.16</v>
      </c>
      <c r="AB51" t="s">
        <v>20</v>
      </c>
      <c r="AC51" s="10">
        <v>45203.703699999998</v>
      </c>
      <c r="AD51" s="4">
        <v>7232.592592</v>
      </c>
      <c r="AG51" s="20">
        <v>6</v>
      </c>
      <c r="AH51" s="18" t="s">
        <v>130</v>
      </c>
      <c r="AI51" s="18" t="s">
        <v>131</v>
      </c>
      <c r="AJ51" s="18" t="s">
        <v>123</v>
      </c>
      <c r="AK51" s="21">
        <v>37</v>
      </c>
      <c r="AL51" s="18" t="s">
        <v>5</v>
      </c>
      <c r="AM51" s="21">
        <v>6355.2948999999999</v>
      </c>
      <c r="AN51" s="19">
        <v>235145.91130000001</v>
      </c>
      <c r="AP51" s="20" t="s">
        <v>327</v>
      </c>
      <c r="AQ51" s="18" t="s">
        <v>328</v>
      </c>
      <c r="AR51" s="18" t="s">
        <v>67</v>
      </c>
      <c r="AS51" s="21">
        <v>1</v>
      </c>
      <c r="AT51" s="18" t="s">
        <v>5</v>
      </c>
      <c r="AU51" s="21">
        <v>3647.0239000000001</v>
      </c>
      <c r="AV51" s="19">
        <v>3647.0239000000001</v>
      </c>
      <c r="AX51" s="20" t="s">
        <v>327</v>
      </c>
      <c r="AY51" s="18" t="s">
        <v>328</v>
      </c>
      <c r="AZ51" s="18" t="s">
        <v>67</v>
      </c>
      <c r="BA51" s="21">
        <v>1</v>
      </c>
      <c r="BB51" s="18" t="s">
        <v>5</v>
      </c>
      <c r="BC51" s="21">
        <v>3647.0239000000001</v>
      </c>
      <c r="BD51" s="19">
        <v>3647.0239000000001</v>
      </c>
    </row>
    <row r="52" spans="1:56" x14ac:dyDescent="0.35">
      <c r="A52" s="38" t="str">
        <v>STA00074</v>
      </c>
      <c r="B52" s="31" t="str">
        <f t="shared" si="4"/>
        <v>LABEL/STICKER TOM &amp; JERRY 103</v>
      </c>
      <c r="C52" s="31" t="str">
        <f t="shared" si="5"/>
        <v>STATIONARY AND OFFICE SUPPLIES</v>
      </c>
      <c r="D52" s="39" t="str">
        <f t="shared" si="6"/>
        <v>pack</v>
      </c>
      <c r="E52" s="40">
        <f t="shared" si="7"/>
        <v>3647.02</v>
      </c>
      <c r="F52" s="48">
        <f t="shared" si="8"/>
        <v>1</v>
      </c>
      <c r="G52" s="48">
        <f t="shared" si="9"/>
        <v>1</v>
      </c>
      <c r="H52" s="48">
        <f t="shared" si="10"/>
        <v>0</v>
      </c>
      <c r="I52" s="40">
        <f t="shared" si="11"/>
        <v>0</v>
      </c>
      <c r="J52" s="39" t="str">
        <f t="shared" si="12"/>
        <v>Tidak Ada Perubahan</v>
      </c>
      <c r="K52" s="42"/>
      <c r="O52" s="86" t="s">
        <v>26</v>
      </c>
      <c r="P52" s="87" t="s">
        <v>11</v>
      </c>
      <c r="Q52" t="s">
        <v>321</v>
      </c>
      <c r="V52" s="4"/>
      <c r="X52" s="3" t="s">
        <v>322</v>
      </c>
      <c r="Y52" t="s">
        <v>323</v>
      </c>
      <c r="Z52" t="s">
        <v>67</v>
      </c>
      <c r="AA52" s="10">
        <v>1</v>
      </c>
      <c r="AB52" t="s">
        <v>160</v>
      </c>
      <c r="AC52" s="10">
        <v>16500</v>
      </c>
      <c r="AD52" s="4">
        <v>16500</v>
      </c>
      <c r="AG52" s="20">
        <v>7</v>
      </c>
      <c r="AH52" s="18" t="s">
        <v>132</v>
      </c>
      <c r="AI52" s="18" t="s">
        <v>133</v>
      </c>
      <c r="AJ52" s="18" t="s">
        <v>123</v>
      </c>
      <c r="AK52" s="21">
        <v>22.9</v>
      </c>
      <c r="AL52" s="18" t="s">
        <v>134</v>
      </c>
      <c r="AM52" s="21">
        <v>14983.315999999999</v>
      </c>
      <c r="AN52" s="19">
        <v>343117.93640000001</v>
      </c>
      <c r="AP52" s="20" t="s">
        <v>90</v>
      </c>
      <c r="AQ52" s="18" t="s">
        <v>91</v>
      </c>
      <c r="AR52" s="18" t="s">
        <v>67</v>
      </c>
      <c r="AS52" s="21">
        <v>1</v>
      </c>
      <c r="AT52" s="18" t="s">
        <v>5</v>
      </c>
      <c r="AU52" s="21">
        <v>3614.5832999999998</v>
      </c>
      <c r="AV52" s="19">
        <v>3614.5832999999998</v>
      </c>
      <c r="AX52" s="20" t="s">
        <v>90</v>
      </c>
      <c r="AY52" s="18" t="s">
        <v>91</v>
      </c>
      <c r="AZ52" s="18" t="s">
        <v>67</v>
      </c>
      <c r="BA52" s="21">
        <v>1</v>
      </c>
      <c r="BB52" s="18" t="s">
        <v>5</v>
      </c>
      <c r="BC52" s="21">
        <v>3614.5832999999998</v>
      </c>
      <c r="BD52" s="19">
        <v>3614.5832999999998</v>
      </c>
    </row>
    <row r="53" spans="1:56" x14ac:dyDescent="0.35">
      <c r="A53" s="38" t="str">
        <v>STA00075</v>
      </c>
      <c r="B53" s="31" t="str">
        <f t="shared" si="4"/>
        <v>LABEL/STICKER TOM &amp; JERRY 109</v>
      </c>
      <c r="C53" s="31" t="str">
        <f t="shared" si="5"/>
        <v>STATIONARY AND OFFICE SUPPLIES</v>
      </c>
      <c r="D53" s="39" t="str">
        <f t="shared" si="6"/>
        <v>pack</v>
      </c>
      <c r="E53" s="40">
        <f t="shared" si="7"/>
        <v>3614.58</v>
      </c>
      <c r="F53" s="48">
        <f t="shared" si="8"/>
        <v>3</v>
      </c>
      <c r="G53" s="48">
        <f t="shared" si="9"/>
        <v>1</v>
      </c>
      <c r="H53" s="48">
        <f t="shared" si="10"/>
        <v>-2</v>
      </c>
      <c r="I53" s="40">
        <f t="shared" si="11"/>
        <v>-7229.16</v>
      </c>
      <c r="J53" s="39" t="str">
        <f t="shared" si="12"/>
        <v>Penurunan IU</v>
      </c>
      <c r="K53" s="42" t="s">
        <v>1275</v>
      </c>
      <c r="O53" s="86" t="s">
        <v>31</v>
      </c>
      <c r="P53" s="87" t="s">
        <v>11</v>
      </c>
      <c r="Q53" t="s">
        <v>186</v>
      </c>
      <c r="V53" s="4"/>
      <c r="X53" s="3" t="s">
        <v>230</v>
      </c>
      <c r="Y53" t="s">
        <v>231</v>
      </c>
      <c r="Z53" t="s">
        <v>67</v>
      </c>
      <c r="AA53" s="10">
        <v>1</v>
      </c>
      <c r="AB53" t="s">
        <v>5</v>
      </c>
      <c r="AC53" s="10">
        <v>15150.272999999999</v>
      </c>
      <c r="AD53" s="4">
        <v>15150.272999999999</v>
      </c>
      <c r="AG53" s="20">
        <v>8</v>
      </c>
      <c r="AH53" s="18" t="s">
        <v>135</v>
      </c>
      <c r="AI53" s="18" t="s">
        <v>136</v>
      </c>
      <c r="AJ53" s="18" t="s">
        <v>123</v>
      </c>
      <c r="AK53" s="21">
        <v>9</v>
      </c>
      <c r="AL53" s="18" t="s">
        <v>5</v>
      </c>
      <c r="AM53" s="21">
        <v>5444.4699000000001</v>
      </c>
      <c r="AN53" s="19">
        <v>49000.229099999997</v>
      </c>
      <c r="AP53" s="20" t="s">
        <v>92</v>
      </c>
      <c r="AQ53" s="18" t="s">
        <v>93</v>
      </c>
      <c r="AR53" s="18" t="s">
        <v>67</v>
      </c>
      <c r="AS53" s="21">
        <v>7</v>
      </c>
      <c r="AT53" s="18" t="s">
        <v>94</v>
      </c>
      <c r="AU53" s="21">
        <v>17462.136500000001</v>
      </c>
      <c r="AV53" s="19">
        <v>122234.9555</v>
      </c>
      <c r="AX53" s="20" t="s">
        <v>92</v>
      </c>
      <c r="AY53" s="18" t="s">
        <v>93</v>
      </c>
      <c r="AZ53" s="18" t="s">
        <v>67</v>
      </c>
      <c r="BA53" s="21">
        <v>7</v>
      </c>
      <c r="BB53" s="18" t="s">
        <v>94</v>
      </c>
      <c r="BC53" s="21">
        <v>17462.136500000001</v>
      </c>
      <c r="BD53" s="19">
        <v>122234.9555</v>
      </c>
    </row>
    <row r="54" spans="1:56" x14ac:dyDescent="0.35">
      <c r="A54" s="38" t="str">
        <v>STA00080</v>
      </c>
      <c r="B54" s="31" t="str">
        <f t="shared" si="4"/>
        <v>KERTAS THERMAL 80 X 80</v>
      </c>
      <c r="C54" s="31" t="str">
        <f t="shared" si="5"/>
        <v>STATIONARY AND OFFICE SUPPLIES</v>
      </c>
      <c r="D54" s="39" t="str">
        <f t="shared" si="6"/>
        <v>ROLL</v>
      </c>
      <c r="E54" s="40">
        <f t="shared" si="7"/>
        <v>17462.14</v>
      </c>
      <c r="F54" s="48">
        <f t="shared" si="8"/>
        <v>27</v>
      </c>
      <c r="G54" s="48">
        <f t="shared" si="9"/>
        <v>7</v>
      </c>
      <c r="H54" s="48">
        <f t="shared" si="10"/>
        <v>-20</v>
      </c>
      <c r="I54" s="40">
        <f t="shared" si="11"/>
        <v>-349242.8</v>
      </c>
      <c r="J54" s="39" t="str">
        <f t="shared" si="12"/>
        <v>Penurunan IU</v>
      </c>
      <c r="K54" s="42" t="s">
        <v>1275</v>
      </c>
      <c r="O54" s="86" t="s">
        <v>35</v>
      </c>
      <c r="P54" s="87" t="s">
        <v>11</v>
      </c>
      <c r="Q54" t="s">
        <v>324</v>
      </c>
      <c r="V54" s="4"/>
      <c r="X54" s="3" t="s">
        <v>72</v>
      </c>
      <c r="Y54" t="s">
        <v>73</v>
      </c>
      <c r="Z54" t="s">
        <v>67</v>
      </c>
      <c r="AA54" s="10">
        <v>1</v>
      </c>
      <c r="AB54" t="s">
        <v>74</v>
      </c>
      <c r="AC54" s="10">
        <v>3425.7379000000001</v>
      </c>
      <c r="AD54" s="4">
        <v>3425.7379000000001</v>
      </c>
      <c r="AG54" s="20">
        <v>9</v>
      </c>
      <c r="AH54" s="18" t="s">
        <v>137</v>
      </c>
      <c r="AI54" s="18" t="s">
        <v>138</v>
      </c>
      <c r="AJ54" s="18" t="s">
        <v>123</v>
      </c>
      <c r="AK54" s="21">
        <v>11</v>
      </c>
      <c r="AL54" s="18" t="s">
        <v>5</v>
      </c>
      <c r="AM54" s="21">
        <v>17895.337200000002</v>
      </c>
      <c r="AN54" s="19">
        <v>196848.70920000001</v>
      </c>
      <c r="AP54" s="20" t="s">
        <v>96</v>
      </c>
      <c r="AQ54" s="18" t="s">
        <v>97</v>
      </c>
      <c r="AR54" s="18" t="s">
        <v>67</v>
      </c>
      <c r="AS54" s="21">
        <v>1</v>
      </c>
      <c r="AT54" s="18" t="s">
        <v>98</v>
      </c>
      <c r="AU54" s="21">
        <v>9100</v>
      </c>
      <c r="AV54" s="19">
        <v>9100</v>
      </c>
      <c r="AX54" s="20" t="s">
        <v>96</v>
      </c>
      <c r="AY54" s="18" t="s">
        <v>97</v>
      </c>
      <c r="AZ54" s="18" t="s">
        <v>67</v>
      </c>
      <c r="BA54" s="21">
        <v>1</v>
      </c>
      <c r="BB54" s="18" t="s">
        <v>98</v>
      </c>
      <c r="BC54" s="21">
        <v>9100</v>
      </c>
      <c r="BD54" s="19">
        <v>9100</v>
      </c>
    </row>
    <row r="55" spans="1:56" x14ac:dyDescent="0.35">
      <c r="A55" s="38" t="str">
        <v>STA00092</v>
      </c>
      <c r="B55" s="31" t="str">
        <f t="shared" si="4"/>
        <v>BUKU KAS (EKSPEDISI)</v>
      </c>
      <c r="C55" s="31" t="str">
        <f t="shared" si="5"/>
        <v>STATIONARY AND OFFICE SUPPLIES</v>
      </c>
      <c r="D55" s="39" t="str">
        <f t="shared" si="6"/>
        <v>buku</v>
      </c>
      <c r="E55" s="40">
        <f t="shared" si="7"/>
        <v>9100</v>
      </c>
      <c r="F55" s="48" t="str">
        <f t="shared" si="8"/>
        <v>0</v>
      </c>
      <c r="G55" s="48">
        <f t="shared" si="9"/>
        <v>1</v>
      </c>
      <c r="H55" s="48">
        <f t="shared" si="10"/>
        <v>1</v>
      </c>
      <c r="I55" s="40">
        <f t="shared" si="11"/>
        <v>9100</v>
      </c>
      <c r="J55" s="39" t="str">
        <f t="shared" si="12"/>
        <v>Kenaikan IU</v>
      </c>
      <c r="K55" s="42"/>
      <c r="O55" s="3"/>
      <c r="V55" s="4"/>
      <c r="X55" s="3" t="s">
        <v>75</v>
      </c>
      <c r="Y55" t="s">
        <v>76</v>
      </c>
      <c r="Z55" t="s">
        <v>67</v>
      </c>
      <c r="AA55" s="10">
        <v>1</v>
      </c>
      <c r="AB55" t="s">
        <v>74</v>
      </c>
      <c r="AC55" s="10">
        <v>6993.1972999999998</v>
      </c>
      <c r="AD55" s="4">
        <v>6993.1972999999998</v>
      </c>
      <c r="AG55" s="20">
        <v>10</v>
      </c>
      <c r="AH55" s="18" t="s">
        <v>139</v>
      </c>
      <c r="AI55" s="18" t="s">
        <v>140</v>
      </c>
      <c r="AJ55" s="18" t="s">
        <v>123</v>
      </c>
      <c r="AK55" s="21">
        <v>10</v>
      </c>
      <c r="AL55" s="18" t="s">
        <v>5</v>
      </c>
      <c r="AM55" s="21">
        <v>29540.085899999998</v>
      </c>
      <c r="AN55" s="19">
        <v>295400.859</v>
      </c>
      <c r="AP55" s="20" t="s">
        <v>254</v>
      </c>
      <c r="AQ55" s="18" t="s">
        <v>255</v>
      </c>
      <c r="AR55" s="18" t="s">
        <v>67</v>
      </c>
      <c r="AS55" s="21">
        <v>0.7</v>
      </c>
      <c r="AT55" s="18" t="s">
        <v>5</v>
      </c>
      <c r="AU55" s="21">
        <v>7976.1273000000001</v>
      </c>
      <c r="AV55" s="19">
        <v>5583.2891099999997</v>
      </c>
      <c r="AX55" s="20" t="s">
        <v>254</v>
      </c>
      <c r="AY55" s="18" t="s">
        <v>255</v>
      </c>
      <c r="AZ55" s="18" t="s">
        <v>67</v>
      </c>
      <c r="BA55" s="21">
        <v>0.7</v>
      </c>
      <c r="BB55" s="18" t="s">
        <v>5</v>
      </c>
      <c r="BC55" s="21">
        <v>7976.1273000000001</v>
      </c>
      <c r="BD55" s="19">
        <v>5583.2891099999997</v>
      </c>
    </row>
    <row r="56" spans="1:56" x14ac:dyDescent="0.35">
      <c r="A56" s="38" t="str">
        <v>STA00096</v>
      </c>
      <c r="B56" s="31" t="str">
        <f t="shared" si="4"/>
        <v>HANSAPLAS</v>
      </c>
      <c r="C56" s="31" t="str">
        <f t="shared" si="5"/>
        <v>STATIONARY AND OFFICE SUPPLIES</v>
      </c>
      <c r="D56" s="39" t="str">
        <f t="shared" si="6"/>
        <v>pack</v>
      </c>
      <c r="E56" s="40">
        <f t="shared" si="7"/>
        <v>7976.13</v>
      </c>
      <c r="F56" s="48">
        <f t="shared" si="8"/>
        <v>4.9000000000000004</v>
      </c>
      <c r="G56" s="48">
        <f t="shared" si="9"/>
        <v>0.7</v>
      </c>
      <c r="H56" s="48">
        <f t="shared" si="10"/>
        <v>-4.2</v>
      </c>
      <c r="I56" s="40">
        <f t="shared" si="11"/>
        <v>-33499.745999999999</v>
      </c>
      <c r="J56" s="39" t="str">
        <f t="shared" si="12"/>
        <v>Penurunan IU</v>
      </c>
      <c r="K56" s="42" t="s">
        <v>1277</v>
      </c>
      <c r="O56" s="3" t="s">
        <v>42</v>
      </c>
      <c r="P56" t="s">
        <v>43</v>
      </c>
      <c r="Q56" t="s">
        <v>44</v>
      </c>
      <c r="R56" t="s">
        <v>45</v>
      </c>
      <c r="S56" t="s">
        <v>46</v>
      </c>
      <c r="T56" t="s">
        <v>47</v>
      </c>
      <c r="U56" t="s">
        <v>48</v>
      </c>
      <c r="V56" s="4" t="s">
        <v>49</v>
      </c>
      <c r="X56" s="3" t="s">
        <v>325</v>
      </c>
      <c r="Y56" t="s">
        <v>326</v>
      </c>
      <c r="Z56" t="s">
        <v>67</v>
      </c>
      <c r="AA56" s="10">
        <v>1</v>
      </c>
      <c r="AB56" t="s">
        <v>5</v>
      </c>
      <c r="AC56" s="10">
        <v>46109.567900000002</v>
      </c>
      <c r="AD56" s="4">
        <v>46109.567900000002</v>
      </c>
      <c r="AG56" s="20">
        <v>11</v>
      </c>
      <c r="AH56" s="18" t="s">
        <v>143</v>
      </c>
      <c r="AI56" s="18" t="s">
        <v>144</v>
      </c>
      <c r="AJ56" s="18" t="s">
        <v>123</v>
      </c>
      <c r="AK56" s="21">
        <v>0.02</v>
      </c>
      <c r="AL56" s="18" t="s">
        <v>5</v>
      </c>
      <c r="AM56" s="21">
        <v>26345.394200000006</v>
      </c>
      <c r="AN56" s="19">
        <v>526.90788399999997</v>
      </c>
      <c r="AP56" s="20" t="s">
        <v>361</v>
      </c>
      <c r="AQ56" s="18" t="s">
        <v>362</v>
      </c>
      <c r="AR56" s="18" t="s">
        <v>67</v>
      </c>
      <c r="AS56" s="21">
        <v>3</v>
      </c>
      <c r="AT56" s="18" t="s">
        <v>363</v>
      </c>
      <c r="AU56" s="21">
        <v>60</v>
      </c>
      <c r="AV56" s="19">
        <v>180</v>
      </c>
      <c r="AX56" s="20" t="s">
        <v>361</v>
      </c>
      <c r="AY56" s="18" t="s">
        <v>362</v>
      </c>
      <c r="AZ56" s="18" t="s">
        <v>67</v>
      </c>
      <c r="BA56" s="21">
        <v>3</v>
      </c>
      <c r="BB56" s="18" t="s">
        <v>363</v>
      </c>
      <c r="BC56" s="21">
        <v>60</v>
      </c>
      <c r="BD56" s="19">
        <v>180</v>
      </c>
    </row>
    <row r="57" spans="1:56" x14ac:dyDescent="0.35">
      <c r="A57" s="38" t="str">
        <v>STA00098</v>
      </c>
      <c r="B57" s="31" t="str">
        <f t="shared" si="4"/>
        <v>KAPAS</v>
      </c>
      <c r="C57" s="31" t="str">
        <f t="shared" si="5"/>
        <v>STATIONARY AND OFFICE SUPPLIES</v>
      </c>
      <c r="D57" s="39" t="str">
        <f t="shared" si="6"/>
        <v>gr</v>
      </c>
      <c r="E57" s="40">
        <f t="shared" si="7"/>
        <v>60</v>
      </c>
      <c r="F57" s="48" t="str">
        <f t="shared" si="8"/>
        <v>0</v>
      </c>
      <c r="G57" s="48">
        <f t="shared" si="9"/>
        <v>3</v>
      </c>
      <c r="H57" s="48">
        <f t="shared" si="10"/>
        <v>3</v>
      </c>
      <c r="I57" s="40">
        <f t="shared" si="11"/>
        <v>180</v>
      </c>
      <c r="J57" s="39" t="str">
        <f t="shared" si="12"/>
        <v>Kenaikan IU</v>
      </c>
      <c r="K57" s="42" t="s">
        <v>1277</v>
      </c>
      <c r="O57" s="3">
        <v>1</v>
      </c>
      <c r="P57" t="s">
        <v>316</v>
      </c>
      <c r="Q57" t="s">
        <v>317</v>
      </c>
      <c r="R57" t="s">
        <v>117</v>
      </c>
      <c r="S57" s="10">
        <v>1</v>
      </c>
      <c r="T57" t="s">
        <v>20</v>
      </c>
      <c r="U57" s="10">
        <v>471351.5</v>
      </c>
      <c r="V57" s="4">
        <v>471351.5</v>
      </c>
      <c r="X57" s="3" t="s">
        <v>83</v>
      </c>
      <c r="Y57" t="s">
        <v>84</v>
      </c>
      <c r="Z57" t="s">
        <v>67</v>
      </c>
      <c r="AA57" s="10">
        <v>1</v>
      </c>
      <c r="AB57" t="s">
        <v>20</v>
      </c>
      <c r="AC57" s="10">
        <v>19000</v>
      </c>
      <c r="AD57" s="4">
        <v>19000</v>
      </c>
      <c r="AG57" s="20">
        <v>12</v>
      </c>
      <c r="AH57" s="18" t="s">
        <v>145</v>
      </c>
      <c r="AI57" s="18" t="s">
        <v>146</v>
      </c>
      <c r="AJ57" s="18" t="s">
        <v>123</v>
      </c>
      <c r="AK57" s="21">
        <v>62</v>
      </c>
      <c r="AL57" s="18" t="s">
        <v>5</v>
      </c>
      <c r="AM57" s="21">
        <v>4604.1441999999997</v>
      </c>
      <c r="AN57" s="19">
        <v>285456.94040000002</v>
      </c>
      <c r="AP57" s="20" t="s">
        <v>107</v>
      </c>
      <c r="AQ57" s="18" t="s">
        <v>108</v>
      </c>
      <c r="AR57" s="18" t="s">
        <v>67</v>
      </c>
      <c r="AS57" s="21">
        <v>4</v>
      </c>
      <c r="AT57" s="18" t="s">
        <v>5</v>
      </c>
      <c r="AU57" s="21">
        <v>15006.6692</v>
      </c>
      <c r="AV57" s="19">
        <v>60026.676800000001</v>
      </c>
      <c r="AX57" s="20" t="s">
        <v>107</v>
      </c>
      <c r="AY57" s="18" t="s">
        <v>108</v>
      </c>
      <c r="AZ57" s="18" t="s">
        <v>67</v>
      </c>
      <c r="BA57" s="21">
        <v>4</v>
      </c>
      <c r="BB57" s="18" t="s">
        <v>5</v>
      </c>
      <c r="BC57" s="21">
        <v>15006.6692</v>
      </c>
      <c r="BD57" s="19">
        <v>60026.676800000001</v>
      </c>
    </row>
    <row r="58" spans="1:56" x14ac:dyDescent="0.35">
      <c r="A58" s="38" t="str">
        <v>STA00109</v>
      </c>
      <c r="B58" s="31" t="str">
        <f t="shared" si="4"/>
        <v>STOCK CARD</v>
      </c>
      <c r="C58" s="31" t="str">
        <f t="shared" si="5"/>
        <v>STATIONARY AND OFFICE SUPPLIES</v>
      </c>
      <c r="D58" s="39" t="str">
        <f t="shared" si="6"/>
        <v>pack</v>
      </c>
      <c r="E58" s="40">
        <f t="shared" si="7"/>
        <v>15006.67</v>
      </c>
      <c r="F58" s="48">
        <f t="shared" si="8"/>
        <v>2</v>
      </c>
      <c r="G58" s="48">
        <f t="shared" si="9"/>
        <v>4</v>
      </c>
      <c r="H58" s="48">
        <f t="shared" si="10"/>
        <v>2</v>
      </c>
      <c r="I58" s="40">
        <f t="shared" si="11"/>
        <v>30013.34</v>
      </c>
      <c r="J58" s="39" t="str">
        <f t="shared" si="12"/>
        <v>Kenaikan IU</v>
      </c>
      <c r="K58" s="42" t="s">
        <v>1277</v>
      </c>
      <c r="O58" s="3">
        <v>2</v>
      </c>
      <c r="P58" t="s">
        <v>318</v>
      </c>
      <c r="Q58" t="s">
        <v>319</v>
      </c>
      <c r="R58" t="s">
        <v>117</v>
      </c>
      <c r="S58" s="10">
        <v>50</v>
      </c>
      <c r="T58" t="s">
        <v>20</v>
      </c>
      <c r="U58" s="10">
        <v>800</v>
      </c>
      <c r="V58" s="4">
        <v>40000</v>
      </c>
      <c r="X58" s="3" t="s">
        <v>85</v>
      </c>
      <c r="Y58" t="s">
        <v>86</v>
      </c>
      <c r="Z58" t="s">
        <v>67</v>
      </c>
      <c r="AA58" s="10">
        <v>1.6</v>
      </c>
      <c r="AB58" t="s">
        <v>87</v>
      </c>
      <c r="AC58" s="10">
        <v>16965.837100000001</v>
      </c>
      <c r="AD58" s="4">
        <v>27145.339360000002</v>
      </c>
      <c r="AG58" s="20">
        <v>13</v>
      </c>
      <c r="AH58" s="18" t="s">
        <v>147</v>
      </c>
      <c r="AI58" s="18" t="s">
        <v>148</v>
      </c>
      <c r="AJ58" s="18" t="s">
        <v>123</v>
      </c>
      <c r="AK58" s="21">
        <v>7.0000000000000007E-2</v>
      </c>
      <c r="AL58" s="18" t="s">
        <v>5</v>
      </c>
      <c r="AM58" s="21">
        <v>14957.0093</v>
      </c>
      <c r="AN58" s="19">
        <v>1046.9906510000001</v>
      </c>
      <c r="AP58" s="20" t="s">
        <v>364</v>
      </c>
      <c r="AQ58" s="18" t="s">
        <v>365</v>
      </c>
      <c r="AR58" s="18" t="s">
        <v>67</v>
      </c>
      <c r="AS58" s="21">
        <v>0.5</v>
      </c>
      <c r="AT58" s="18" t="s">
        <v>52</v>
      </c>
      <c r="AU58" s="21">
        <v>16000</v>
      </c>
      <c r="AV58" s="19">
        <v>8000</v>
      </c>
      <c r="AX58" s="20" t="s">
        <v>364</v>
      </c>
      <c r="AY58" s="18" t="s">
        <v>365</v>
      </c>
      <c r="AZ58" s="18" t="s">
        <v>67</v>
      </c>
      <c r="BA58" s="21">
        <v>0.5</v>
      </c>
      <c r="BB58" s="18" t="s">
        <v>52</v>
      </c>
      <c r="BC58" s="21">
        <v>16000</v>
      </c>
      <c r="BD58" s="19">
        <v>8000</v>
      </c>
    </row>
    <row r="59" spans="1:56" x14ac:dyDescent="0.35">
      <c r="A59" s="38" t="str">
        <v>STA00115</v>
      </c>
      <c r="B59" s="31" t="str">
        <f t="shared" si="4"/>
        <v>STICKER SAUCE</v>
      </c>
      <c r="C59" s="31" t="str">
        <f t="shared" si="5"/>
        <v>STATIONARY AND OFFICE SUPPLIES</v>
      </c>
      <c r="D59" s="39" t="str">
        <f t="shared" si="6"/>
        <v>lembar</v>
      </c>
      <c r="E59" s="40">
        <f t="shared" si="7"/>
        <v>16000</v>
      </c>
      <c r="F59" s="48" t="str">
        <f t="shared" si="8"/>
        <v>0</v>
      </c>
      <c r="G59" s="48">
        <f t="shared" si="9"/>
        <v>0.5</v>
      </c>
      <c r="H59" s="48">
        <f t="shared" si="10"/>
        <v>0.5</v>
      </c>
      <c r="I59" s="40">
        <f t="shared" si="11"/>
        <v>8000</v>
      </c>
      <c r="J59" s="39" t="str">
        <f t="shared" si="12"/>
        <v>Kenaikan IU</v>
      </c>
      <c r="K59" s="42" t="s">
        <v>1277</v>
      </c>
      <c r="O59" s="3">
        <v>3</v>
      </c>
      <c r="P59" t="s">
        <v>118</v>
      </c>
      <c r="Q59" t="s">
        <v>119</v>
      </c>
      <c r="R59" t="s">
        <v>120</v>
      </c>
      <c r="S59" s="10">
        <v>1</v>
      </c>
      <c r="T59" t="s">
        <v>20</v>
      </c>
      <c r="U59" s="10">
        <v>14700</v>
      </c>
      <c r="V59" s="4">
        <v>14700</v>
      </c>
      <c r="X59" s="3" t="s">
        <v>242</v>
      </c>
      <c r="Y59" t="s">
        <v>243</v>
      </c>
      <c r="Z59" t="s">
        <v>67</v>
      </c>
      <c r="AA59" s="10">
        <v>1.7</v>
      </c>
      <c r="AB59" t="s">
        <v>87</v>
      </c>
      <c r="AC59" s="10">
        <v>13910.2564</v>
      </c>
      <c r="AD59" s="4">
        <v>23647.435880000001</v>
      </c>
      <c r="AG59" s="20">
        <v>14</v>
      </c>
      <c r="AH59" s="18" t="s">
        <v>154</v>
      </c>
      <c r="AI59" s="18" t="s">
        <v>155</v>
      </c>
      <c r="AJ59" s="18" t="s">
        <v>151</v>
      </c>
      <c r="AK59" s="21">
        <v>17</v>
      </c>
      <c r="AL59" s="18" t="s">
        <v>20</v>
      </c>
      <c r="AM59" s="21">
        <v>4210.2388228571444</v>
      </c>
      <c r="AN59" s="19">
        <v>71574.059989000001</v>
      </c>
      <c r="AP59" s="20" t="s">
        <v>366</v>
      </c>
      <c r="AQ59" s="18" t="s">
        <v>367</v>
      </c>
      <c r="AR59" s="18" t="s">
        <v>67</v>
      </c>
      <c r="AS59" s="21">
        <v>3</v>
      </c>
      <c r="AT59" s="18" t="s">
        <v>94</v>
      </c>
      <c r="AU59" s="21">
        <v>2962.962971428572</v>
      </c>
      <c r="AV59" s="19">
        <v>8888.8889139999992</v>
      </c>
      <c r="AX59" s="20" t="s">
        <v>366</v>
      </c>
      <c r="AY59" s="18" t="s">
        <v>367</v>
      </c>
      <c r="AZ59" s="18" t="s">
        <v>67</v>
      </c>
      <c r="BA59" s="21">
        <v>3</v>
      </c>
      <c r="BB59" s="18" t="s">
        <v>94</v>
      </c>
      <c r="BC59" s="21">
        <v>2962.962971428572</v>
      </c>
      <c r="BD59" s="19">
        <v>8888.8889139999992</v>
      </c>
    </row>
    <row r="60" spans="1:56" x14ac:dyDescent="0.35">
      <c r="A60" s="38" t="str">
        <v>STA00116</v>
      </c>
      <c r="B60" s="31" t="str">
        <f t="shared" si="4"/>
        <v>KERTAS STICKER LABEL HARGA</v>
      </c>
      <c r="C60" s="31" t="str">
        <f t="shared" si="5"/>
        <v>STATIONARY AND OFFICE SUPPLIES</v>
      </c>
      <c r="D60" s="39" t="str">
        <f t="shared" si="6"/>
        <v>ROLL</v>
      </c>
      <c r="E60" s="40">
        <f t="shared" si="7"/>
        <v>2962.96</v>
      </c>
      <c r="F60" s="48" t="str">
        <f t="shared" si="8"/>
        <v>0</v>
      </c>
      <c r="G60" s="48">
        <f t="shared" si="9"/>
        <v>3</v>
      </c>
      <c r="H60" s="48">
        <f t="shared" si="10"/>
        <v>3</v>
      </c>
      <c r="I60" s="40">
        <f t="shared" si="11"/>
        <v>8888.880000000001</v>
      </c>
      <c r="J60" s="39" t="str">
        <f t="shared" si="12"/>
        <v>Kenaikan IU</v>
      </c>
      <c r="K60" s="42" t="s">
        <v>1277</v>
      </c>
      <c r="O60" s="3">
        <v>4</v>
      </c>
      <c r="P60" t="s">
        <v>121</v>
      </c>
      <c r="Q60" t="s">
        <v>122</v>
      </c>
      <c r="R60" t="s">
        <v>123</v>
      </c>
      <c r="S60" s="10">
        <v>8</v>
      </c>
      <c r="T60" t="s">
        <v>5</v>
      </c>
      <c r="U60" s="10">
        <v>5501.0582000000004</v>
      </c>
      <c r="V60" s="4">
        <v>44008.465600000003</v>
      </c>
      <c r="X60" s="3" t="s">
        <v>246</v>
      </c>
      <c r="Y60" t="s">
        <v>247</v>
      </c>
      <c r="Z60" t="s">
        <v>67</v>
      </c>
      <c r="AA60" s="10">
        <v>2</v>
      </c>
      <c r="AB60" t="s">
        <v>5</v>
      </c>
      <c r="AC60" s="10">
        <v>1995.2174833333329</v>
      </c>
      <c r="AD60" s="4">
        <v>3990.4349670000001</v>
      </c>
      <c r="AG60" s="20">
        <v>15</v>
      </c>
      <c r="AH60" s="18" t="s">
        <v>272</v>
      </c>
      <c r="AI60" s="18" t="s">
        <v>273</v>
      </c>
      <c r="AJ60" s="18" t="s">
        <v>151</v>
      </c>
      <c r="AK60" s="21">
        <v>2</v>
      </c>
      <c r="AL60" s="18" t="s">
        <v>5</v>
      </c>
      <c r="AM60" s="21">
        <v>3988</v>
      </c>
      <c r="AN60" s="19">
        <v>7976</v>
      </c>
      <c r="AP60" s="20" t="s">
        <v>368</v>
      </c>
      <c r="AQ60" s="18" t="s">
        <v>369</v>
      </c>
      <c r="AR60" s="18" t="s">
        <v>67</v>
      </c>
      <c r="AS60" s="21">
        <v>1</v>
      </c>
      <c r="AT60" s="18" t="s">
        <v>5</v>
      </c>
      <c r="AU60" s="21">
        <v>7500</v>
      </c>
      <c r="AV60" s="19">
        <v>7500</v>
      </c>
      <c r="AX60" s="20" t="s">
        <v>368</v>
      </c>
      <c r="AY60" s="18" t="s">
        <v>369</v>
      </c>
      <c r="AZ60" s="18" t="s">
        <v>67</v>
      </c>
      <c r="BA60" s="21">
        <v>1</v>
      </c>
      <c r="BB60" s="18" t="s">
        <v>5</v>
      </c>
      <c r="BC60" s="21">
        <v>7500</v>
      </c>
      <c r="BD60" s="19">
        <v>7500</v>
      </c>
    </row>
    <row r="61" spans="1:56" x14ac:dyDescent="0.35">
      <c r="A61" s="38" t="str">
        <v>STA00153</v>
      </c>
      <c r="B61" s="31" t="str">
        <f t="shared" si="4"/>
        <v>STICKEY NOTED</v>
      </c>
      <c r="C61" s="31" t="str">
        <f t="shared" si="5"/>
        <v>STATIONARY AND OFFICE SUPPLIES</v>
      </c>
      <c r="D61" s="39" t="str">
        <f t="shared" si="6"/>
        <v>pack</v>
      </c>
      <c r="E61" s="40">
        <f t="shared" si="7"/>
        <v>7500</v>
      </c>
      <c r="F61" s="48" t="str">
        <f t="shared" si="8"/>
        <v>0</v>
      </c>
      <c r="G61" s="48">
        <f t="shared" si="9"/>
        <v>1</v>
      </c>
      <c r="H61" s="48">
        <f t="shared" si="10"/>
        <v>1</v>
      </c>
      <c r="I61" s="40">
        <f t="shared" si="11"/>
        <v>7500</v>
      </c>
      <c r="J61" s="39" t="str">
        <f t="shared" si="12"/>
        <v>Kenaikan IU</v>
      </c>
      <c r="K61" s="42" t="s">
        <v>1277</v>
      </c>
      <c r="O61" s="3">
        <v>5</v>
      </c>
      <c r="P61" t="s">
        <v>126</v>
      </c>
      <c r="Q61" t="s">
        <v>127</v>
      </c>
      <c r="R61" t="s">
        <v>123</v>
      </c>
      <c r="S61" s="10">
        <v>9</v>
      </c>
      <c r="T61" t="s">
        <v>5</v>
      </c>
      <c r="U61" s="10">
        <v>5316.8608000000004</v>
      </c>
      <c r="V61" s="4">
        <v>47851.747199999998</v>
      </c>
      <c r="X61" s="3" t="s">
        <v>250</v>
      </c>
      <c r="Y61" t="s">
        <v>251</v>
      </c>
      <c r="Z61" t="s">
        <v>67</v>
      </c>
      <c r="AA61" s="10">
        <v>1</v>
      </c>
      <c r="AB61" t="s">
        <v>20</v>
      </c>
      <c r="AC61" s="10">
        <v>6000</v>
      </c>
      <c r="AD61" s="4">
        <v>6000</v>
      </c>
      <c r="AG61" s="20">
        <v>16</v>
      </c>
      <c r="AH61" s="18" t="s">
        <v>161</v>
      </c>
      <c r="AI61" s="18" t="s">
        <v>162</v>
      </c>
      <c r="AJ61" s="18" t="s">
        <v>151</v>
      </c>
      <c r="AK61" s="18">
        <v>1.6</v>
      </c>
      <c r="AL61" s="18" t="s">
        <v>5</v>
      </c>
      <c r="AM61" s="18">
        <v>6841.8717999999999</v>
      </c>
      <c r="AN61" s="19">
        <v>10946.99488</v>
      </c>
      <c r="AP61" s="20" t="s">
        <v>370</v>
      </c>
      <c r="AQ61" s="18" t="s">
        <v>371</v>
      </c>
      <c r="AR61" s="18" t="s">
        <v>67</v>
      </c>
      <c r="AS61" s="18">
        <v>0.75</v>
      </c>
      <c r="AT61" s="18" t="s">
        <v>267</v>
      </c>
      <c r="AU61" s="18">
        <v>125000</v>
      </c>
      <c r="AV61" s="19">
        <v>93750</v>
      </c>
      <c r="AX61" s="20" t="s">
        <v>370</v>
      </c>
      <c r="AY61" s="18" t="s">
        <v>371</v>
      </c>
      <c r="AZ61" s="18" t="s">
        <v>67</v>
      </c>
      <c r="BA61" s="18">
        <v>0.75</v>
      </c>
      <c r="BB61" s="18" t="s">
        <v>267</v>
      </c>
      <c r="BC61" s="18">
        <v>125000</v>
      </c>
      <c r="BD61" s="19">
        <v>93750</v>
      </c>
    </row>
    <row r="62" spans="1:56" ht="15" thickBot="1" x14ac:dyDescent="0.4">
      <c r="A62" s="38" t="str">
        <v>STA00157</v>
      </c>
      <c r="B62" s="31" t="str">
        <f t="shared" si="4"/>
        <v>TINTA HP GT 52</v>
      </c>
      <c r="C62" s="31" t="str">
        <f t="shared" si="5"/>
        <v>STATIONARY AND OFFICE SUPPLIES</v>
      </c>
      <c r="D62" s="39" t="str">
        <f t="shared" si="6"/>
        <v>unit</v>
      </c>
      <c r="E62" s="40">
        <f t="shared" si="7"/>
        <v>125000</v>
      </c>
      <c r="F62" s="48" t="str">
        <f t="shared" si="8"/>
        <v>0</v>
      </c>
      <c r="G62" s="48">
        <f t="shared" si="9"/>
        <v>0.75</v>
      </c>
      <c r="H62" s="48">
        <f t="shared" si="10"/>
        <v>0.75</v>
      </c>
      <c r="I62" s="40">
        <f t="shared" si="11"/>
        <v>93750</v>
      </c>
      <c r="J62" s="39" t="str">
        <f t="shared" si="12"/>
        <v>Kenaikan IU</v>
      </c>
      <c r="K62" s="42" t="s">
        <v>1277</v>
      </c>
      <c r="O62" s="3">
        <v>6</v>
      </c>
      <c r="P62" t="s">
        <v>128</v>
      </c>
      <c r="Q62" t="s">
        <v>129</v>
      </c>
      <c r="R62" t="s">
        <v>123</v>
      </c>
      <c r="S62" s="10">
        <v>5.5</v>
      </c>
      <c r="T62" t="s">
        <v>74</v>
      </c>
      <c r="U62" s="10">
        <v>135107.48009999999</v>
      </c>
      <c r="V62" s="4">
        <v>743091.14055000001</v>
      </c>
      <c r="X62" s="3" t="s">
        <v>327</v>
      </c>
      <c r="Y62" t="s">
        <v>328</v>
      </c>
      <c r="Z62" t="s">
        <v>67</v>
      </c>
      <c r="AA62" s="10">
        <v>1</v>
      </c>
      <c r="AB62" t="s">
        <v>5</v>
      </c>
      <c r="AC62" s="10">
        <v>3647.0239000000001</v>
      </c>
      <c r="AD62" s="4">
        <v>3647.0239000000001</v>
      </c>
      <c r="AG62" s="22" t="s">
        <v>223</v>
      </c>
      <c r="AH62" s="23" t="s">
        <v>223</v>
      </c>
      <c r="AI62" s="23" t="s">
        <v>223</v>
      </c>
      <c r="AJ62" s="23" t="s">
        <v>223</v>
      </c>
      <c r="AK62" s="23" t="s">
        <v>223</v>
      </c>
      <c r="AL62" s="23" t="s">
        <v>223</v>
      </c>
      <c r="AM62" s="23" t="s">
        <v>224</v>
      </c>
      <c r="AN62" s="24">
        <v>2275351.5643040002</v>
      </c>
      <c r="AP62" s="20" t="s">
        <v>168</v>
      </c>
      <c r="AQ62" s="18" t="s">
        <v>169</v>
      </c>
      <c r="AR62" s="18" t="s">
        <v>165</v>
      </c>
      <c r="AS62" s="21">
        <v>3</v>
      </c>
      <c r="AT62" s="18" t="s">
        <v>20</v>
      </c>
      <c r="AU62" s="21">
        <v>21570.207399999999</v>
      </c>
      <c r="AV62" s="19">
        <v>64710.622199999998</v>
      </c>
      <c r="AX62" s="20" t="s">
        <v>168</v>
      </c>
      <c r="AY62" s="18" t="s">
        <v>169</v>
      </c>
      <c r="AZ62" s="18" t="s">
        <v>165</v>
      </c>
      <c r="BA62" s="21">
        <v>3</v>
      </c>
      <c r="BB62" s="18" t="s">
        <v>20</v>
      </c>
      <c r="BC62" s="21">
        <v>21570.207399999999</v>
      </c>
      <c r="BD62" s="19">
        <v>64710.622199999998</v>
      </c>
    </row>
    <row r="63" spans="1:56" ht="15" thickBot="1" x14ac:dyDescent="0.4">
      <c r="A63" s="38" t="str">
        <v>KW000049</v>
      </c>
      <c r="B63" s="31" t="str">
        <f t="shared" si="4"/>
        <v>GAS TORCH 8612</v>
      </c>
      <c r="C63" s="31" t="str">
        <f t="shared" si="5"/>
        <v>KITCHENWARE TOOLS</v>
      </c>
      <c r="D63" s="39" t="str">
        <f t="shared" si="6"/>
        <v>pcs</v>
      </c>
      <c r="E63" s="40">
        <f t="shared" si="7"/>
        <v>21570.21</v>
      </c>
      <c r="F63" s="48" t="str">
        <f t="shared" si="8"/>
        <v>0</v>
      </c>
      <c r="G63" s="48">
        <f t="shared" si="9"/>
        <v>3</v>
      </c>
      <c r="H63" s="48">
        <f t="shared" si="10"/>
        <v>3</v>
      </c>
      <c r="I63" s="40">
        <f t="shared" si="11"/>
        <v>64710.63</v>
      </c>
      <c r="J63" s="39" t="str">
        <f t="shared" si="12"/>
        <v>Kenaikan IU</v>
      </c>
      <c r="K63" s="42" t="s">
        <v>1277</v>
      </c>
      <c r="O63" s="3">
        <v>7</v>
      </c>
      <c r="P63" t="s">
        <v>130</v>
      </c>
      <c r="Q63" t="s">
        <v>131</v>
      </c>
      <c r="R63" t="s">
        <v>123</v>
      </c>
      <c r="S63" s="10">
        <v>50</v>
      </c>
      <c r="T63" t="s">
        <v>5</v>
      </c>
      <c r="U63" s="10">
        <v>6355.2948999999999</v>
      </c>
      <c r="V63" s="4">
        <v>317764.745</v>
      </c>
      <c r="X63" s="3" t="s">
        <v>90</v>
      </c>
      <c r="Y63" t="s">
        <v>91</v>
      </c>
      <c r="Z63" t="s">
        <v>67</v>
      </c>
      <c r="AA63" s="10">
        <v>3</v>
      </c>
      <c r="AB63" t="s">
        <v>5</v>
      </c>
      <c r="AC63" s="10">
        <v>3614.5832999999998</v>
      </c>
      <c r="AD63" s="4">
        <v>10843.749900000001</v>
      </c>
      <c r="AP63" s="20" t="s">
        <v>286</v>
      </c>
      <c r="AQ63" s="18" t="s">
        <v>287</v>
      </c>
      <c r="AR63" s="18" t="s">
        <v>165</v>
      </c>
      <c r="AS63" s="21">
        <v>1</v>
      </c>
      <c r="AT63" s="18" t="s">
        <v>20</v>
      </c>
      <c r="AU63" s="21">
        <v>46968.75</v>
      </c>
      <c r="AV63" s="19">
        <v>46968.75</v>
      </c>
      <c r="AX63" s="20" t="s">
        <v>286</v>
      </c>
      <c r="AY63" s="18" t="s">
        <v>287</v>
      </c>
      <c r="AZ63" s="18" t="s">
        <v>165</v>
      </c>
      <c r="BA63" s="21">
        <v>1</v>
      </c>
      <c r="BB63" s="18" t="s">
        <v>20</v>
      </c>
      <c r="BC63" s="21">
        <v>46968.75</v>
      </c>
      <c r="BD63" s="19">
        <v>46968.75</v>
      </c>
    </row>
    <row r="64" spans="1:56" x14ac:dyDescent="0.35">
      <c r="A64" s="38" t="str">
        <v>KW000054</v>
      </c>
      <c r="B64" s="31" t="str">
        <f t="shared" si="4"/>
        <v>PRAXIS KEEPER 302 10 LITER</v>
      </c>
      <c r="C64" s="31" t="str">
        <f t="shared" si="5"/>
        <v>KITCHENWARE TOOLS</v>
      </c>
      <c r="D64" s="39" t="str">
        <f t="shared" si="6"/>
        <v>pcs</v>
      </c>
      <c r="E64" s="40">
        <f t="shared" si="7"/>
        <v>46968.75</v>
      </c>
      <c r="F64" s="48" t="str">
        <f t="shared" si="8"/>
        <v>0</v>
      </c>
      <c r="G64" s="48">
        <f t="shared" si="9"/>
        <v>1</v>
      </c>
      <c r="H64" s="48">
        <f t="shared" si="10"/>
        <v>1</v>
      </c>
      <c r="I64" s="40">
        <f t="shared" si="11"/>
        <v>46968.75</v>
      </c>
      <c r="J64" s="39" t="str">
        <f t="shared" si="12"/>
        <v>Kenaikan IU</v>
      </c>
      <c r="K64" s="42" t="s">
        <v>1277</v>
      </c>
      <c r="O64" s="3">
        <v>8</v>
      </c>
      <c r="P64" t="s">
        <v>132</v>
      </c>
      <c r="Q64" t="s">
        <v>133</v>
      </c>
      <c r="R64" t="s">
        <v>123</v>
      </c>
      <c r="S64" s="10">
        <v>26.6</v>
      </c>
      <c r="T64" t="s">
        <v>134</v>
      </c>
      <c r="U64" s="10">
        <v>14983.315999999999</v>
      </c>
      <c r="V64" s="4">
        <v>398556.20559999999</v>
      </c>
      <c r="X64" s="3" t="s">
        <v>92</v>
      </c>
      <c r="Y64" t="s">
        <v>93</v>
      </c>
      <c r="Z64" t="s">
        <v>67</v>
      </c>
      <c r="AA64" s="10">
        <v>27</v>
      </c>
      <c r="AB64" t="s">
        <v>94</v>
      </c>
      <c r="AC64" s="10">
        <v>17462.136500000001</v>
      </c>
      <c r="AD64" s="4">
        <v>471477.68550000002</v>
      </c>
      <c r="AG64" s="84" t="s">
        <v>0</v>
      </c>
      <c r="AH64" s="85"/>
      <c r="AI64" s="85"/>
      <c r="AJ64" s="85"/>
      <c r="AK64" s="85"/>
      <c r="AL64" s="16"/>
      <c r="AM64" s="16"/>
      <c r="AN64" s="17"/>
      <c r="AP64" s="20" t="s">
        <v>375</v>
      </c>
      <c r="AQ64" s="18" t="s">
        <v>376</v>
      </c>
      <c r="AR64" s="18" t="s">
        <v>165</v>
      </c>
      <c r="AS64" s="21">
        <v>1</v>
      </c>
      <c r="AT64" s="18" t="s">
        <v>20</v>
      </c>
      <c r="AU64" s="21">
        <v>15000</v>
      </c>
      <c r="AV64" s="19">
        <v>15000</v>
      </c>
      <c r="AX64" s="20" t="s">
        <v>375</v>
      </c>
      <c r="AY64" s="18" t="s">
        <v>376</v>
      </c>
      <c r="AZ64" s="18" t="s">
        <v>165</v>
      </c>
      <c r="BA64" s="21">
        <v>1</v>
      </c>
      <c r="BB64" s="18" t="s">
        <v>20</v>
      </c>
      <c r="BC64" s="21">
        <v>15000</v>
      </c>
      <c r="BD64" s="19">
        <v>15000</v>
      </c>
    </row>
    <row r="65" spans="1:56" x14ac:dyDescent="0.35">
      <c r="A65" s="38" t="str">
        <v>KW000057</v>
      </c>
      <c r="B65" s="31" t="str">
        <f t="shared" si="4"/>
        <v>SEALWARE B 48 PERSEGI</v>
      </c>
      <c r="C65" s="31" t="str">
        <f t="shared" si="5"/>
        <v>KITCHENWARE TOOLS</v>
      </c>
      <c r="D65" s="39" t="str">
        <f t="shared" si="6"/>
        <v>pcs</v>
      </c>
      <c r="E65" s="40">
        <f t="shared" si="7"/>
        <v>15000</v>
      </c>
      <c r="F65" s="48" t="str">
        <f t="shared" si="8"/>
        <v>0</v>
      </c>
      <c r="G65" s="48">
        <f t="shared" si="9"/>
        <v>1</v>
      </c>
      <c r="H65" s="48">
        <f t="shared" si="10"/>
        <v>1</v>
      </c>
      <c r="I65" s="40">
        <f t="shared" si="11"/>
        <v>15000</v>
      </c>
      <c r="J65" s="39" t="str">
        <f t="shared" si="12"/>
        <v>Kenaikan IU</v>
      </c>
      <c r="K65" s="42" t="s">
        <v>1277</v>
      </c>
      <c r="O65" s="3">
        <v>9</v>
      </c>
      <c r="P65" t="s">
        <v>135</v>
      </c>
      <c r="Q65" t="s">
        <v>136</v>
      </c>
      <c r="R65" t="s">
        <v>123</v>
      </c>
      <c r="S65" s="10">
        <v>12</v>
      </c>
      <c r="T65" t="s">
        <v>5</v>
      </c>
      <c r="U65" s="10">
        <v>5444.4699000000001</v>
      </c>
      <c r="V65" s="4">
        <v>65333.638800000001</v>
      </c>
      <c r="X65" s="3" t="s">
        <v>100</v>
      </c>
      <c r="Y65" t="s">
        <v>101</v>
      </c>
      <c r="Z65" t="s">
        <v>67</v>
      </c>
      <c r="AA65" s="10">
        <v>1.8</v>
      </c>
      <c r="AB65" t="s">
        <v>87</v>
      </c>
      <c r="AC65" s="10">
        <v>12500</v>
      </c>
      <c r="AD65" s="4">
        <v>22500</v>
      </c>
      <c r="AG65" s="82" t="s">
        <v>1</v>
      </c>
      <c r="AH65" s="83"/>
      <c r="AI65" s="83"/>
      <c r="AJ65" s="83"/>
      <c r="AK65" s="83"/>
      <c r="AL65" s="18"/>
      <c r="AM65" s="18"/>
      <c r="AN65" s="19"/>
      <c r="AP65" s="20" t="s">
        <v>377</v>
      </c>
      <c r="AQ65" s="18" t="s">
        <v>378</v>
      </c>
      <c r="AR65" s="18" t="s">
        <v>165</v>
      </c>
      <c r="AS65" s="21">
        <v>1</v>
      </c>
      <c r="AT65" s="18" t="s">
        <v>20</v>
      </c>
      <c r="AU65" s="21">
        <v>20000</v>
      </c>
      <c r="AV65" s="19">
        <v>20000</v>
      </c>
      <c r="AX65" s="20" t="s">
        <v>377</v>
      </c>
      <c r="AY65" s="18" t="s">
        <v>378</v>
      </c>
      <c r="AZ65" s="18" t="s">
        <v>165</v>
      </c>
      <c r="BA65" s="21">
        <v>1</v>
      </c>
      <c r="BB65" s="18" t="s">
        <v>20</v>
      </c>
      <c r="BC65" s="21">
        <v>20000</v>
      </c>
      <c r="BD65" s="19">
        <v>20000</v>
      </c>
    </row>
    <row r="66" spans="1:56" x14ac:dyDescent="0.35">
      <c r="A66" s="38" t="str">
        <v>KW00112</v>
      </c>
      <c r="B66" s="31" t="str">
        <f t="shared" si="4"/>
        <v>BATU ASAHAN</v>
      </c>
      <c r="C66" s="31" t="str">
        <f t="shared" si="5"/>
        <v>KITCHENWARE TOOLS</v>
      </c>
      <c r="D66" s="39" t="str">
        <f t="shared" si="6"/>
        <v>pcs</v>
      </c>
      <c r="E66" s="40">
        <f t="shared" si="7"/>
        <v>20000</v>
      </c>
      <c r="F66" s="48" t="str">
        <f t="shared" si="8"/>
        <v>0</v>
      </c>
      <c r="G66" s="48">
        <f t="shared" si="9"/>
        <v>1</v>
      </c>
      <c r="H66" s="48">
        <f t="shared" si="10"/>
        <v>1</v>
      </c>
      <c r="I66" s="40">
        <f t="shared" si="11"/>
        <v>20000</v>
      </c>
      <c r="J66" s="39" t="str">
        <f t="shared" si="12"/>
        <v>Kenaikan IU</v>
      </c>
      <c r="K66" s="42" t="s">
        <v>1277</v>
      </c>
      <c r="O66" s="3">
        <v>10</v>
      </c>
      <c r="P66" t="s">
        <v>137</v>
      </c>
      <c r="Q66" t="s">
        <v>138</v>
      </c>
      <c r="R66" t="s">
        <v>123</v>
      </c>
      <c r="S66" s="10">
        <v>21</v>
      </c>
      <c r="T66" t="s">
        <v>5</v>
      </c>
      <c r="U66" s="10">
        <v>17848.709299999999</v>
      </c>
      <c r="V66" s="4">
        <v>374822.89529999997</v>
      </c>
      <c r="X66" s="3" t="s">
        <v>107</v>
      </c>
      <c r="Y66" t="s">
        <v>108</v>
      </c>
      <c r="Z66" t="s">
        <v>67</v>
      </c>
      <c r="AA66">
        <v>2</v>
      </c>
      <c r="AB66" t="s">
        <v>5</v>
      </c>
      <c r="AC66">
        <v>15006.6692</v>
      </c>
      <c r="AD66" s="4">
        <v>30013.338400000001</v>
      </c>
      <c r="AG66" s="20"/>
      <c r="AH66" s="18"/>
      <c r="AI66" s="18"/>
      <c r="AJ66" s="18"/>
      <c r="AK66" s="18"/>
      <c r="AL66" s="18"/>
      <c r="AM66" s="18"/>
      <c r="AN66" s="19"/>
      <c r="AP66" s="20" t="s">
        <v>294</v>
      </c>
      <c r="AQ66" s="18" t="s">
        <v>295</v>
      </c>
      <c r="AR66" s="18" t="s">
        <v>165</v>
      </c>
      <c r="AS66" s="21">
        <v>6</v>
      </c>
      <c r="AT66" s="18" t="s">
        <v>20</v>
      </c>
      <c r="AU66" s="21">
        <v>16967.74838709</v>
      </c>
      <c r="AV66" s="19">
        <v>101806.49032300001</v>
      </c>
      <c r="AX66" s="20" t="s">
        <v>294</v>
      </c>
      <c r="AY66" s="18" t="s">
        <v>295</v>
      </c>
      <c r="AZ66" s="18" t="s">
        <v>165</v>
      </c>
      <c r="BA66" s="21">
        <v>6</v>
      </c>
      <c r="BB66" s="18" t="s">
        <v>20</v>
      </c>
      <c r="BC66" s="21">
        <v>16967.74838709</v>
      </c>
      <c r="BD66" s="19">
        <v>101806.49032300001</v>
      </c>
    </row>
    <row r="67" spans="1:56" x14ac:dyDescent="0.35">
      <c r="A67" s="38" t="str">
        <v>KW00137</v>
      </c>
      <c r="B67" s="31" t="str">
        <f t="shared" si="4"/>
        <v>SPATULA SILIKON GAGANG KAYU</v>
      </c>
      <c r="C67" s="31" t="str">
        <f t="shared" si="5"/>
        <v>KITCHENWARE TOOLS</v>
      </c>
      <c r="D67" s="39" t="str">
        <f t="shared" si="6"/>
        <v>pcs</v>
      </c>
      <c r="E67" s="40">
        <f t="shared" si="7"/>
        <v>16967.75</v>
      </c>
      <c r="F67" s="48" t="str">
        <f t="shared" si="8"/>
        <v>0</v>
      </c>
      <c r="G67" s="48">
        <f t="shared" si="9"/>
        <v>6</v>
      </c>
      <c r="H67" s="48">
        <f t="shared" si="10"/>
        <v>6</v>
      </c>
      <c r="I67" s="40">
        <f t="shared" si="11"/>
        <v>101806.5</v>
      </c>
      <c r="J67" s="39" t="str">
        <f t="shared" si="12"/>
        <v>Kenaikan IU</v>
      </c>
      <c r="K67" s="42" t="s">
        <v>1277</v>
      </c>
      <c r="O67" s="3">
        <v>11</v>
      </c>
      <c r="P67" t="s">
        <v>139</v>
      </c>
      <c r="Q67" t="s">
        <v>140</v>
      </c>
      <c r="R67" t="s">
        <v>123</v>
      </c>
      <c r="S67" s="10">
        <v>7</v>
      </c>
      <c r="T67" t="s">
        <v>5</v>
      </c>
      <c r="U67" s="10">
        <v>30191.244650000001</v>
      </c>
      <c r="V67" s="4">
        <v>211338.71255</v>
      </c>
      <c r="X67" s="3" t="s">
        <v>329</v>
      </c>
      <c r="Y67" t="s">
        <v>330</v>
      </c>
      <c r="Z67" t="s">
        <v>165</v>
      </c>
      <c r="AA67" s="10">
        <v>3</v>
      </c>
      <c r="AB67" t="s">
        <v>20</v>
      </c>
      <c r="AC67" s="10">
        <v>14950</v>
      </c>
      <c r="AD67" s="4">
        <v>44850</v>
      </c>
      <c r="AG67" s="82" t="s">
        <v>10</v>
      </c>
      <c r="AH67" s="83" t="s">
        <v>11</v>
      </c>
      <c r="AI67" s="18" t="s">
        <v>352</v>
      </c>
      <c r="AJ67" s="18"/>
      <c r="AK67" s="18"/>
      <c r="AL67" s="18"/>
      <c r="AM67" s="18"/>
      <c r="AN67" s="19"/>
      <c r="AP67" s="20" t="s">
        <v>379</v>
      </c>
      <c r="AQ67" s="18" t="s">
        <v>380</v>
      </c>
      <c r="AR67" s="18" t="s">
        <v>165</v>
      </c>
      <c r="AS67" s="21">
        <v>1</v>
      </c>
      <c r="AT67" s="18" t="s">
        <v>20</v>
      </c>
      <c r="AU67" s="21">
        <v>21985</v>
      </c>
      <c r="AV67" s="19">
        <v>21985</v>
      </c>
      <c r="AX67" s="20" t="s">
        <v>379</v>
      </c>
      <c r="AY67" s="18" t="s">
        <v>380</v>
      </c>
      <c r="AZ67" s="18" t="s">
        <v>165</v>
      </c>
      <c r="BA67" s="21">
        <v>1</v>
      </c>
      <c r="BB67" s="18" t="s">
        <v>20</v>
      </c>
      <c r="BC67" s="21">
        <v>21985</v>
      </c>
      <c r="BD67" s="19">
        <v>21985</v>
      </c>
    </row>
    <row r="68" spans="1:56" x14ac:dyDescent="0.35">
      <c r="A68" s="38" t="str">
        <v>KWCK0146</v>
      </c>
      <c r="B68" s="31" t="str">
        <f t="shared" si="4"/>
        <v>ALAT PEMBUKA KALENG</v>
      </c>
      <c r="C68" s="31" t="str">
        <f t="shared" si="5"/>
        <v>KITCHENWARE TOOLS</v>
      </c>
      <c r="D68" s="39" t="str">
        <f t="shared" si="6"/>
        <v>pcs</v>
      </c>
      <c r="E68" s="40">
        <f t="shared" si="7"/>
        <v>21985</v>
      </c>
      <c r="F68" s="48" t="str">
        <f t="shared" si="8"/>
        <v>0</v>
      </c>
      <c r="G68" s="48">
        <f t="shared" si="9"/>
        <v>1</v>
      </c>
      <c r="H68" s="48">
        <f t="shared" si="10"/>
        <v>1</v>
      </c>
      <c r="I68" s="40">
        <f t="shared" si="11"/>
        <v>21985</v>
      </c>
      <c r="J68" s="39" t="str">
        <f t="shared" si="12"/>
        <v>Kenaikan IU</v>
      </c>
      <c r="K68" s="42" t="s">
        <v>1277</v>
      </c>
      <c r="O68" s="3">
        <v>12</v>
      </c>
      <c r="P68" t="s">
        <v>143</v>
      </c>
      <c r="Q68" t="s">
        <v>144</v>
      </c>
      <c r="R68" t="s">
        <v>123</v>
      </c>
      <c r="S68" s="10">
        <v>0.04</v>
      </c>
      <c r="T68" t="s">
        <v>5</v>
      </c>
      <c r="U68" s="10">
        <v>26345.394200000006</v>
      </c>
      <c r="V68" s="4">
        <v>1053.8157679999999</v>
      </c>
      <c r="X68" s="3" t="s">
        <v>290</v>
      </c>
      <c r="Y68" t="s">
        <v>291</v>
      </c>
      <c r="Z68" t="s">
        <v>165</v>
      </c>
      <c r="AA68" s="10">
        <v>2</v>
      </c>
      <c r="AB68" t="s">
        <v>20</v>
      </c>
      <c r="AC68" s="10">
        <v>15446.45454545</v>
      </c>
      <c r="AD68" s="4">
        <v>30892.909091000001</v>
      </c>
      <c r="AG68" s="82" t="s">
        <v>16</v>
      </c>
      <c r="AH68" s="83" t="s">
        <v>11</v>
      </c>
      <c r="AI68" s="18" t="s">
        <v>211</v>
      </c>
      <c r="AJ68" s="18"/>
      <c r="AK68" s="18"/>
      <c r="AL68" s="18"/>
      <c r="AM68" s="18"/>
      <c r="AN68" s="19"/>
      <c r="AP68" s="20" t="s">
        <v>381</v>
      </c>
      <c r="AQ68" s="18" t="s">
        <v>382</v>
      </c>
      <c r="AR68" s="18" t="s">
        <v>182</v>
      </c>
      <c r="AS68" s="21">
        <v>1</v>
      </c>
      <c r="AT68" s="18" t="s">
        <v>20</v>
      </c>
      <c r="AU68" s="21">
        <v>15073.25934516129</v>
      </c>
      <c r="AV68" s="19">
        <v>15073.259345</v>
      </c>
      <c r="AX68" s="20" t="s">
        <v>381</v>
      </c>
      <c r="AY68" s="18" t="s">
        <v>382</v>
      </c>
      <c r="AZ68" s="18" t="s">
        <v>182</v>
      </c>
      <c r="BA68" s="21">
        <v>1</v>
      </c>
      <c r="BB68" s="18" t="s">
        <v>20</v>
      </c>
      <c r="BC68" s="21">
        <v>15073.25934516129</v>
      </c>
      <c r="BD68" s="19">
        <v>15073.259345</v>
      </c>
    </row>
    <row r="69" spans="1:56" x14ac:dyDescent="0.35">
      <c r="A69" s="38" t="str">
        <v>TCT00002</v>
      </c>
      <c r="B69" s="31" t="str">
        <f t="shared" si="4"/>
        <v>KOREAN RICE BOWL STAINLESS BK-01</v>
      </c>
      <c r="C69" s="31" t="str">
        <f t="shared" si="5"/>
        <v>CUTELERIES</v>
      </c>
      <c r="D69" s="39" t="str">
        <f t="shared" si="6"/>
        <v>pcs</v>
      </c>
      <c r="E69" s="40">
        <f t="shared" si="7"/>
        <v>15073.26</v>
      </c>
      <c r="F69" s="48" t="str">
        <f t="shared" si="8"/>
        <v>0</v>
      </c>
      <c r="G69" s="48">
        <f t="shared" si="9"/>
        <v>1</v>
      </c>
      <c r="H69" s="48">
        <f t="shared" si="10"/>
        <v>1</v>
      </c>
      <c r="I69" s="40">
        <f t="shared" si="11"/>
        <v>15073.26</v>
      </c>
      <c r="J69" s="39" t="str">
        <f t="shared" si="12"/>
        <v>Kenaikan IU</v>
      </c>
      <c r="K69" s="42" t="s">
        <v>1277</v>
      </c>
      <c r="O69" s="3">
        <v>13</v>
      </c>
      <c r="P69" t="s">
        <v>145</v>
      </c>
      <c r="Q69" t="s">
        <v>146</v>
      </c>
      <c r="R69" t="s">
        <v>123</v>
      </c>
      <c r="S69" s="10">
        <v>71</v>
      </c>
      <c r="T69" t="s">
        <v>5</v>
      </c>
      <c r="U69" s="10">
        <v>4604.1441999999997</v>
      </c>
      <c r="V69" s="4">
        <v>326894.23820000002</v>
      </c>
      <c r="X69" s="3" t="s">
        <v>331</v>
      </c>
      <c r="Y69" t="s">
        <v>332</v>
      </c>
      <c r="Z69" t="s">
        <v>165</v>
      </c>
      <c r="AA69" s="10">
        <v>1</v>
      </c>
      <c r="AB69" t="s">
        <v>20</v>
      </c>
      <c r="AC69" s="10">
        <v>76500</v>
      </c>
      <c r="AD69" s="4">
        <v>76500</v>
      </c>
      <c r="AG69" s="82" t="s">
        <v>21</v>
      </c>
      <c r="AH69" s="83" t="s">
        <v>11</v>
      </c>
      <c r="AI69" s="18" t="s">
        <v>301</v>
      </c>
      <c r="AJ69" s="18"/>
      <c r="AK69" s="18"/>
      <c r="AL69" s="18"/>
      <c r="AM69" s="18"/>
      <c r="AN69" s="19"/>
      <c r="AP69" s="20" t="s">
        <v>383</v>
      </c>
      <c r="AQ69" s="18" t="s">
        <v>384</v>
      </c>
      <c r="AR69" s="18" t="s">
        <v>182</v>
      </c>
      <c r="AS69" s="21">
        <v>2</v>
      </c>
      <c r="AT69" s="18" t="s">
        <v>20</v>
      </c>
      <c r="AU69" s="21">
        <v>26000</v>
      </c>
      <c r="AV69" s="19">
        <v>52000</v>
      </c>
      <c r="AX69" s="20" t="s">
        <v>383</v>
      </c>
      <c r="AY69" s="18" t="s">
        <v>384</v>
      </c>
      <c r="AZ69" s="18" t="s">
        <v>182</v>
      </c>
      <c r="BA69" s="21">
        <v>2</v>
      </c>
      <c r="BB69" s="18" t="s">
        <v>20</v>
      </c>
      <c r="BC69" s="21">
        <v>26000</v>
      </c>
      <c r="BD69" s="19">
        <v>52000</v>
      </c>
    </row>
    <row r="70" spans="1:56" ht="15" thickBot="1" x14ac:dyDescent="0.4">
      <c r="A70" s="38" t="str">
        <v>TCT00021</v>
      </c>
      <c r="B70" s="31" t="str">
        <f t="shared" si="4"/>
        <v>HANDLE KAYU MATERIAL</v>
      </c>
      <c r="C70" s="31" t="str">
        <f t="shared" si="5"/>
        <v>CUTELERIES</v>
      </c>
      <c r="D70" s="39" t="str">
        <f t="shared" si="6"/>
        <v>pcs</v>
      </c>
      <c r="E70" s="40">
        <f t="shared" si="7"/>
        <v>26000</v>
      </c>
      <c r="F70" s="48" t="str">
        <f t="shared" si="8"/>
        <v>0</v>
      </c>
      <c r="G70" s="48">
        <f t="shared" si="9"/>
        <v>2</v>
      </c>
      <c r="H70" s="48">
        <f t="shared" si="10"/>
        <v>2</v>
      </c>
      <c r="I70" s="40">
        <f t="shared" si="11"/>
        <v>52000</v>
      </c>
      <c r="J70" s="39" t="str">
        <f t="shared" si="12"/>
        <v>Kenaikan IU</v>
      </c>
      <c r="K70" s="42" t="s">
        <v>1277</v>
      </c>
      <c r="O70" s="3">
        <v>14</v>
      </c>
      <c r="P70" t="s">
        <v>147</v>
      </c>
      <c r="Q70" t="s">
        <v>148</v>
      </c>
      <c r="R70" t="s">
        <v>123</v>
      </c>
      <c r="S70" s="10">
        <v>1.07</v>
      </c>
      <c r="T70" t="s">
        <v>5</v>
      </c>
      <c r="U70" s="10">
        <v>14957.0093</v>
      </c>
      <c r="V70" s="4">
        <v>16003.999951</v>
      </c>
      <c r="X70" s="3" t="s">
        <v>184</v>
      </c>
      <c r="Y70" t="s">
        <v>185</v>
      </c>
      <c r="Z70" t="s">
        <v>182</v>
      </c>
      <c r="AA70" s="10">
        <v>2</v>
      </c>
      <c r="AB70" t="s">
        <v>20</v>
      </c>
      <c r="AC70" s="10">
        <v>1343.5953</v>
      </c>
      <c r="AD70" s="4">
        <v>2687.1905999999999</v>
      </c>
      <c r="AG70" s="82" t="s">
        <v>26</v>
      </c>
      <c r="AH70" s="83" t="s">
        <v>11</v>
      </c>
      <c r="AI70" s="18" t="s">
        <v>353</v>
      </c>
      <c r="AJ70" s="18"/>
      <c r="AK70" s="18"/>
      <c r="AL70" s="18"/>
      <c r="AM70" s="18"/>
      <c r="AN70" s="19"/>
      <c r="AP70" s="22" t="s">
        <v>190</v>
      </c>
      <c r="AQ70" s="23" t="s">
        <v>191</v>
      </c>
      <c r="AR70" s="23" t="s">
        <v>192</v>
      </c>
      <c r="AS70" s="23">
        <v>1</v>
      </c>
      <c r="AT70" s="23" t="s">
        <v>20</v>
      </c>
      <c r="AU70" s="23">
        <v>140239.0183277778</v>
      </c>
      <c r="AV70" s="24">
        <v>140239.01832800001</v>
      </c>
      <c r="AX70" s="22" t="s">
        <v>190</v>
      </c>
      <c r="AY70" s="23" t="s">
        <v>191</v>
      </c>
      <c r="AZ70" s="23" t="s">
        <v>192</v>
      </c>
      <c r="BA70" s="23">
        <v>1</v>
      </c>
      <c r="BB70" s="23" t="s">
        <v>20</v>
      </c>
      <c r="BC70" s="23">
        <v>140239.0183277778</v>
      </c>
      <c r="BD70" s="24">
        <v>140239.01832800001</v>
      </c>
    </row>
    <row r="71" spans="1:56" ht="15" thickTop="1" x14ac:dyDescent="0.35">
      <c r="A71" s="38" t="str">
        <v>TGW00003</v>
      </c>
      <c r="B71" s="31" t="str">
        <f t="shared" si="4"/>
        <v>MANGKOK KERAMIK/ KOREAN CERAMIK BOWL 14 CM</v>
      </c>
      <c r="C71" s="31" t="str">
        <f t="shared" si="5"/>
        <v>TABLEWARE</v>
      </c>
      <c r="D71" s="39" t="str">
        <f t="shared" si="6"/>
        <v>pcs</v>
      </c>
      <c r="E71" s="40">
        <f t="shared" si="7"/>
        <v>140239.01999999999</v>
      </c>
      <c r="F71" s="48">
        <f t="shared" si="8"/>
        <v>3</v>
      </c>
      <c r="G71" s="48">
        <f t="shared" si="9"/>
        <v>1</v>
      </c>
      <c r="H71" s="48">
        <f t="shared" si="10"/>
        <v>-2</v>
      </c>
      <c r="I71" s="40">
        <f t="shared" si="11"/>
        <v>-280478.03999999998</v>
      </c>
      <c r="J71" s="39" t="str">
        <f t="shared" si="12"/>
        <v>Penurunan IU</v>
      </c>
      <c r="K71" s="42" t="s">
        <v>1275</v>
      </c>
      <c r="O71" s="3">
        <v>15</v>
      </c>
      <c r="P71" t="s">
        <v>272</v>
      </c>
      <c r="Q71" t="s">
        <v>273</v>
      </c>
      <c r="R71" t="s">
        <v>151</v>
      </c>
      <c r="S71" s="10">
        <v>1</v>
      </c>
      <c r="T71" t="s">
        <v>5</v>
      </c>
      <c r="U71" s="10">
        <v>3988</v>
      </c>
      <c r="V71" s="4">
        <v>3988</v>
      </c>
      <c r="X71" s="3" t="s">
        <v>187</v>
      </c>
      <c r="Y71" t="s">
        <v>188</v>
      </c>
      <c r="Z71" t="s">
        <v>182</v>
      </c>
      <c r="AA71" s="10">
        <v>6</v>
      </c>
      <c r="AB71" t="s">
        <v>20</v>
      </c>
      <c r="AC71" s="10">
        <v>3380.29</v>
      </c>
      <c r="AD71" s="4">
        <v>20281.740000000002</v>
      </c>
      <c r="AG71" s="82" t="s">
        <v>31</v>
      </c>
      <c r="AH71" s="83" t="s">
        <v>11</v>
      </c>
      <c r="AI71" s="18" t="s">
        <v>109</v>
      </c>
      <c r="AJ71" s="18"/>
      <c r="AK71" s="18"/>
      <c r="AL71" s="18"/>
      <c r="AM71" s="18"/>
      <c r="AN71" s="19"/>
      <c r="AX71" s="7" t="s">
        <v>2</v>
      </c>
      <c r="AY71" s="1" t="s">
        <v>3</v>
      </c>
      <c r="AZ71" s="1" t="s">
        <v>4</v>
      </c>
      <c r="BA71" s="8">
        <v>11</v>
      </c>
      <c r="BB71" s="1" t="s">
        <v>5</v>
      </c>
      <c r="BC71" s="8">
        <v>20813.0952</v>
      </c>
      <c r="BD71" s="2">
        <v>228944.0472</v>
      </c>
    </row>
    <row r="72" spans="1:56" x14ac:dyDescent="0.35">
      <c r="A72" s="38" t="str">
        <v>CECM0005</v>
      </c>
      <c r="B72" s="31" t="str">
        <f t="shared" si="4"/>
        <v>XYZ GLASS CLEANER 5 LTR</v>
      </c>
      <c r="C72" s="31" t="str">
        <f t="shared" si="5"/>
        <v>CLEANING CHEMICAL</v>
      </c>
      <c r="D72" s="39" t="str">
        <f t="shared" si="6"/>
        <v>gln</v>
      </c>
      <c r="E72" s="40">
        <f t="shared" si="7"/>
        <v>55300</v>
      </c>
      <c r="F72" s="48">
        <f t="shared" si="8"/>
        <v>0.1</v>
      </c>
      <c r="G72" s="48" t="str">
        <f t="shared" si="9"/>
        <v>0</v>
      </c>
      <c r="H72" s="48">
        <f t="shared" si="10"/>
        <v>-0.1</v>
      </c>
      <c r="I72" s="40">
        <f t="shared" si="11"/>
        <v>-5530</v>
      </c>
      <c r="J72" s="39" t="str">
        <f t="shared" si="12"/>
        <v>Penurunan IU</v>
      </c>
      <c r="K72" s="42" t="s">
        <v>1275</v>
      </c>
      <c r="O72" s="3">
        <v>16</v>
      </c>
      <c r="P72" t="s">
        <v>158</v>
      </c>
      <c r="Q72" t="s">
        <v>159</v>
      </c>
      <c r="R72" t="s">
        <v>151</v>
      </c>
      <c r="S72" s="10">
        <v>8</v>
      </c>
      <c r="T72" t="s">
        <v>160</v>
      </c>
      <c r="U72" s="10">
        <v>10653.953100000001</v>
      </c>
      <c r="V72" s="4">
        <v>85231.624800000005</v>
      </c>
      <c r="X72" s="3" t="s">
        <v>190</v>
      </c>
      <c r="Y72" t="s">
        <v>191</v>
      </c>
      <c r="Z72" t="s">
        <v>192</v>
      </c>
      <c r="AA72" s="10">
        <v>3</v>
      </c>
      <c r="AB72" t="s">
        <v>20</v>
      </c>
      <c r="AC72" s="10">
        <v>140239.0183277778</v>
      </c>
      <c r="AD72" s="4">
        <v>420717.05498299998</v>
      </c>
      <c r="AG72" s="82" t="s">
        <v>35</v>
      </c>
      <c r="AH72" s="83" t="s">
        <v>11</v>
      </c>
      <c r="AI72" s="18" t="s">
        <v>354</v>
      </c>
      <c r="AJ72" s="18"/>
      <c r="AK72" s="18"/>
      <c r="AL72" s="18"/>
      <c r="AM72" s="18"/>
      <c r="AN72" s="19"/>
      <c r="AX72" s="3" t="s">
        <v>217</v>
      </c>
      <c r="AY72" t="s">
        <v>218</v>
      </c>
      <c r="AZ72" t="s">
        <v>4</v>
      </c>
      <c r="BA72" s="10">
        <v>0.1</v>
      </c>
      <c r="BB72" t="s">
        <v>9</v>
      </c>
      <c r="BC72" s="10">
        <v>55300</v>
      </c>
      <c r="BD72" s="4">
        <v>5530</v>
      </c>
    </row>
    <row r="73" spans="1:56" x14ac:dyDescent="0.35">
      <c r="A73" s="38" t="str">
        <v>CECM0008</v>
      </c>
      <c r="B73" s="31" t="str">
        <f t="shared" si="4"/>
        <v>XYZ ANTI BACTERIAL HANDSOAP 5 L</v>
      </c>
      <c r="C73" s="31" t="str">
        <f t="shared" si="5"/>
        <v>CLEANING CHEMICAL</v>
      </c>
      <c r="D73" s="39" t="str">
        <f t="shared" si="6"/>
        <v>jerrycan</v>
      </c>
      <c r="E73" s="40">
        <f t="shared" si="7"/>
        <v>77700</v>
      </c>
      <c r="F73" s="48">
        <f t="shared" si="8"/>
        <v>0.2</v>
      </c>
      <c r="G73" s="48" t="str">
        <f t="shared" si="9"/>
        <v>0</v>
      </c>
      <c r="H73" s="48">
        <f t="shared" si="10"/>
        <v>-0.2</v>
      </c>
      <c r="I73" s="40">
        <f t="shared" si="11"/>
        <v>-15540</v>
      </c>
      <c r="J73" s="39" t="str">
        <f t="shared" si="12"/>
        <v>Penurunan IU</v>
      </c>
      <c r="K73" s="42" t="s">
        <v>1275</v>
      </c>
      <c r="O73" s="3">
        <v>17</v>
      </c>
      <c r="P73" t="s">
        <v>161</v>
      </c>
      <c r="Q73" t="s">
        <v>162</v>
      </c>
      <c r="R73" t="s">
        <v>151</v>
      </c>
      <c r="S73">
        <v>0.2</v>
      </c>
      <c r="T73" t="s">
        <v>5</v>
      </c>
      <c r="U73">
        <v>6390.0769</v>
      </c>
      <c r="V73" s="4">
        <v>1278.0153800000001</v>
      </c>
      <c r="X73" s="3" t="s">
        <v>333</v>
      </c>
      <c r="Y73" t="s">
        <v>334</v>
      </c>
      <c r="Z73" t="s">
        <v>192</v>
      </c>
      <c r="AA73">
        <v>4</v>
      </c>
      <c r="AB73" t="s">
        <v>20</v>
      </c>
      <c r="AC73">
        <v>3666.670000000001</v>
      </c>
      <c r="AD73" s="4">
        <v>14666.68</v>
      </c>
      <c r="AG73" s="20"/>
      <c r="AH73" s="18"/>
      <c r="AI73" s="18"/>
      <c r="AJ73" s="18"/>
      <c r="AK73" s="18"/>
      <c r="AL73" s="18"/>
      <c r="AM73" s="18"/>
      <c r="AN73" s="19"/>
      <c r="AX73" s="3"/>
      <c r="BA73" s="10"/>
      <c r="BC73" s="10"/>
      <c r="BD73" s="4"/>
    </row>
    <row r="74" spans="1:56" ht="15" thickBot="1" x14ac:dyDescent="0.4">
      <c r="A74" s="38" t="str">
        <v>CECM0011</v>
      </c>
      <c r="B74" s="31" t="str">
        <f t="shared" si="4"/>
        <v>SUMA NOVA 5 L</v>
      </c>
      <c r="C74" s="31" t="str">
        <f t="shared" si="5"/>
        <v>CLEANING CHEMICAL</v>
      </c>
      <c r="D74" s="39" t="str">
        <f t="shared" si="6"/>
        <v>ltr</v>
      </c>
      <c r="E74" s="40">
        <f t="shared" si="7"/>
        <v>93034.7</v>
      </c>
      <c r="F74" s="48">
        <f t="shared" si="8"/>
        <v>8.4</v>
      </c>
      <c r="G74" s="48" t="str">
        <f t="shared" si="9"/>
        <v>0</v>
      </c>
      <c r="H74" s="48">
        <f t="shared" si="10"/>
        <v>-8.4</v>
      </c>
      <c r="I74" s="40">
        <f t="shared" si="11"/>
        <v>-781491.48</v>
      </c>
      <c r="J74" s="39" t="str">
        <f t="shared" si="12"/>
        <v>Penurunan IU</v>
      </c>
      <c r="K74" s="42" t="s">
        <v>1275</v>
      </c>
      <c r="O74" s="11" t="s">
        <v>223</v>
      </c>
      <c r="P74" s="12" t="s">
        <v>223</v>
      </c>
      <c r="Q74" s="12" t="s">
        <v>223</v>
      </c>
      <c r="R74" s="12" t="s">
        <v>223</v>
      </c>
      <c r="S74" s="12" t="s">
        <v>223</v>
      </c>
      <c r="T74" s="12" t="s">
        <v>223</v>
      </c>
      <c r="U74" s="12" t="s">
        <v>224</v>
      </c>
      <c r="V74" s="13">
        <v>3163268.7446989999</v>
      </c>
      <c r="X74" s="3" t="s">
        <v>68</v>
      </c>
      <c r="Y74" t="s">
        <v>69</v>
      </c>
      <c r="Z74" t="s">
        <v>67</v>
      </c>
      <c r="AA74" s="10">
        <v>0.08</v>
      </c>
      <c r="AB74" t="s">
        <v>5</v>
      </c>
      <c r="AC74" s="10">
        <v>16501.606</v>
      </c>
      <c r="AD74" s="4">
        <v>1320.1284800000001</v>
      </c>
      <c r="AG74" s="20" t="s">
        <v>42</v>
      </c>
      <c r="AH74" s="18" t="s">
        <v>43</v>
      </c>
      <c r="AI74" s="18" t="s">
        <v>44</v>
      </c>
      <c r="AJ74" s="18" t="s">
        <v>45</v>
      </c>
      <c r="AK74" s="18" t="s">
        <v>46</v>
      </c>
      <c r="AL74" s="18" t="s">
        <v>47</v>
      </c>
      <c r="AM74" s="18" t="s">
        <v>48</v>
      </c>
      <c r="AN74" s="19" t="s">
        <v>49</v>
      </c>
      <c r="AX74" s="3" t="s">
        <v>7</v>
      </c>
      <c r="AY74" t="s">
        <v>8</v>
      </c>
      <c r="AZ74" t="s">
        <v>4</v>
      </c>
      <c r="BA74" s="10">
        <v>0.15</v>
      </c>
      <c r="BB74" t="s">
        <v>9</v>
      </c>
      <c r="BC74" s="10">
        <v>133200</v>
      </c>
      <c r="BD74" s="4">
        <v>19980</v>
      </c>
    </row>
    <row r="75" spans="1:56" ht="15.5" thickTop="1" thickBot="1" x14ac:dyDescent="0.4">
      <c r="A75" s="38" t="str">
        <v>CETS0002</v>
      </c>
      <c r="B75" s="31" t="str">
        <f t="shared" si="4"/>
        <v>TOWEL ANJOLY MERAH-KECIL</v>
      </c>
      <c r="C75" s="31" t="str">
        <f t="shared" si="5"/>
        <v>CLEANING TOOLS AND SUPPLIES</v>
      </c>
      <c r="D75" s="39" t="str">
        <f t="shared" si="6"/>
        <v>pcs</v>
      </c>
      <c r="E75" s="40">
        <f t="shared" si="7"/>
        <v>6961.03</v>
      </c>
      <c r="F75" s="48">
        <f t="shared" si="8"/>
        <v>2</v>
      </c>
      <c r="G75" s="48" t="str">
        <f t="shared" si="9"/>
        <v>0</v>
      </c>
      <c r="H75" s="48">
        <f t="shared" si="10"/>
        <v>-2</v>
      </c>
      <c r="I75" s="40">
        <f t="shared" si="11"/>
        <v>-13922.06</v>
      </c>
      <c r="J75" s="39" t="str">
        <f t="shared" si="12"/>
        <v>Penurunan IU</v>
      </c>
      <c r="K75" s="42" t="s">
        <v>1275</v>
      </c>
      <c r="X75" s="11" t="s">
        <v>254</v>
      </c>
      <c r="Y75" s="12" t="s">
        <v>255</v>
      </c>
      <c r="Z75" s="12" t="s">
        <v>67</v>
      </c>
      <c r="AA75" s="12">
        <v>4.9000000000000004</v>
      </c>
      <c r="AB75" s="12" t="s">
        <v>5</v>
      </c>
      <c r="AC75" s="12">
        <v>7896.5517</v>
      </c>
      <c r="AD75" s="13">
        <v>38693.103329999998</v>
      </c>
      <c r="AG75" s="20">
        <v>1</v>
      </c>
      <c r="AH75" s="18" t="s">
        <v>65</v>
      </c>
      <c r="AI75" s="18" t="s">
        <v>66</v>
      </c>
      <c r="AJ75" s="18" t="s">
        <v>67</v>
      </c>
      <c r="AK75" s="21">
        <v>0.14000000000000001</v>
      </c>
      <c r="AL75" s="18" t="s">
        <v>20</v>
      </c>
      <c r="AM75" s="21">
        <v>45203.703699999998</v>
      </c>
      <c r="AN75" s="19">
        <v>6328.5185179999999</v>
      </c>
      <c r="AX75" s="3" t="s">
        <v>13</v>
      </c>
      <c r="AY75" t="s">
        <v>14</v>
      </c>
      <c r="AZ75" t="s">
        <v>4</v>
      </c>
      <c r="BA75" s="10">
        <v>0.2</v>
      </c>
      <c r="BB75" t="s">
        <v>15</v>
      </c>
      <c r="BC75" s="10">
        <v>77700</v>
      </c>
      <c r="BD75" s="4">
        <v>15540</v>
      </c>
    </row>
    <row r="76" spans="1:56" ht="15" thickTop="1" x14ac:dyDescent="0.35">
      <c r="A76" s="38" t="str">
        <v>CETS0004</v>
      </c>
      <c r="B76" s="31" t="str">
        <f t="shared" si="4"/>
        <v>TOWEL ANJOLY HITAM-KECIL</v>
      </c>
      <c r="C76" s="31" t="str">
        <f t="shared" si="5"/>
        <v>CLEANING TOOLS AND SUPPLIES</v>
      </c>
      <c r="D76" s="39" t="str">
        <f t="shared" si="6"/>
        <v>pcs</v>
      </c>
      <c r="E76" s="40">
        <f t="shared" si="7"/>
        <v>7017.62</v>
      </c>
      <c r="F76" s="48">
        <f t="shared" si="8"/>
        <v>2</v>
      </c>
      <c r="G76" s="48" t="str">
        <f t="shared" si="9"/>
        <v>0</v>
      </c>
      <c r="H76" s="48">
        <f t="shared" si="10"/>
        <v>-2</v>
      </c>
      <c r="I76" s="40">
        <f t="shared" si="11"/>
        <v>-14035.24</v>
      </c>
      <c r="J76" s="39" t="str">
        <f t="shared" si="12"/>
        <v>Penurunan IU</v>
      </c>
      <c r="K76" s="42" t="s">
        <v>1275</v>
      </c>
      <c r="O76" s="88" t="s">
        <v>0</v>
      </c>
      <c r="P76" s="89"/>
      <c r="Q76" s="89"/>
      <c r="R76" s="89"/>
      <c r="S76" s="89"/>
      <c r="T76" s="1"/>
      <c r="U76" s="1"/>
      <c r="V76" s="2"/>
      <c r="AG76" s="20">
        <v>2</v>
      </c>
      <c r="AH76" s="18" t="s">
        <v>68</v>
      </c>
      <c r="AI76" s="18" t="s">
        <v>69</v>
      </c>
      <c r="AJ76" s="18" t="s">
        <v>67</v>
      </c>
      <c r="AK76" s="21">
        <v>0.08</v>
      </c>
      <c r="AL76" s="18" t="s">
        <v>5</v>
      </c>
      <c r="AM76" s="21">
        <v>16501.606</v>
      </c>
      <c r="AN76" s="19">
        <v>1320.1284800000001</v>
      </c>
      <c r="AX76" s="3" t="s">
        <v>18</v>
      </c>
      <c r="AY76" t="s">
        <v>19</v>
      </c>
      <c r="AZ76" t="s">
        <v>4</v>
      </c>
      <c r="BA76" s="10">
        <v>0.26</v>
      </c>
      <c r="BB76" t="s">
        <v>20</v>
      </c>
      <c r="BC76" s="10">
        <v>151400</v>
      </c>
      <c r="BD76" s="4">
        <v>39364</v>
      </c>
    </row>
    <row r="77" spans="1:56" x14ac:dyDescent="0.35">
      <c r="A77" s="38" t="str">
        <v>CETS0021</v>
      </c>
      <c r="B77" s="31" t="str">
        <f t="shared" si="4"/>
        <v>LAP MICRO 40 X 40 320 GSM BIRU MUDA</v>
      </c>
      <c r="C77" s="31" t="str">
        <f t="shared" si="5"/>
        <v>CLEANING TOOLS AND SUPPLIES</v>
      </c>
      <c r="D77" s="39" t="str">
        <f t="shared" si="6"/>
        <v>pcs</v>
      </c>
      <c r="E77" s="40">
        <f t="shared" si="7"/>
        <v>9637</v>
      </c>
      <c r="F77" s="48">
        <f t="shared" si="8"/>
        <v>1</v>
      </c>
      <c r="G77" s="48" t="str">
        <f t="shared" si="9"/>
        <v>0</v>
      </c>
      <c r="H77" s="48">
        <f t="shared" si="10"/>
        <v>-1</v>
      </c>
      <c r="I77" s="40">
        <f t="shared" si="11"/>
        <v>-9637</v>
      </c>
      <c r="J77" s="39" t="str">
        <f t="shared" si="12"/>
        <v>Penurunan IU</v>
      </c>
      <c r="K77" s="42" t="s">
        <v>1275</v>
      </c>
      <c r="O77" s="86" t="s">
        <v>1</v>
      </c>
      <c r="P77" s="87"/>
      <c r="Q77" s="87"/>
      <c r="R77" s="87"/>
      <c r="S77" s="87"/>
      <c r="V77" s="4"/>
      <c r="AG77" s="20">
        <v>3</v>
      </c>
      <c r="AH77" s="18" t="s">
        <v>355</v>
      </c>
      <c r="AI77" s="18" t="s">
        <v>356</v>
      </c>
      <c r="AJ77" s="18" t="s">
        <v>67</v>
      </c>
      <c r="AK77" s="21">
        <v>1</v>
      </c>
      <c r="AL77" s="18" t="s">
        <v>160</v>
      </c>
      <c r="AM77" s="21">
        <v>4846.1538499999997</v>
      </c>
      <c r="AN77" s="19">
        <v>4846.1538499999997</v>
      </c>
      <c r="AX77" s="3" t="s">
        <v>219</v>
      </c>
      <c r="AY77" t="s">
        <v>220</v>
      </c>
      <c r="AZ77" t="s">
        <v>4</v>
      </c>
      <c r="BA77" s="10">
        <v>1.18</v>
      </c>
      <c r="BB77" t="s">
        <v>25</v>
      </c>
      <c r="BC77" s="10">
        <v>71587.867155570377</v>
      </c>
      <c r="BD77" s="4">
        <v>84473.683244</v>
      </c>
    </row>
    <row r="78" spans="1:56" x14ac:dyDescent="0.35">
      <c r="A78" s="38" t="str">
        <v>CETS0037</v>
      </c>
      <c r="B78" s="31" t="str">
        <f t="shared" ref="B78:B94" si="13">_xlfn.XLOOKUP(A78, AX$12:AX$307, AY$12:AY$307, "", 0)</f>
        <v>PEL SUMBU NAG 702</v>
      </c>
      <c r="C78" s="31" t="str">
        <f t="shared" ref="C78:C94" si="14">_xlfn.XLOOKUP(A78, AX$12:AX$307, AZ$12:AZ$307, "", 0)</f>
        <v>CLEANING TOOLS AND SUPPLIES</v>
      </c>
      <c r="D78" s="39" t="str">
        <f t="shared" ref="D78:D94" si="15">_xlfn.XLOOKUP(A78, AX$12:AX$307, BB$12:BB$307, "", 0)</f>
        <v>pcs</v>
      </c>
      <c r="E78" s="40">
        <f t="shared" ref="E78:E94" si="16">ROUND(_xlfn.XLOOKUP(A78, AX$12:AX$307, BC$12:BC$307, "", 0),2)</f>
        <v>17500</v>
      </c>
      <c r="F78" s="48">
        <f t="shared" ref="F78:F94" si="17">_xlfn.XLOOKUP(A78, X$12:X$307, AA$12:AA$307, "0", 0)</f>
        <v>1</v>
      </c>
      <c r="G78" s="48" t="str">
        <f t="shared" ref="G78:G94" si="18">_xlfn.XLOOKUP(A78, AP$12:AP$307, AS$12:AS$307, "0", 0)</f>
        <v>0</v>
      </c>
      <c r="H78" s="48">
        <f t="shared" ref="H78:H94" si="19">G78-F78</f>
        <v>-1</v>
      </c>
      <c r="I78" s="40">
        <f t="shared" ref="I78:I94" si="20">H78*E78</f>
        <v>-17500</v>
      </c>
      <c r="J78" s="39" t="str">
        <f t="shared" ref="J78:J94" si="21">CHOOSE(SIGN(G78 - F78) + 2, "Penurunan IU", "Tidak Ada Perubahan", "Kenaikan IU")</f>
        <v>Penurunan IU</v>
      </c>
      <c r="K78" s="42" t="s">
        <v>1275</v>
      </c>
      <c r="O78" s="3"/>
      <c r="V78" s="4"/>
      <c r="AG78" s="20">
        <v>4</v>
      </c>
      <c r="AH78" s="18" t="s">
        <v>75</v>
      </c>
      <c r="AI78" s="18" t="s">
        <v>76</v>
      </c>
      <c r="AJ78" s="18" t="s">
        <v>67</v>
      </c>
      <c r="AK78" s="21">
        <v>2</v>
      </c>
      <c r="AL78" s="18" t="s">
        <v>74</v>
      </c>
      <c r="AM78" s="21">
        <v>6993.1972999999998</v>
      </c>
      <c r="AN78" s="19">
        <v>13986.3946</v>
      </c>
      <c r="AX78" s="3" t="s">
        <v>221</v>
      </c>
      <c r="AY78" t="s">
        <v>222</v>
      </c>
      <c r="AZ78" t="s">
        <v>4</v>
      </c>
      <c r="BA78" s="10">
        <v>8.4</v>
      </c>
      <c r="BB78" t="s">
        <v>25</v>
      </c>
      <c r="BC78" s="10">
        <v>93034.695699999997</v>
      </c>
      <c r="BD78" s="4">
        <v>781491.44388000004</v>
      </c>
    </row>
    <row r="79" spans="1:56" x14ac:dyDescent="0.35">
      <c r="A79" s="38" t="str">
        <v>CETS0048</v>
      </c>
      <c r="B79" s="31" t="str">
        <f t="shared" si="13"/>
        <v>SEDOTAN LALAT</v>
      </c>
      <c r="C79" s="31" t="str">
        <f t="shared" si="14"/>
        <v>CLEANING TOOLS AND SUPPLIES</v>
      </c>
      <c r="D79" s="39" t="str">
        <f t="shared" si="15"/>
        <v>pcs</v>
      </c>
      <c r="E79" s="40">
        <f t="shared" si="16"/>
        <v>6480</v>
      </c>
      <c r="F79" s="48">
        <f t="shared" si="17"/>
        <v>0.7</v>
      </c>
      <c r="G79" s="48" t="str">
        <f t="shared" si="18"/>
        <v>0</v>
      </c>
      <c r="H79" s="48">
        <f t="shared" si="19"/>
        <v>-0.7</v>
      </c>
      <c r="I79" s="40">
        <f t="shared" si="20"/>
        <v>-4536</v>
      </c>
      <c r="J79" s="39" t="str">
        <f t="shared" si="21"/>
        <v>Penurunan IU</v>
      </c>
      <c r="K79" s="42" t="s">
        <v>1275</v>
      </c>
      <c r="O79" s="86" t="s">
        <v>10</v>
      </c>
      <c r="P79" s="87" t="s">
        <v>11</v>
      </c>
      <c r="Q79" t="s">
        <v>335</v>
      </c>
      <c r="V79" s="4"/>
      <c r="AG79" s="20">
        <v>5</v>
      </c>
      <c r="AH79" s="18" t="s">
        <v>325</v>
      </c>
      <c r="AI79" s="18" t="s">
        <v>326</v>
      </c>
      <c r="AJ79" s="18" t="s">
        <v>67</v>
      </c>
      <c r="AK79" s="21">
        <v>1</v>
      </c>
      <c r="AL79" s="18" t="s">
        <v>5</v>
      </c>
      <c r="AM79" s="21">
        <v>46109.567900000002</v>
      </c>
      <c r="AN79" s="19">
        <v>46109.567900000002</v>
      </c>
      <c r="AX79" s="3" t="s">
        <v>23</v>
      </c>
      <c r="AY79" t="s">
        <v>24</v>
      </c>
      <c r="AZ79" t="s">
        <v>4</v>
      </c>
      <c r="BA79" s="10">
        <v>5</v>
      </c>
      <c r="BB79" t="s">
        <v>25</v>
      </c>
      <c r="BC79" s="10">
        <v>26384.678000000004</v>
      </c>
      <c r="BD79" s="4">
        <v>131923.39000000001</v>
      </c>
    </row>
    <row r="80" spans="1:56" x14ac:dyDescent="0.35">
      <c r="A80" s="38" t="str">
        <v>MKT00035</v>
      </c>
      <c r="B80" s="31" t="str">
        <f t="shared" si="13"/>
        <v>LIGHT BOX</v>
      </c>
      <c r="C80" s="31" t="str">
        <f t="shared" si="14"/>
        <v>MARKETING</v>
      </c>
      <c r="D80" s="39" t="str">
        <f t="shared" si="15"/>
        <v>pcs</v>
      </c>
      <c r="E80" s="40">
        <f t="shared" si="16"/>
        <v>471351.5</v>
      </c>
      <c r="F80" s="48">
        <f t="shared" si="17"/>
        <v>1</v>
      </c>
      <c r="G80" s="48" t="str">
        <f t="shared" si="18"/>
        <v>0</v>
      </c>
      <c r="H80" s="48">
        <f t="shared" si="19"/>
        <v>-1</v>
      </c>
      <c r="I80" s="40">
        <f t="shared" si="20"/>
        <v>-471351.5</v>
      </c>
      <c r="J80" s="39" t="str">
        <f t="shared" si="21"/>
        <v>Penurunan IU</v>
      </c>
      <c r="K80" s="42" t="s">
        <v>1275</v>
      </c>
      <c r="O80" s="86" t="s">
        <v>16</v>
      </c>
      <c r="P80" s="87" t="s">
        <v>11</v>
      </c>
      <c r="Q80" t="s">
        <v>17</v>
      </c>
      <c r="V80" s="4"/>
      <c r="AG80" s="20">
        <v>6</v>
      </c>
      <c r="AH80" s="18" t="s">
        <v>357</v>
      </c>
      <c r="AI80" s="18" t="s">
        <v>358</v>
      </c>
      <c r="AJ80" s="18" t="s">
        <v>67</v>
      </c>
      <c r="AK80" s="21">
        <v>0.1</v>
      </c>
      <c r="AL80" s="18" t="s">
        <v>5</v>
      </c>
      <c r="AM80" s="21">
        <v>15666.6667</v>
      </c>
      <c r="AN80" s="19">
        <v>1566.6666700000001</v>
      </c>
      <c r="AX80" s="3" t="s">
        <v>28</v>
      </c>
      <c r="AY80" t="s">
        <v>29</v>
      </c>
      <c r="AZ80" t="s">
        <v>4</v>
      </c>
      <c r="BA80" s="10">
        <v>9</v>
      </c>
      <c r="BB80" t="s">
        <v>30</v>
      </c>
      <c r="BC80" s="10">
        <v>19760</v>
      </c>
      <c r="BD80" s="4">
        <v>177840</v>
      </c>
    </row>
    <row r="81" spans="1:56" x14ac:dyDescent="0.35">
      <c r="A81" s="38" t="str">
        <v>MKT00051</v>
      </c>
      <c r="B81" s="31" t="str">
        <f t="shared" si="13"/>
        <v>VOUCHER FREE RAPOKKI CHADOL</v>
      </c>
      <c r="C81" s="31" t="str">
        <f t="shared" si="14"/>
        <v>MARKETING</v>
      </c>
      <c r="D81" s="39" t="str">
        <f t="shared" si="15"/>
        <v>pcs</v>
      </c>
      <c r="E81" s="40">
        <f t="shared" si="16"/>
        <v>800</v>
      </c>
      <c r="F81" s="48">
        <f t="shared" si="17"/>
        <v>50</v>
      </c>
      <c r="G81" s="48" t="str">
        <f t="shared" si="18"/>
        <v>0</v>
      </c>
      <c r="H81" s="48">
        <f t="shared" si="19"/>
        <v>-50</v>
      </c>
      <c r="I81" s="40">
        <f t="shared" si="20"/>
        <v>-40000</v>
      </c>
      <c r="J81" s="39" t="str">
        <f t="shared" si="21"/>
        <v>Penurunan IU</v>
      </c>
      <c r="K81" s="42" t="s">
        <v>1275</v>
      </c>
      <c r="O81" s="86" t="s">
        <v>21</v>
      </c>
      <c r="P81" s="87" t="s">
        <v>11</v>
      </c>
      <c r="Q81" t="s">
        <v>301</v>
      </c>
      <c r="V81" s="4"/>
      <c r="AG81" s="20">
        <v>7</v>
      </c>
      <c r="AH81" s="18" t="s">
        <v>359</v>
      </c>
      <c r="AI81" s="18" t="s">
        <v>360</v>
      </c>
      <c r="AJ81" s="18" t="s">
        <v>67</v>
      </c>
      <c r="AK81" s="21">
        <v>0.2</v>
      </c>
      <c r="AL81" s="18" t="s">
        <v>216</v>
      </c>
      <c r="AM81" s="21">
        <v>20750</v>
      </c>
      <c r="AN81" s="19">
        <v>4150</v>
      </c>
      <c r="AX81" s="3" t="s">
        <v>39</v>
      </c>
      <c r="AY81" t="s">
        <v>40</v>
      </c>
      <c r="AZ81" t="s">
        <v>41</v>
      </c>
      <c r="BA81" s="10">
        <v>2</v>
      </c>
      <c r="BB81" t="s">
        <v>20</v>
      </c>
      <c r="BC81" s="10">
        <v>6972.4275861636361</v>
      </c>
      <c r="BD81" s="4">
        <v>13944.855172</v>
      </c>
    </row>
    <row r="82" spans="1:56" x14ac:dyDescent="0.35">
      <c r="A82" s="38" t="str">
        <v>OTH00121</v>
      </c>
      <c r="B82" s="31" t="str">
        <f t="shared" si="13"/>
        <v>KARDUS ROKOK</v>
      </c>
      <c r="C82" s="31" t="str">
        <f t="shared" si="14"/>
        <v>OTHERS</v>
      </c>
      <c r="D82" s="39" t="str">
        <f t="shared" si="15"/>
        <v>box</v>
      </c>
      <c r="E82" s="40">
        <f t="shared" si="16"/>
        <v>10653.95</v>
      </c>
      <c r="F82" s="48">
        <f t="shared" si="17"/>
        <v>8</v>
      </c>
      <c r="G82" s="48" t="str">
        <f t="shared" si="18"/>
        <v>0</v>
      </c>
      <c r="H82" s="48">
        <f t="shared" si="19"/>
        <v>-8</v>
      </c>
      <c r="I82" s="40">
        <f t="shared" si="20"/>
        <v>-85231.6</v>
      </c>
      <c r="J82" s="39" t="str">
        <f t="shared" si="21"/>
        <v>Penurunan IU</v>
      </c>
      <c r="K82" s="42" t="s">
        <v>1275</v>
      </c>
      <c r="O82" s="86" t="s">
        <v>26</v>
      </c>
      <c r="P82" s="87" t="s">
        <v>11</v>
      </c>
      <c r="Q82" t="s">
        <v>336</v>
      </c>
      <c r="V82" s="4"/>
      <c r="AG82" s="20">
        <v>8</v>
      </c>
      <c r="AH82" s="18" t="s">
        <v>85</v>
      </c>
      <c r="AI82" s="18" t="s">
        <v>86</v>
      </c>
      <c r="AJ82" s="18" t="s">
        <v>67</v>
      </c>
      <c r="AK82" s="21">
        <v>1.1000000000000001</v>
      </c>
      <c r="AL82" s="18" t="s">
        <v>87</v>
      </c>
      <c r="AM82" s="21">
        <v>17482.918600000001</v>
      </c>
      <c r="AN82" s="19">
        <v>19231.210459999998</v>
      </c>
      <c r="AX82" s="3" t="s">
        <v>304</v>
      </c>
      <c r="AY82" t="s">
        <v>305</v>
      </c>
      <c r="AZ82" t="s">
        <v>41</v>
      </c>
      <c r="BA82" s="10">
        <v>2</v>
      </c>
      <c r="BB82" t="s">
        <v>20</v>
      </c>
      <c r="BC82" s="10">
        <v>6961.0322580300008</v>
      </c>
      <c r="BD82" s="4">
        <v>13922.064516</v>
      </c>
    </row>
    <row r="83" spans="1:56" x14ac:dyDescent="0.35">
      <c r="A83" s="38" t="str">
        <v>STA00010</v>
      </c>
      <c r="B83" s="31" t="str">
        <f t="shared" si="13"/>
        <v>BINDER CLIP 260</v>
      </c>
      <c r="C83" s="31" t="str">
        <f t="shared" si="14"/>
        <v>STATIONARY AND OFFICE SUPPLIES</v>
      </c>
      <c r="D83" s="39" t="str">
        <f t="shared" si="15"/>
        <v>box</v>
      </c>
      <c r="E83" s="40">
        <f t="shared" si="16"/>
        <v>16500</v>
      </c>
      <c r="F83" s="48">
        <f t="shared" si="17"/>
        <v>1</v>
      </c>
      <c r="G83" s="48" t="str">
        <f t="shared" si="18"/>
        <v>0</v>
      </c>
      <c r="H83" s="48">
        <f t="shared" si="19"/>
        <v>-1</v>
      </c>
      <c r="I83" s="40">
        <f t="shared" si="20"/>
        <v>-16500</v>
      </c>
      <c r="J83" s="39" t="str">
        <f t="shared" si="21"/>
        <v>Penurunan IU</v>
      </c>
      <c r="K83" s="42" t="s">
        <v>1275</v>
      </c>
      <c r="O83" s="86" t="s">
        <v>31</v>
      </c>
      <c r="P83" s="87" t="s">
        <v>11</v>
      </c>
      <c r="Q83" t="s">
        <v>109</v>
      </c>
      <c r="V83" s="4"/>
      <c r="AG83" s="20">
        <v>9</v>
      </c>
      <c r="AH83" s="18" t="s">
        <v>242</v>
      </c>
      <c r="AI83" s="18" t="s">
        <v>243</v>
      </c>
      <c r="AJ83" s="18" t="s">
        <v>67</v>
      </c>
      <c r="AK83" s="21">
        <v>1.7</v>
      </c>
      <c r="AL83" s="18" t="s">
        <v>87</v>
      </c>
      <c r="AM83" s="21">
        <v>14168.0162</v>
      </c>
      <c r="AN83" s="19">
        <v>24085.627540000001</v>
      </c>
      <c r="AX83" s="3" t="s">
        <v>50</v>
      </c>
      <c r="AY83" t="s">
        <v>51</v>
      </c>
      <c r="AZ83" t="s">
        <v>41</v>
      </c>
      <c r="BA83" s="10">
        <v>1</v>
      </c>
      <c r="BB83" t="s">
        <v>52</v>
      </c>
      <c r="BC83" s="10">
        <v>20500</v>
      </c>
      <c r="BD83" s="4">
        <v>20500</v>
      </c>
    </row>
    <row r="84" spans="1:56" x14ac:dyDescent="0.35">
      <c r="A84" s="38" t="str">
        <v>STA00020</v>
      </c>
      <c r="B84" s="31" t="str">
        <f t="shared" si="13"/>
        <v>BATERAI AA</v>
      </c>
      <c r="C84" s="31" t="str">
        <f t="shared" si="14"/>
        <v>STATIONARY AND OFFICE SUPPLIES</v>
      </c>
      <c r="D84" s="39" t="str">
        <f t="shared" si="15"/>
        <v>pack</v>
      </c>
      <c r="E84" s="40">
        <f t="shared" si="16"/>
        <v>15150.27</v>
      </c>
      <c r="F84" s="48">
        <f t="shared" si="17"/>
        <v>1</v>
      </c>
      <c r="G84" s="48" t="str">
        <f t="shared" si="18"/>
        <v>0</v>
      </c>
      <c r="H84" s="48">
        <f t="shared" si="19"/>
        <v>-1</v>
      </c>
      <c r="I84" s="40">
        <f t="shared" si="20"/>
        <v>-15150.27</v>
      </c>
      <c r="J84" s="39" t="str">
        <f t="shared" si="21"/>
        <v>Penurunan IU</v>
      </c>
      <c r="K84" s="42" t="s">
        <v>1275</v>
      </c>
      <c r="O84" s="86" t="s">
        <v>35</v>
      </c>
      <c r="P84" s="87" t="s">
        <v>11</v>
      </c>
      <c r="Q84" t="s">
        <v>337</v>
      </c>
      <c r="V84" s="4"/>
      <c r="AG84" s="20">
        <v>10</v>
      </c>
      <c r="AH84" s="18" t="s">
        <v>246</v>
      </c>
      <c r="AI84" s="18" t="s">
        <v>247</v>
      </c>
      <c r="AJ84" s="18" t="s">
        <v>67</v>
      </c>
      <c r="AK84" s="21">
        <v>2</v>
      </c>
      <c r="AL84" s="18" t="s">
        <v>5</v>
      </c>
      <c r="AM84" s="21">
        <v>1995.2174833333329</v>
      </c>
      <c r="AN84" s="19">
        <v>3990.4349670000001</v>
      </c>
      <c r="AX84" s="3" t="s">
        <v>306</v>
      </c>
      <c r="AY84" t="s">
        <v>307</v>
      </c>
      <c r="AZ84" t="s">
        <v>41</v>
      </c>
      <c r="BA84" s="10">
        <v>2</v>
      </c>
      <c r="BB84" t="s">
        <v>20</v>
      </c>
      <c r="BC84" s="10">
        <v>7017.6225999999997</v>
      </c>
      <c r="BD84" s="4">
        <v>14035.245199999999</v>
      </c>
    </row>
    <row r="85" spans="1:56" x14ac:dyDescent="0.35">
      <c r="A85" s="38" t="str">
        <v>STA00028</v>
      </c>
      <c r="B85" s="31" t="str">
        <f t="shared" si="13"/>
        <v>SOLATIP KECIL 12 MM</v>
      </c>
      <c r="C85" s="31" t="str">
        <f t="shared" si="14"/>
        <v>STATIONARY AND OFFICE SUPPLIES</v>
      </c>
      <c r="D85" s="39" t="str">
        <f t="shared" si="15"/>
        <v>roll</v>
      </c>
      <c r="E85" s="40">
        <f t="shared" si="16"/>
        <v>3425.74</v>
      </c>
      <c r="F85" s="48">
        <f t="shared" si="17"/>
        <v>1</v>
      </c>
      <c r="G85" s="48" t="str">
        <f t="shared" si="18"/>
        <v>0</v>
      </c>
      <c r="H85" s="48">
        <f t="shared" si="19"/>
        <v>-1</v>
      </c>
      <c r="I85" s="40">
        <f t="shared" si="20"/>
        <v>-3425.74</v>
      </c>
      <c r="J85" s="39" t="str">
        <f t="shared" si="21"/>
        <v>Penurunan IU</v>
      </c>
      <c r="K85" s="42" t="s">
        <v>1275</v>
      </c>
      <c r="O85" s="3"/>
      <c r="V85" s="4"/>
      <c r="AG85" s="20">
        <v>11</v>
      </c>
      <c r="AH85" s="18" t="s">
        <v>327</v>
      </c>
      <c r="AI85" s="18" t="s">
        <v>328</v>
      </c>
      <c r="AJ85" s="18" t="s">
        <v>67</v>
      </c>
      <c r="AK85" s="21">
        <v>1</v>
      </c>
      <c r="AL85" s="18" t="s">
        <v>5</v>
      </c>
      <c r="AM85" s="21">
        <v>3647.0239000000001</v>
      </c>
      <c r="AN85" s="19">
        <v>3647.0239000000001</v>
      </c>
      <c r="AX85" s="3" t="s">
        <v>308</v>
      </c>
      <c r="AY85" t="s">
        <v>309</v>
      </c>
      <c r="AZ85" t="s">
        <v>41</v>
      </c>
      <c r="BA85" s="10">
        <v>1</v>
      </c>
      <c r="BB85" t="s">
        <v>20</v>
      </c>
      <c r="BC85" s="10">
        <v>8699.6363636565657</v>
      </c>
      <c r="BD85" s="4">
        <v>8699.636364</v>
      </c>
    </row>
    <row r="86" spans="1:56" x14ac:dyDescent="0.35">
      <c r="A86" s="38" t="str">
        <v>STA00050</v>
      </c>
      <c r="B86" s="31" t="str">
        <f t="shared" si="13"/>
        <v>MINYAK KAYU PUTIH</v>
      </c>
      <c r="C86" s="31" t="str">
        <f t="shared" si="14"/>
        <v>STATIONARY AND OFFICE SUPPLIES</v>
      </c>
      <c r="D86" s="39" t="str">
        <f t="shared" si="15"/>
        <v>pcs</v>
      </c>
      <c r="E86" s="40">
        <f t="shared" si="16"/>
        <v>19000</v>
      </c>
      <c r="F86" s="48">
        <f t="shared" si="17"/>
        <v>1</v>
      </c>
      <c r="G86" s="48" t="str">
        <f t="shared" si="18"/>
        <v>0</v>
      </c>
      <c r="H86" s="48">
        <f t="shared" si="19"/>
        <v>-1</v>
      </c>
      <c r="I86" s="40">
        <f t="shared" si="20"/>
        <v>-19000</v>
      </c>
      <c r="J86" s="39" t="str">
        <f t="shared" si="21"/>
        <v>Penurunan IU</v>
      </c>
      <c r="K86" s="42" t="s">
        <v>1275</v>
      </c>
      <c r="O86" s="3" t="s">
        <v>42</v>
      </c>
      <c r="P86" t="s">
        <v>43</v>
      </c>
      <c r="Q86" t="s">
        <v>44</v>
      </c>
      <c r="R86" t="s">
        <v>45</v>
      </c>
      <c r="S86" t="s">
        <v>46</v>
      </c>
      <c r="T86" t="s">
        <v>47</v>
      </c>
      <c r="U86" t="s">
        <v>48</v>
      </c>
      <c r="V86" s="4" t="s">
        <v>49</v>
      </c>
      <c r="AG86" s="20">
        <v>12</v>
      </c>
      <c r="AH86" s="18" t="s">
        <v>90</v>
      </c>
      <c r="AI86" s="18" t="s">
        <v>91</v>
      </c>
      <c r="AJ86" s="18" t="s">
        <v>67</v>
      </c>
      <c r="AK86" s="21">
        <v>1</v>
      </c>
      <c r="AL86" s="18" t="s">
        <v>5</v>
      </c>
      <c r="AM86" s="21">
        <v>3614.5832999999998</v>
      </c>
      <c r="AN86" s="19">
        <v>3614.5832999999998</v>
      </c>
      <c r="AX86" s="3" t="s">
        <v>53</v>
      </c>
      <c r="AY86" t="s">
        <v>54</v>
      </c>
      <c r="AZ86" t="s">
        <v>41</v>
      </c>
      <c r="BA86" s="10">
        <v>14</v>
      </c>
      <c r="BB86" t="s">
        <v>20</v>
      </c>
      <c r="BC86" s="10">
        <v>4066.6392375</v>
      </c>
      <c r="BD86" s="4">
        <v>56932.949325000001</v>
      </c>
    </row>
    <row r="87" spans="1:56" x14ac:dyDescent="0.35">
      <c r="A87" s="38" t="str">
        <v>STA00060</v>
      </c>
      <c r="B87" s="31" t="str">
        <f t="shared" si="13"/>
        <v>STABILO</v>
      </c>
      <c r="C87" s="31" t="str">
        <f t="shared" si="14"/>
        <v>STATIONARY AND OFFICE SUPPLIES</v>
      </c>
      <c r="D87" s="39" t="str">
        <f t="shared" si="15"/>
        <v>pcs</v>
      </c>
      <c r="E87" s="40">
        <f t="shared" si="16"/>
        <v>6000</v>
      </c>
      <c r="F87" s="48">
        <f t="shared" si="17"/>
        <v>1</v>
      </c>
      <c r="G87" s="48" t="str">
        <f t="shared" si="18"/>
        <v>0</v>
      </c>
      <c r="H87" s="48">
        <f t="shared" si="19"/>
        <v>-1</v>
      </c>
      <c r="I87" s="40">
        <f t="shared" si="20"/>
        <v>-6000</v>
      </c>
      <c r="J87" s="39" t="str">
        <f t="shared" si="21"/>
        <v>Penurunan IU</v>
      </c>
      <c r="K87" s="42" t="s">
        <v>1275</v>
      </c>
      <c r="O87" s="3">
        <v>1</v>
      </c>
      <c r="P87" t="s">
        <v>65</v>
      </c>
      <c r="Q87" t="s">
        <v>66</v>
      </c>
      <c r="R87" t="s">
        <v>67</v>
      </c>
      <c r="S87" s="10">
        <v>0.16</v>
      </c>
      <c r="T87" t="s">
        <v>20</v>
      </c>
      <c r="U87" s="10">
        <v>45203.703699999998</v>
      </c>
      <c r="V87" s="4">
        <v>7232.592592</v>
      </c>
      <c r="AG87" s="20">
        <v>13</v>
      </c>
      <c r="AH87" s="18" t="s">
        <v>92</v>
      </c>
      <c r="AI87" s="18" t="s">
        <v>93</v>
      </c>
      <c r="AJ87" s="18" t="s">
        <v>67</v>
      </c>
      <c r="AK87" s="21">
        <v>7</v>
      </c>
      <c r="AL87" s="18" t="s">
        <v>94</v>
      </c>
      <c r="AM87" s="21">
        <v>17462.136500000001</v>
      </c>
      <c r="AN87" s="19">
        <v>122234.9555</v>
      </c>
      <c r="AX87" s="3" t="s">
        <v>310</v>
      </c>
      <c r="AY87" t="s">
        <v>311</v>
      </c>
      <c r="AZ87" t="s">
        <v>41</v>
      </c>
      <c r="BA87" s="10">
        <v>1</v>
      </c>
      <c r="BB87" t="s">
        <v>20</v>
      </c>
      <c r="BC87" s="10">
        <v>9637</v>
      </c>
      <c r="BD87" s="4">
        <v>9637</v>
      </c>
    </row>
    <row r="88" spans="1:56" x14ac:dyDescent="0.35">
      <c r="A88" s="38" t="str">
        <v>STA00094</v>
      </c>
      <c r="B88" s="31" t="str">
        <f t="shared" si="13"/>
        <v>OBAT PROMAG</v>
      </c>
      <c r="C88" s="31" t="str">
        <f t="shared" si="14"/>
        <v>STATIONARY AND OFFICE SUPPLIES</v>
      </c>
      <c r="D88" s="39" t="str">
        <f t="shared" si="15"/>
        <v>str</v>
      </c>
      <c r="E88" s="40">
        <f t="shared" si="16"/>
        <v>12500</v>
      </c>
      <c r="F88" s="48">
        <f t="shared" si="17"/>
        <v>1.8</v>
      </c>
      <c r="G88" s="48" t="str">
        <f t="shared" si="18"/>
        <v>0</v>
      </c>
      <c r="H88" s="48">
        <f t="shared" si="19"/>
        <v>-1.8</v>
      </c>
      <c r="I88" s="40">
        <f t="shared" si="20"/>
        <v>-22500</v>
      </c>
      <c r="J88" s="39" t="str">
        <f t="shared" si="21"/>
        <v>Penurunan IU</v>
      </c>
      <c r="K88" s="42" t="s">
        <v>1275</v>
      </c>
      <c r="O88" s="3">
        <v>2</v>
      </c>
      <c r="P88" t="s">
        <v>322</v>
      </c>
      <c r="Q88" t="s">
        <v>323</v>
      </c>
      <c r="R88" t="s">
        <v>67</v>
      </c>
      <c r="S88" s="10">
        <v>1</v>
      </c>
      <c r="T88" t="s">
        <v>160</v>
      </c>
      <c r="U88" s="10">
        <v>16500</v>
      </c>
      <c r="V88" s="4">
        <v>16500</v>
      </c>
      <c r="AG88" s="20">
        <v>14</v>
      </c>
      <c r="AH88" s="18" t="s">
        <v>96</v>
      </c>
      <c r="AI88" s="18" t="s">
        <v>97</v>
      </c>
      <c r="AJ88" s="18" t="s">
        <v>67</v>
      </c>
      <c r="AK88" s="21">
        <v>1</v>
      </c>
      <c r="AL88" s="18" t="s">
        <v>98</v>
      </c>
      <c r="AM88" s="21">
        <v>9100</v>
      </c>
      <c r="AN88" s="19">
        <v>9100</v>
      </c>
      <c r="AX88" s="3" t="s">
        <v>57</v>
      </c>
      <c r="AY88" t="s">
        <v>58</v>
      </c>
      <c r="AZ88" t="s">
        <v>41</v>
      </c>
      <c r="BA88" s="10">
        <v>4.2</v>
      </c>
      <c r="BB88" t="s">
        <v>5</v>
      </c>
      <c r="BC88" s="10">
        <v>8995.2312000000002</v>
      </c>
      <c r="BD88" s="4">
        <v>37779.971039999997</v>
      </c>
    </row>
    <row r="89" spans="1:56" x14ac:dyDescent="0.35">
      <c r="A89" s="38" t="str">
        <v>KW000030</v>
      </c>
      <c r="B89" s="31" t="str">
        <f t="shared" si="13"/>
        <v>CETAKAN ES BATU BULAT 33 - BIRU</v>
      </c>
      <c r="C89" s="31" t="str">
        <f t="shared" si="14"/>
        <v>KITCHENWARE TOOLS</v>
      </c>
      <c r="D89" s="39" t="str">
        <f t="shared" si="15"/>
        <v>pcs</v>
      </c>
      <c r="E89" s="40">
        <f t="shared" si="16"/>
        <v>14950</v>
      </c>
      <c r="F89" s="48">
        <f t="shared" si="17"/>
        <v>3</v>
      </c>
      <c r="G89" s="48" t="str">
        <f t="shared" si="18"/>
        <v>0</v>
      </c>
      <c r="H89" s="48">
        <f t="shared" si="19"/>
        <v>-3</v>
      </c>
      <c r="I89" s="40">
        <f t="shared" si="20"/>
        <v>-44850</v>
      </c>
      <c r="J89" s="39" t="str">
        <f t="shared" si="21"/>
        <v>Penurunan IU</v>
      </c>
      <c r="K89" s="42" t="s">
        <v>1275</v>
      </c>
      <c r="O89" s="3">
        <v>3</v>
      </c>
      <c r="P89" t="s">
        <v>230</v>
      </c>
      <c r="Q89" t="s">
        <v>231</v>
      </c>
      <c r="R89" t="s">
        <v>67</v>
      </c>
      <c r="S89" s="10">
        <v>1</v>
      </c>
      <c r="T89" t="s">
        <v>5</v>
      </c>
      <c r="U89" s="10">
        <v>15150.272999999999</v>
      </c>
      <c r="V89" s="4">
        <v>15150.272999999999</v>
      </c>
      <c r="AG89" s="20">
        <v>15</v>
      </c>
      <c r="AH89" s="18" t="s">
        <v>254</v>
      </c>
      <c r="AI89" s="18" t="s">
        <v>255</v>
      </c>
      <c r="AJ89" s="18" t="s">
        <v>67</v>
      </c>
      <c r="AK89" s="21">
        <v>0.7</v>
      </c>
      <c r="AL89" s="18" t="s">
        <v>5</v>
      </c>
      <c r="AM89" s="21">
        <v>7976.1273000000001</v>
      </c>
      <c r="AN89" s="19">
        <v>5583.2891099999997</v>
      </c>
      <c r="AX89" s="3" t="s">
        <v>59</v>
      </c>
      <c r="AY89" t="s">
        <v>60</v>
      </c>
      <c r="AZ89" t="s">
        <v>41</v>
      </c>
      <c r="BA89" s="10">
        <v>3.4</v>
      </c>
      <c r="BB89" t="s">
        <v>5</v>
      </c>
      <c r="BC89" s="10">
        <v>7999.0082000000002</v>
      </c>
      <c r="BD89" s="4">
        <v>27196.62788</v>
      </c>
    </row>
    <row r="90" spans="1:56" x14ac:dyDescent="0.35">
      <c r="A90" s="38" t="str">
        <v>KW00094</v>
      </c>
      <c r="B90" s="31" t="str">
        <f t="shared" si="13"/>
        <v>PRAXIS KEEPER 102 1,9 LITER</v>
      </c>
      <c r="C90" s="31" t="str">
        <f t="shared" si="14"/>
        <v>KITCHENWARE TOOLS</v>
      </c>
      <c r="D90" s="39" t="str">
        <f t="shared" si="15"/>
        <v>pcs</v>
      </c>
      <c r="E90" s="40">
        <f t="shared" si="16"/>
        <v>15446.45</v>
      </c>
      <c r="F90" s="48">
        <f t="shared" si="17"/>
        <v>2</v>
      </c>
      <c r="G90" s="48" t="str">
        <f t="shared" si="18"/>
        <v>0</v>
      </c>
      <c r="H90" s="48">
        <f t="shared" si="19"/>
        <v>-2</v>
      </c>
      <c r="I90" s="40">
        <f t="shared" si="20"/>
        <v>-30892.9</v>
      </c>
      <c r="J90" s="39" t="str">
        <f t="shared" si="21"/>
        <v>Penurunan IU</v>
      </c>
      <c r="K90" s="42" t="s">
        <v>1275</v>
      </c>
      <c r="O90" s="3">
        <v>4</v>
      </c>
      <c r="P90" t="s">
        <v>72</v>
      </c>
      <c r="Q90" t="s">
        <v>73</v>
      </c>
      <c r="R90" t="s">
        <v>67</v>
      </c>
      <c r="S90" s="10">
        <v>1</v>
      </c>
      <c r="T90" t="s">
        <v>74</v>
      </c>
      <c r="U90" s="10">
        <v>3425.7379000000001</v>
      </c>
      <c r="V90" s="4">
        <v>3425.7379000000001</v>
      </c>
      <c r="AG90" s="20">
        <v>16</v>
      </c>
      <c r="AH90" s="18" t="s">
        <v>361</v>
      </c>
      <c r="AI90" s="18" t="s">
        <v>362</v>
      </c>
      <c r="AJ90" s="18" t="s">
        <v>67</v>
      </c>
      <c r="AK90" s="21">
        <v>3</v>
      </c>
      <c r="AL90" s="18" t="s">
        <v>363</v>
      </c>
      <c r="AM90" s="21">
        <v>60</v>
      </c>
      <c r="AN90" s="19">
        <v>180</v>
      </c>
      <c r="AX90" s="3" t="s">
        <v>61</v>
      </c>
      <c r="AY90" t="s">
        <v>62</v>
      </c>
      <c r="AZ90" t="s">
        <v>41</v>
      </c>
      <c r="BA90" s="10">
        <v>1</v>
      </c>
      <c r="BB90" t="s">
        <v>5</v>
      </c>
      <c r="BC90" s="10">
        <v>8644.8275861724142</v>
      </c>
      <c r="BD90" s="4">
        <v>8644.8275859999994</v>
      </c>
    </row>
    <row r="91" spans="1:56" x14ac:dyDescent="0.35">
      <c r="A91" s="38" t="str">
        <v>KW00113</v>
      </c>
      <c r="B91" s="31" t="str">
        <f t="shared" si="13"/>
        <v>CAN OPENER MANUAL</v>
      </c>
      <c r="C91" s="31" t="str">
        <f t="shared" si="14"/>
        <v>KITCHENWARE TOOLS</v>
      </c>
      <c r="D91" s="39" t="str">
        <f t="shared" si="15"/>
        <v>pcs</v>
      </c>
      <c r="E91" s="40">
        <f t="shared" si="16"/>
        <v>76500</v>
      </c>
      <c r="F91" s="48">
        <f t="shared" si="17"/>
        <v>1</v>
      </c>
      <c r="G91" s="48" t="str">
        <f t="shared" si="18"/>
        <v>0</v>
      </c>
      <c r="H91" s="48">
        <f t="shared" si="19"/>
        <v>-1</v>
      </c>
      <c r="I91" s="40">
        <f t="shared" si="20"/>
        <v>-76500</v>
      </c>
      <c r="J91" s="39" t="str">
        <f t="shared" si="21"/>
        <v>Penurunan IU</v>
      </c>
      <c r="K91" s="42" t="s">
        <v>1275</v>
      </c>
      <c r="O91" s="3">
        <v>5</v>
      </c>
      <c r="P91" t="s">
        <v>75</v>
      </c>
      <c r="Q91" t="s">
        <v>76</v>
      </c>
      <c r="R91" t="s">
        <v>67</v>
      </c>
      <c r="S91" s="10">
        <v>1</v>
      </c>
      <c r="T91" t="s">
        <v>74</v>
      </c>
      <c r="U91" s="10">
        <v>6993.1972999999998</v>
      </c>
      <c r="V91" s="4">
        <v>6993.1972999999998</v>
      </c>
      <c r="AG91" s="20">
        <v>17</v>
      </c>
      <c r="AH91" s="18" t="s">
        <v>107</v>
      </c>
      <c r="AI91" s="18" t="s">
        <v>108</v>
      </c>
      <c r="AJ91" s="18" t="s">
        <v>67</v>
      </c>
      <c r="AK91" s="21">
        <v>4</v>
      </c>
      <c r="AL91" s="18" t="s">
        <v>5</v>
      </c>
      <c r="AM91" s="21">
        <v>15006.6692</v>
      </c>
      <c r="AN91" s="19">
        <v>60026.676800000001</v>
      </c>
      <c r="AX91" s="3" t="s">
        <v>312</v>
      </c>
      <c r="AY91" t="s">
        <v>313</v>
      </c>
      <c r="AZ91" t="s">
        <v>41</v>
      </c>
      <c r="BA91" s="10">
        <v>1</v>
      </c>
      <c r="BB91" t="s">
        <v>20</v>
      </c>
      <c r="BC91" s="10">
        <v>17500</v>
      </c>
      <c r="BD91" s="4">
        <v>17500</v>
      </c>
    </row>
    <row r="92" spans="1:56" x14ac:dyDescent="0.35">
      <c r="A92" s="38" t="str">
        <v>TCT00004</v>
      </c>
      <c r="B92" s="31" t="str">
        <f t="shared" si="13"/>
        <v>MTE SUMPIT STAINLESS SUS304</v>
      </c>
      <c r="C92" s="31" t="str">
        <f t="shared" si="14"/>
        <v>CUTELERIES</v>
      </c>
      <c r="D92" s="39" t="str">
        <f t="shared" si="15"/>
        <v>pcs</v>
      </c>
      <c r="E92" s="40">
        <f t="shared" si="16"/>
        <v>1343.6</v>
      </c>
      <c r="F92" s="48">
        <f t="shared" si="17"/>
        <v>2</v>
      </c>
      <c r="G92" s="48" t="str">
        <f t="shared" si="18"/>
        <v>0</v>
      </c>
      <c r="H92" s="48">
        <f t="shared" si="19"/>
        <v>-2</v>
      </c>
      <c r="I92" s="40">
        <f t="shared" si="20"/>
        <v>-2687.2</v>
      </c>
      <c r="J92" s="39" t="str">
        <f t="shared" si="21"/>
        <v>Penurunan IU</v>
      </c>
      <c r="K92" s="42" t="s">
        <v>1275</v>
      </c>
      <c r="O92" s="3">
        <v>6</v>
      </c>
      <c r="P92" t="s">
        <v>325</v>
      </c>
      <c r="Q92" t="s">
        <v>326</v>
      </c>
      <c r="R92" t="s">
        <v>67</v>
      </c>
      <c r="S92" s="10">
        <v>1</v>
      </c>
      <c r="T92" t="s">
        <v>5</v>
      </c>
      <c r="U92" s="10">
        <v>46109.567900000002</v>
      </c>
      <c r="V92" s="4">
        <v>46109.567900000002</v>
      </c>
      <c r="AG92" s="20">
        <v>18</v>
      </c>
      <c r="AH92" s="18" t="s">
        <v>364</v>
      </c>
      <c r="AI92" s="18" t="s">
        <v>365</v>
      </c>
      <c r="AJ92" s="18" t="s">
        <v>67</v>
      </c>
      <c r="AK92" s="21">
        <v>0.5</v>
      </c>
      <c r="AL92" s="18" t="s">
        <v>52</v>
      </c>
      <c r="AM92" s="21">
        <v>16000</v>
      </c>
      <c r="AN92" s="19">
        <v>8000</v>
      </c>
      <c r="AX92" s="3" t="s">
        <v>314</v>
      </c>
      <c r="AY92" t="s">
        <v>315</v>
      </c>
      <c r="AZ92" t="s">
        <v>41</v>
      </c>
      <c r="BA92">
        <v>0.7</v>
      </c>
      <c r="BB92" t="s">
        <v>20</v>
      </c>
      <c r="BC92">
        <v>6480</v>
      </c>
      <c r="BD92" s="4">
        <v>4536</v>
      </c>
    </row>
    <row r="93" spans="1:56" x14ac:dyDescent="0.35">
      <c r="A93" s="38" t="str">
        <v>TCT00008</v>
      </c>
      <c r="B93" s="31" t="str">
        <f t="shared" si="13"/>
        <v>SENDOK KOREA STAINLESS SUJEO SUS304</v>
      </c>
      <c r="C93" s="31" t="str">
        <f t="shared" si="14"/>
        <v>CUTELERIES</v>
      </c>
      <c r="D93" s="39" t="str">
        <f t="shared" si="15"/>
        <v>pcs</v>
      </c>
      <c r="E93" s="40">
        <f t="shared" si="16"/>
        <v>3380.29</v>
      </c>
      <c r="F93" s="48">
        <f t="shared" si="17"/>
        <v>6</v>
      </c>
      <c r="G93" s="48" t="str">
        <f t="shared" si="18"/>
        <v>0</v>
      </c>
      <c r="H93" s="48">
        <f t="shared" si="19"/>
        <v>-6</v>
      </c>
      <c r="I93" s="40">
        <f t="shared" si="20"/>
        <v>-20281.739999999998</v>
      </c>
      <c r="J93" s="39" t="str">
        <f t="shared" si="21"/>
        <v>Penurunan IU</v>
      </c>
      <c r="K93" s="42" t="s">
        <v>1275</v>
      </c>
      <c r="O93" s="3">
        <v>7</v>
      </c>
      <c r="P93" t="s">
        <v>83</v>
      </c>
      <c r="Q93" t="s">
        <v>84</v>
      </c>
      <c r="R93" t="s">
        <v>67</v>
      </c>
      <c r="S93" s="10">
        <v>1</v>
      </c>
      <c r="T93" t="s">
        <v>20</v>
      </c>
      <c r="U93" s="10">
        <v>19000</v>
      </c>
      <c r="V93" s="4">
        <v>19000</v>
      </c>
      <c r="AG93" s="20">
        <v>19</v>
      </c>
      <c r="AH93" s="18" t="s">
        <v>366</v>
      </c>
      <c r="AI93" s="18" t="s">
        <v>367</v>
      </c>
      <c r="AJ93" s="18" t="s">
        <v>67</v>
      </c>
      <c r="AK93" s="21">
        <v>3</v>
      </c>
      <c r="AL93" s="18" t="s">
        <v>94</v>
      </c>
      <c r="AM93" s="21">
        <v>2962.962971428572</v>
      </c>
      <c r="AN93" s="19">
        <v>8888.8889139999992</v>
      </c>
      <c r="AX93" s="3" t="s">
        <v>316</v>
      </c>
      <c r="AY93" t="s">
        <v>317</v>
      </c>
      <c r="AZ93" t="s">
        <v>117</v>
      </c>
      <c r="BA93" s="10">
        <v>1</v>
      </c>
      <c r="BB93" t="s">
        <v>20</v>
      </c>
      <c r="BC93" s="10">
        <v>471351.5</v>
      </c>
      <c r="BD93" s="4">
        <v>471351.5</v>
      </c>
    </row>
    <row r="94" spans="1:56" ht="15" thickBot="1" x14ac:dyDescent="0.4">
      <c r="A94" s="43" t="str">
        <v>TGW00012</v>
      </c>
      <c r="B94" s="32" t="str">
        <f t="shared" si="13"/>
        <v>SAUCER SAUCE MANGKUK SAUS P3</v>
      </c>
      <c r="C94" s="32" t="str">
        <f t="shared" si="14"/>
        <v>TABLEWARE</v>
      </c>
      <c r="D94" s="49" t="str">
        <f t="shared" si="15"/>
        <v>pcs</v>
      </c>
      <c r="E94" s="52">
        <f t="shared" si="16"/>
        <v>3666.67</v>
      </c>
      <c r="F94" s="51">
        <f t="shared" si="17"/>
        <v>4</v>
      </c>
      <c r="G94" s="51" t="str">
        <f t="shared" si="18"/>
        <v>0</v>
      </c>
      <c r="H94" s="51">
        <f t="shared" si="19"/>
        <v>-4</v>
      </c>
      <c r="I94" s="52">
        <f t="shared" si="20"/>
        <v>-14666.68</v>
      </c>
      <c r="J94" s="49" t="str">
        <f t="shared" si="21"/>
        <v>Penurunan IU</v>
      </c>
      <c r="K94" s="42" t="s">
        <v>1275</v>
      </c>
      <c r="O94" s="3">
        <v>8</v>
      </c>
      <c r="P94" t="s">
        <v>85</v>
      </c>
      <c r="Q94" t="s">
        <v>86</v>
      </c>
      <c r="R94" t="s">
        <v>67</v>
      </c>
      <c r="S94" s="10">
        <v>1.6</v>
      </c>
      <c r="T94" t="s">
        <v>87</v>
      </c>
      <c r="U94" s="10">
        <v>16965.837100000001</v>
      </c>
      <c r="V94" s="4">
        <v>27145.339360000002</v>
      </c>
      <c r="AG94" s="20">
        <v>20</v>
      </c>
      <c r="AH94" s="18" t="s">
        <v>368</v>
      </c>
      <c r="AI94" s="18" t="s">
        <v>369</v>
      </c>
      <c r="AJ94" s="18" t="s">
        <v>67</v>
      </c>
      <c r="AK94" s="21">
        <v>1</v>
      </c>
      <c r="AL94" s="18" t="s">
        <v>5</v>
      </c>
      <c r="AM94" s="21">
        <v>7500</v>
      </c>
      <c r="AN94" s="19">
        <v>7500</v>
      </c>
      <c r="AX94" s="3" t="s">
        <v>318</v>
      </c>
      <c r="AY94" t="s">
        <v>319</v>
      </c>
      <c r="AZ94" t="s">
        <v>117</v>
      </c>
      <c r="BA94" s="10">
        <v>50</v>
      </c>
      <c r="BB94" t="s">
        <v>20</v>
      </c>
      <c r="BC94" s="10">
        <v>800</v>
      </c>
      <c r="BD94" s="4">
        <v>40000</v>
      </c>
    </row>
    <row r="95" spans="1:56" ht="15" thickTop="1" x14ac:dyDescent="0.35">
      <c r="O95" s="3">
        <v>9</v>
      </c>
      <c r="P95" t="s">
        <v>242</v>
      </c>
      <c r="Q95" t="s">
        <v>243</v>
      </c>
      <c r="R95" t="s">
        <v>67</v>
      </c>
      <c r="S95" s="10">
        <v>1.7</v>
      </c>
      <c r="T95" t="s">
        <v>87</v>
      </c>
      <c r="U95" s="10">
        <v>13910.2564</v>
      </c>
      <c r="V95" s="4">
        <v>23647.435880000001</v>
      </c>
      <c r="AG95" s="20">
        <v>21</v>
      </c>
      <c r="AH95" s="18" t="s">
        <v>370</v>
      </c>
      <c r="AI95" s="18" t="s">
        <v>371</v>
      </c>
      <c r="AJ95" s="18" t="s">
        <v>67</v>
      </c>
      <c r="AK95" s="18">
        <v>0.75</v>
      </c>
      <c r="AL95" s="18" t="s">
        <v>267</v>
      </c>
      <c r="AM95" s="18">
        <v>125000</v>
      </c>
      <c r="AN95" s="19">
        <v>93750</v>
      </c>
      <c r="AX95" s="3" t="s">
        <v>118</v>
      </c>
      <c r="AY95" t="s">
        <v>119</v>
      </c>
      <c r="AZ95" t="s">
        <v>120</v>
      </c>
      <c r="BA95" s="10">
        <v>1</v>
      </c>
      <c r="BB95" t="s">
        <v>20</v>
      </c>
      <c r="BC95" s="10">
        <v>14700</v>
      </c>
      <c r="BD95" s="4">
        <v>14700</v>
      </c>
    </row>
    <row r="96" spans="1:56" ht="15" thickBot="1" x14ac:dyDescent="0.4">
      <c r="O96" s="3">
        <v>10</v>
      </c>
      <c r="P96" t="s">
        <v>246</v>
      </c>
      <c r="Q96" t="s">
        <v>247</v>
      </c>
      <c r="R96" t="s">
        <v>67</v>
      </c>
      <c r="S96" s="10">
        <v>2</v>
      </c>
      <c r="T96" t="s">
        <v>5</v>
      </c>
      <c r="U96" s="10">
        <v>1995.2174833333329</v>
      </c>
      <c r="V96" s="4">
        <v>3990.4349670000001</v>
      </c>
      <c r="AG96" s="22" t="s">
        <v>223</v>
      </c>
      <c r="AH96" s="23" t="s">
        <v>223</v>
      </c>
      <c r="AI96" s="23" t="s">
        <v>223</v>
      </c>
      <c r="AJ96" s="23" t="s">
        <v>223</v>
      </c>
      <c r="AK96" s="23" t="s">
        <v>223</v>
      </c>
      <c r="AL96" s="23" t="s">
        <v>223</v>
      </c>
      <c r="AM96" s="23" t="s">
        <v>224</v>
      </c>
      <c r="AN96" s="24">
        <v>448140.12050900003</v>
      </c>
      <c r="AX96" s="3" t="s">
        <v>121</v>
      </c>
      <c r="AY96" t="s">
        <v>122</v>
      </c>
      <c r="AZ96" t="s">
        <v>123</v>
      </c>
      <c r="BA96" s="10">
        <v>8</v>
      </c>
      <c r="BB96" t="s">
        <v>5</v>
      </c>
      <c r="BC96" s="10">
        <v>5501.0582000000004</v>
      </c>
      <c r="BD96" s="4">
        <v>44008.465600000003</v>
      </c>
    </row>
    <row r="97" spans="15:56" ht="15" thickBot="1" x14ac:dyDescent="0.4">
      <c r="O97" s="3">
        <v>11</v>
      </c>
      <c r="P97" t="s">
        <v>250</v>
      </c>
      <c r="Q97" t="s">
        <v>251</v>
      </c>
      <c r="R97" t="s">
        <v>67</v>
      </c>
      <c r="S97" s="10">
        <v>1</v>
      </c>
      <c r="T97" t="s">
        <v>20</v>
      </c>
      <c r="U97" s="10">
        <v>6000</v>
      </c>
      <c r="V97" s="4">
        <v>6000</v>
      </c>
      <c r="AX97" s="3" t="s">
        <v>126</v>
      </c>
      <c r="AY97" t="s">
        <v>127</v>
      </c>
      <c r="AZ97" t="s">
        <v>123</v>
      </c>
      <c r="BA97" s="10">
        <v>9</v>
      </c>
      <c r="BB97" t="s">
        <v>5</v>
      </c>
      <c r="BC97" s="10">
        <v>5316.8608000000004</v>
      </c>
      <c r="BD97" s="4">
        <v>47851.747199999998</v>
      </c>
    </row>
    <row r="98" spans="15:56" x14ac:dyDescent="0.35">
      <c r="O98" s="3">
        <v>12</v>
      </c>
      <c r="P98" t="s">
        <v>327</v>
      </c>
      <c r="Q98" t="s">
        <v>328</v>
      </c>
      <c r="R98" t="s">
        <v>67</v>
      </c>
      <c r="S98" s="10">
        <v>1</v>
      </c>
      <c r="T98" t="s">
        <v>5</v>
      </c>
      <c r="U98" s="10">
        <v>3647.0239000000001</v>
      </c>
      <c r="V98" s="4">
        <v>3647.0239000000001</v>
      </c>
      <c r="AG98" s="84" t="s">
        <v>0</v>
      </c>
      <c r="AH98" s="85"/>
      <c r="AI98" s="85"/>
      <c r="AJ98" s="85"/>
      <c r="AK98" s="85"/>
      <c r="AL98" s="16"/>
      <c r="AM98" s="16"/>
      <c r="AN98" s="17"/>
      <c r="AX98" s="3" t="s">
        <v>128</v>
      </c>
      <c r="AY98" t="s">
        <v>129</v>
      </c>
      <c r="AZ98" t="s">
        <v>123</v>
      </c>
      <c r="BA98" s="10">
        <v>5.5</v>
      </c>
      <c r="BB98" t="s">
        <v>74</v>
      </c>
      <c r="BC98" s="10">
        <v>135107.48009999999</v>
      </c>
      <c r="BD98" s="4">
        <v>743091.14055000001</v>
      </c>
    </row>
    <row r="99" spans="15:56" x14ac:dyDescent="0.35">
      <c r="O99" s="3">
        <v>13</v>
      </c>
      <c r="P99" t="s">
        <v>90</v>
      </c>
      <c r="Q99" t="s">
        <v>91</v>
      </c>
      <c r="R99" t="s">
        <v>67</v>
      </c>
      <c r="S99" s="10">
        <v>3</v>
      </c>
      <c r="T99" t="s">
        <v>5</v>
      </c>
      <c r="U99" s="10">
        <v>3614.5832999999998</v>
      </c>
      <c r="V99" s="4">
        <v>10843.749900000001</v>
      </c>
      <c r="AG99" s="82" t="s">
        <v>1</v>
      </c>
      <c r="AH99" s="83"/>
      <c r="AI99" s="83"/>
      <c r="AJ99" s="83"/>
      <c r="AK99" s="83"/>
      <c r="AL99" s="18"/>
      <c r="AM99" s="18"/>
      <c r="AN99" s="19"/>
      <c r="AX99" s="3" t="s">
        <v>130</v>
      </c>
      <c r="AY99" t="s">
        <v>131</v>
      </c>
      <c r="AZ99" t="s">
        <v>123</v>
      </c>
      <c r="BA99" s="10">
        <v>50</v>
      </c>
      <c r="BB99" t="s">
        <v>5</v>
      </c>
      <c r="BC99" s="10">
        <v>6355.2948999999999</v>
      </c>
      <c r="BD99" s="4">
        <v>317764.745</v>
      </c>
    </row>
    <row r="100" spans="15:56" x14ac:dyDescent="0.35">
      <c r="O100" s="3">
        <v>14</v>
      </c>
      <c r="P100" t="s">
        <v>92</v>
      </c>
      <c r="Q100" t="s">
        <v>93</v>
      </c>
      <c r="R100" t="s">
        <v>67</v>
      </c>
      <c r="S100" s="10">
        <v>27</v>
      </c>
      <c r="T100" t="s">
        <v>94</v>
      </c>
      <c r="U100" s="10">
        <v>17462.136500000001</v>
      </c>
      <c r="V100" s="4">
        <v>471477.68550000002</v>
      </c>
      <c r="AG100" s="20"/>
      <c r="AH100" s="18"/>
      <c r="AI100" s="18"/>
      <c r="AJ100" s="18"/>
      <c r="AK100" s="18"/>
      <c r="AL100" s="18"/>
      <c r="AM100" s="18"/>
      <c r="AN100" s="19"/>
      <c r="AX100" s="3" t="s">
        <v>132</v>
      </c>
      <c r="AY100" t="s">
        <v>133</v>
      </c>
      <c r="AZ100" t="s">
        <v>123</v>
      </c>
      <c r="BA100" s="10">
        <v>26.6</v>
      </c>
      <c r="BB100" t="s">
        <v>134</v>
      </c>
      <c r="BC100" s="10">
        <v>14983.315999999999</v>
      </c>
      <c r="BD100" s="4">
        <v>398556.20559999999</v>
      </c>
    </row>
    <row r="101" spans="15:56" x14ac:dyDescent="0.35">
      <c r="O101" s="3">
        <v>15</v>
      </c>
      <c r="P101" t="s">
        <v>100</v>
      </c>
      <c r="Q101" t="s">
        <v>101</v>
      </c>
      <c r="R101" t="s">
        <v>67</v>
      </c>
      <c r="S101" s="10">
        <v>1.8</v>
      </c>
      <c r="T101" t="s">
        <v>87</v>
      </c>
      <c r="U101" s="10">
        <v>12500</v>
      </c>
      <c r="V101" s="4">
        <v>22500</v>
      </c>
      <c r="AG101" s="82" t="s">
        <v>10</v>
      </c>
      <c r="AH101" s="83" t="s">
        <v>11</v>
      </c>
      <c r="AI101" s="18" t="s">
        <v>372</v>
      </c>
      <c r="AJ101" s="18"/>
      <c r="AK101" s="18"/>
      <c r="AL101" s="18"/>
      <c r="AM101" s="18"/>
      <c r="AN101" s="19"/>
      <c r="AX101" s="3" t="s">
        <v>135</v>
      </c>
      <c r="AY101" t="s">
        <v>136</v>
      </c>
      <c r="AZ101" t="s">
        <v>123</v>
      </c>
      <c r="BA101" s="10">
        <v>12</v>
      </c>
      <c r="BB101" t="s">
        <v>5</v>
      </c>
      <c r="BC101" s="10">
        <v>5444.4699000000001</v>
      </c>
      <c r="BD101" s="4">
        <v>65333.638800000001</v>
      </c>
    </row>
    <row r="102" spans="15:56" x14ac:dyDescent="0.35">
      <c r="O102" s="3">
        <v>16</v>
      </c>
      <c r="P102" t="s">
        <v>107</v>
      </c>
      <c r="Q102" t="s">
        <v>108</v>
      </c>
      <c r="R102" t="s">
        <v>67</v>
      </c>
      <c r="S102">
        <v>2</v>
      </c>
      <c r="T102" t="s">
        <v>5</v>
      </c>
      <c r="U102">
        <v>15006.6692</v>
      </c>
      <c r="V102" s="4">
        <v>30013.338400000001</v>
      </c>
      <c r="AG102" s="82" t="s">
        <v>16</v>
      </c>
      <c r="AH102" s="83" t="s">
        <v>11</v>
      </c>
      <c r="AI102" s="18" t="s">
        <v>211</v>
      </c>
      <c r="AJ102" s="18"/>
      <c r="AK102" s="18"/>
      <c r="AL102" s="18"/>
      <c r="AM102" s="18"/>
      <c r="AN102" s="19"/>
      <c r="AX102" s="3" t="s">
        <v>137</v>
      </c>
      <c r="AY102" t="s">
        <v>138</v>
      </c>
      <c r="AZ102" t="s">
        <v>123</v>
      </c>
      <c r="BA102" s="10">
        <v>21</v>
      </c>
      <c r="BB102" t="s">
        <v>5</v>
      </c>
      <c r="BC102" s="10">
        <v>17848.709299999999</v>
      </c>
      <c r="BD102" s="4">
        <v>374822.89529999997</v>
      </c>
    </row>
    <row r="103" spans="15:56" ht="15" thickBot="1" x14ac:dyDescent="0.4">
      <c r="O103" s="11" t="s">
        <v>223</v>
      </c>
      <c r="P103" s="12" t="s">
        <v>223</v>
      </c>
      <c r="Q103" s="12" t="s">
        <v>223</v>
      </c>
      <c r="R103" s="12" t="s">
        <v>223</v>
      </c>
      <c r="S103" s="12" t="s">
        <v>223</v>
      </c>
      <c r="T103" s="12" t="s">
        <v>223</v>
      </c>
      <c r="U103" s="12" t="s">
        <v>224</v>
      </c>
      <c r="V103" s="13">
        <v>713676.37659900007</v>
      </c>
      <c r="AG103" s="82" t="s">
        <v>21</v>
      </c>
      <c r="AH103" s="83" t="s">
        <v>11</v>
      </c>
      <c r="AI103" s="18" t="s">
        <v>301</v>
      </c>
      <c r="AJ103" s="18"/>
      <c r="AK103" s="18"/>
      <c r="AL103" s="18"/>
      <c r="AM103" s="18"/>
      <c r="AN103" s="19"/>
      <c r="AX103" s="3" t="s">
        <v>139</v>
      </c>
      <c r="AY103" t="s">
        <v>140</v>
      </c>
      <c r="AZ103" t="s">
        <v>123</v>
      </c>
      <c r="BA103" s="10">
        <v>7</v>
      </c>
      <c r="BB103" t="s">
        <v>5</v>
      </c>
      <c r="BC103" s="10">
        <v>30191.244650000001</v>
      </c>
      <c r="BD103" s="4">
        <v>211338.71255</v>
      </c>
    </row>
    <row r="104" spans="15:56" ht="15.5" thickTop="1" thickBot="1" x14ac:dyDescent="0.4">
      <c r="AG104" s="82" t="s">
        <v>26</v>
      </c>
      <c r="AH104" s="83" t="s">
        <v>11</v>
      </c>
      <c r="AI104" s="18" t="s">
        <v>373</v>
      </c>
      <c r="AJ104" s="18"/>
      <c r="AK104" s="18"/>
      <c r="AL104" s="18"/>
      <c r="AM104" s="18"/>
      <c r="AN104" s="19"/>
      <c r="AX104" s="3" t="s">
        <v>143</v>
      </c>
      <c r="AY104" t="s">
        <v>144</v>
      </c>
      <c r="AZ104" t="s">
        <v>123</v>
      </c>
      <c r="BA104" s="10">
        <v>0.04</v>
      </c>
      <c r="BB104" t="s">
        <v>5</v>
      </c>
      <c r="BC104" s="10">
        <v>26345.394200000006</v>
      </c>
      <c r="BD104" s="4">
        <v>1053.8157679999999</v>
      </c>
    </row>
    <row r="105" spans="15:56" ht="15" thickTop="1" x14ac:dyDescent="0.35">
      <c r="O105" s="88" t="s">
        <v>0</v>
      </c>
      <c r="P105" s="89"/>
      <c r="Q105" s="89"/>
      <c r="R105" s="89"/>
      <c r="S105" s="89"/>
      <c r="T105" s="1"/>
      <c r="U105" s="1"/>
      <c r="V105" s="2"/>
      <c r="AG105" s="82" t="s">
        <v>31</v>
      </c>
      <c r="AH105" s="83" t="s">
        <v>11</v>
      </c>
      <c r="AI105" s="18" t="s">
        <v>198</v>
      </c>
      <c r="AJ105" s="18"/>
      <c r="AK105" s="18"/>
      <c r="AL105" s="18"/>
      <c r="AM105" s="18"/>
      <c r="AN105" s="19"/>
      <c r="AX105" s="3" t="s">
        <v>145</v>
      </c>
      <c r="AY105" t="s">
        <v>146</v>
      </c>
      <c r="AZ105" t="s">
        <v>123</v>
      </c>
      <c r="BA105" s="10">
        <v>71</v>
      </c>
      <c r="BB105" t="s">
        <v>5</v>
      </c>
      <c r="BC105" s="10">
        <v>4604.1441999999997</v>
      </c>
      <c r="BD105" s="4">
        <v>326894.23820000002</v>
      </c>
    </row>
    <row r="106" spans="15:56" x14ac:dyDescent="0.35">
      <c r="O106" s="86" t="s">
        <v>1</v>
      </c>
      <c r="P106" s="87"/>
      <c r="Q106" s="87"/>
      <c r="R106" s="87"/>
      <c r="S106" s="87"/>
      <c r="V106" s="4"/>
      <c r="AG106" s="82" t="s">
        <v>35</v>
      </c>
      <c r="AH106" s="83" t="s">
        <v>11</v>
      </c>
      <c r="AI106" s="18" t="s">
        <v>374</v>
      </c>
      <c r="AJ106" s="18"/>
      <c r="AK106" s="18"/>
      <c r="AL106" s="18"/>
      <c r="AM106" s="18"/>
      <c r="AN106" s="19"/>
      <c r="AX106" s="3" t="s">
        <v>147</v>
      </c>
      <c r="AY106" t="s">
        <v>148</v>
      </c>
      <c r="AZ106" t="s">
        <v>123</v>
      </c>
      <c r="BA106" s="10">
        <v>1.07</v>
      </c>
      <c r="BB106" t="s">
        <v>5</v>
      </c>
      <c r="BC106" s="10">
        <v>14957.0093</v>
      </c>
      <c r="BD106" s="4">
        <v>16003.999951</v>
      </c>
    </row>
    <row r="107" spans="15:56" x14ac:dyDescent="0.35">
      <c r="O107" s="3"/>
      <c r="V107" s="4"/>
      <c r="AG107" s="20"/>
      <c r="AH107" s="18"/>
      <c r="AI107" s="18"/>
      <c r="AJ107" s="18"/>
      <c r="AK107" s="18"/>
      <c r="AL107" s="18"/>
      <c r="AM107" s="18"/>
      <c r="AN107" s="19"/>
      <c r="AX107" s="3" t="s">
        <v>272</v>
      </c>
      <c r="AY107" t="s">
        <v>273</v>
      </c>
      <c r="AZ107" t="s">
        <v>151</v>
      </c>
      <c r="BA107" s="10">
        <v>1</v>
      </c>
      <c r="BB107" t="s">
        <v>5</v>
      </c>
      <c r="BC107" s="10">
        <v>3988</v>
      </c>
      <c r="BD107" s="4">
        <v>3988</v>
      </c>
    </row>
    <row r="108" spans="15:56" x14ac:dyDescent="0.35">
      <c r="O108" s="86" t="s">
        <v>10</v>
      </c>
      <c r="P108" s="87" t="s">
        <v>11</v>
      </c>
      <c r="Q108" t="s">
        <v>338</v>
      </c>
      <c r="V108" s="4"/>
      <c r="AG108" s="20" t="s">
        <v>42</v>
      </c>
      <c r="AH108" s="18" t="s">
        <v>43</v>
      </c>
      <c r="AI108" s="18" t="s">
        <v>44</v>
      </c>
      <c r="AJ108" s="18" t="s">
        <v>45</v>
      </c>
      <c r="AK108" s="18" t="s">
        <v>46</v>
      </c>
      <c r="AL108" s="18" t="s">
        <v>47</v>
      </c>
      <c r="AM108" s="18" t="s">
        <v>48</v>
      </c>
      <c r="AN108" s="19" t="s">
        <v>49</v>
      </c>
      <c r="AX108" s="3" t="s">
        <v>158</v>
      </c>
      <c r="AY108" t="s">
        <v>159</v>
      </c>
      <c r="AZ108" t="s">
        <v>151</v>
      </c>
      <c r="BA108" s="10">
        <v>8</v>
      </c>
      <c r="BB108" t="s">
        <v>160</v>
      </c>
      <c r="BC108" s="10">
        <v>10653.953100000001</v>
      </c>
      <c r="BD108" s="4">
        <v>85231.624800000005</v>
      </c>
    </row>
    <row r="109" spans="15:56" x14ac:dyDescent="0.35">
      <c r="O109" s="86" t="s">
        <v>16</v>
      </c>
      <c r="P109" s="87" t="s">
        <v>11</v>
      </c>
      <c r="Q109" t="s">
        <v>17</v>
      </c>
      <c r="V109" s="4"/>
      <c r="AG109" s="20">
        <v>1</v>
      </c>
      <c r="AH109" s="18" t="s">
        <v>168</v>
      </c>
      <c r="AI109" s="18" t="s">
        <v>169</v>
      </c>
      <c r="AJ109" s="18" t="s">
        <v>165</v>
      </c>
      <c r="AK109" s="21">
        <v>3</v>
      </c>
      <c r="AL109" s="18" t="s">
        <v>20</v>
      </c>
      <c r="AM109" s="21">
        <v>21570.207399999999</v>
      </c>
      <c r="AN109" s="19">
        <v>64710.622199999998</v>
      </c>
      <c r="AX109" s="3" t="s">
        <v>161</v>
      </c>
      <c r="AY109" t="s">
        <v>162</v>
      </c>
      <c r="AZ109" t="s">
        <v>151</v>
      </c>
      <c r="BA109">
        <v>0.2</v>
      </c>
      <c r="BB109" t="s">
        <v>5</v>
      </c>
      <c r="BC109">
        <v>6390.0769</v>
      </c>
      <c r="BD109" s="4">
        <v>1278.0153800000001</v>
      </c>
    </row>
    <row r="110" spans="15:56" x14ac:dyDescent="0.35">
      <c r="O110" s="86" t="s">
        <v>21</v>
      </c>
      <c r="P110" s="87" t="s">
        <v>11</v>
      </c>
      <c r="Q110" t="s">
        <v>301</v>
      </c>
      <c r="V110" s="4"/>
      <c r="AG110" s="20">
        <v>2</v>
      </c>
      <c r="AH110" s="18" t="s">
        <v>286</v>
      </c>
      <c r="AI110" s="18" t="s">
        <v>287</v>
      </c>
      <c r="AJ110" s="18" t="s">
        <v>165</v>
      </c>
      <c r="AK110" s="21">
        <v>1</v>
      </c>
      <c r="AL110" s="18" t="s">
        <v>20</v>
      </c>
      <c r="AM110" s="21">
        <v>46968.75</v>
      </c>
      <c r="AN110" s="19">
        <v>46968.75</v>
      </c>
      <c r="AX110" s="3" t="s">
        <v>65</v>
      </c>
      <c r="AY110" t="s">
        <v>66</v>
      </c>
      <c r="AZ110" t="s">
        <v>67</v>
      </c>
      <c r="BA110" s="10">
        <v>0.16</v>
      </c>
      <c r="BB110" t="s">
        <v>20</v>
      </c>
      <c r="BC110" s="10">
        <v>45203.703699999998</v>
      </c>
      <c r="BD110" s="4">
        <v>7232.592592</v>
      </c>
    </row>
    <row r="111" spans="15:56" x14ac:dyDescent="0.35">
      <c r="O111" s="86" t="s">
        <v>26</v>
      </c>
      <c r="P111" s="87" t="s">
        <v>11</v>
      </c>
      <c r="Q111" t="s">
        <v>339</v>
      </c>
      <c r="V111" s="4"/>
      <c r="AG111" s="20">
        <v>3</v>
      </c>
      <c r="AH111" s="18" t="s">
        <v>375</v>
      </c>
      <c r="AI111" s="18" t="s">
        <v>376</v>
      </c>
      <c r="AJ111" s="18" t="s">
        <v>165</v>
      </c>
      <c r="AK111" s="21">
        <v>1</v>
      </c>
      <c r="AL111" s="18" t="s">
        <v>20</v>
      </c>
      <c r="AM111" s="21">
        <v>15000</v>
      </c>
      <c r="AN111" s="19">
        <v>15000</v>
      </c>
      <c r="AX111" s="3" t="s">
        <v>322</v>
      </c>
      <c r="AY111" t="s">
        <v>323</v>
      </c>
      <c r="AZ111" t="s">
        <v>67</v>
      </c>
      <c r="BA111" s="10">
        <v>1</v>
      </c>
      <c r="BB111" t="s">
        <v>160</v>
      </c>
      <c r="BC111" s="10">
        <v>16500</v>
      </c>
      <c r="BD111" s="4">
        <v>16500</v>
      </c>
    </row>
    <row r="112" spans="15:56" x14ac:dyDescent="0.35">
      <c r="O112" s="86" t="s">
        <v>31</v>
      </c>
      <c r="P112" s="87" t="s">
        <v>11</v>
      </c>
      <c r="Q112" t="s">
        <v>198</v>
      </c>
      <c r="V112" s="4"/>
      <c r="AG112" s="20">
        <v>4</v>
      </c>
      <c r="AH112" s="18" t="s">
        <v>377</v>
      </c>
      <c r="AI112" s="18" t="s">
        <v>378</v>
      </c>
      <c r="AJ112" s="18" t="s">
        <v>165</v>
      </c>
      <c r="AK112" s="21">
        <v>1</v>
      </c>
      <c r="AL112" s="18" t="s">
        <v>20</v>
      </c>
      <c r="AM112" s="21">
        <v>20000</v>
      </c>
      <c r="AN112" s="19">
        <v>20000</v>
      </c>
      <c r="AX112" s="3" t="s">
        <v>230</v>
      </c>
      <c r="AY112" t="s">
        <v>231</v>
      </c>
      <c r="AZ112" t="s">
        <v>67</v>
      </c>
      <c r="BA112" s="10">
        <v>1</v>
      </c>
      <c r="BB112" t="s">
        <v>5</v>
      </c>
      <c r="BC112" s="10">
        <v>15150.272999999999</v>
      </c>
      <c r="BD112" s="4">
        <v>15150.272999999999</v>
      </c>
    </row>
    <row r="113" spans="15:56" x14ac:dyDescent="0.35">
      <c r="O113" s="86" t="s">
        <v>35</v>
      </c>
      <c r="P113" s="87" t="s">
        <v>11</v>
      </c>
      <c r="Q113" t="s">
        <v>340</v>
      </c>
      <c r="V113" s="4"/>
      <c r="AG113" s="20">
        <v>5</v>
      </c>
      <c r="AH113" s="18" t="s">
        <v>294</v>
      </c>
      <c r="AI113" s="18" t="s">
        <v>295</v>
      </c>
      <c r="AJ113" s="18" t="s">
        <v>165</v>
      </c>
      <c r="AK113" s="21">
        <v>6</v>
      </c>
      <c r="AL113" s="18" t="s">
        <v>20</v>
      </c>
      <c r="AM113" s="21">
        <v>16967.74838709</v>
      </c>
      <c r="AN113" s="19">
        <v>101806.49032300001</v>
      </c>
      <c r="AX113" s="3" t="s">
        <v>72</v>
      </c>
      <c r="AY113" t="s">
        <v>73</v>
      </c>
      <c r="AZ113" t="s">
        <v>67</v>
      </c>
      <c r="BA113" s="10">
        <v>1</v>
      </c>
      <c r="BB113" t="s">
        <v>74</v>
      </c>
      <c r="BC113" s="10">
        <v>3425.7379000000001</v>
      </c>
      <c r="BD113" s="4">
        <v>3425.7379000000001</v>
      </c>
    </row>
    <row r="114" spans="15:56" x14ac:dyDescent="0.35">
      <c r="O114" s="3"/>
      <c r="V114" s="4"/>
      <c r="AG114" s="20">
        <v>6</v>
      </c>
      <c r="AH114" s="18" t="s">
        <v>379</v>
      </c>
      <c r="AI114" s="18" t="s">
        <v>380</v>
      </c>
      <c r="AJ114" s="18" t="s">
        <v>165</v>
      </c>
      <c r="AK114" s="21">
        <v>1</v>
      </c>
      <c r="AL114" s="18" t="s">
        <v>20</v>
      </c>
      <c r="AM114" s="21">
        <v>21985</v>
      </c>
      <c r="AN114" s="19">
        <v>21985</v>
      </c>
      <c r="AX114" s="3" t="s">
        <v>75</v>
      </c>
      <c r="AY114" t="s">
        <v>76</v>
      </c>
      <c r="AZ114" t="s">
        <v>67</v>
      </c>
      <c r="BA114" s="10">
        <v>1</v>
      </c>
      <c r="BB114" t="s">
        <v>74</v>
      </c>
      <c r="BC114" s="10">
        <v>6993.1972999999998</v>
      </c>
      <c r="BD114" s="4">
        <v>6993.1972999999998</v>
      </c>
    </row>
    <row r="115" spans="15:56" x14ac:dyDescent="0.35">
      <c r="O115" s="3" t="s">
        <v>42</v>
      </c>
      <c r="P115" t="s">
        <v>43</v>
      </c>
      <c r="Q115" t="s">
        <v>44</v>
      </c>
      <c r="R115" t="s">
        <v>45</v>
      </c>
      <c r="S115" t="s">
        <v>46</v>
      </c>
      <c r="T115" t="s">
        <v>47</v>
      </c>
      <c r="U115" t="s">
        <v>48</v>
      </c>
      <c r="V115" s="4" t="s">
        <v>49</v>
      </c>
      <c r="AG115" s="20">
        <v>7</v>
      </c>
      <c r="AH115" s="18" t="s">
        <v>381</v>
      </c>
      <c r="AI115" s="18" t="s">
        <v>382</v>
      </c>
      <c r="AJ115" s="18" t="s">
        <v>182</v>
      </c>
      <c r="AK115" s="21">
        <v>1</v>
      </c>
      <c r="AL115" s="18" t="s">
        <v>20</v>
      </c>
      <c r="AM115" s="21">
        <v>15073.25934516129</v>
      </c>
      <c r="AN115" s="19">
        <v>15073.259345</v>
      </c>
      <c r="AX115" s="3" t="s">
        <v>325</v>
      </c>
      <c r="AY115" t="s">
        <v>326</v>
      </c>
      <c r="AZ115" t="s">
        <v>67</v>
      </c>
      <c r="BA115" s="10">
        <v>1</v>
      </c>
      <c r="BB115" t="s">
        <v>5</v>
      </c>
      <c r="BC115" s="10">
        <v>46109.567900000002</v>
      </c>
      <c r="BD115" s="4">
        <v>46109.567900000002</v>
      </c>
    </row>
    <row r="116" spans="15:56" x14ac:dyDescent="0.35">
      <c r="O116" s="3">
        <v>1</v>
      </c>
      <c r="P116" t="s">
        <v>329</v>
      </c>
      <c r="Q116" t="s">
        <v>330</v>
      </c>
      <c r="R116" t="s">
        <v>165</v>
      </c>
      <c r="S116" s="10">
        <v>3</v>
      </c>
      <c r="T116" t="s">
        <v>20</v>
      </c>
      <c r="U116" s="10">
        <v>14950</v>
      </c>
      <c r="V116" s="4">
        <v>44850</v>
      </c>
      <c r="AG116" s="20">
        <v>8</v>
      </c>
      <c r="AH116" s="18" t="s">
        <v>383</v>
      </c>
      <c r="AI116" s="18" t="s">
        <v>384</v>
      </c>
      <c r="AJ116" s="18" t="s">
        <v>182</v>
      </c>
      <c r="AK116" s="21">
        <v>2</v>
      </c>
      <c r="AL116" s="18" t="s">
        <v>20</v>
      </c>
      <c r="AM116" s="21">
        <v>26000</v>
      </c>
      <c r="AN116" s="19">
        <v>52000</v>
      </c>
      <c r="AX116" s="3" t="s">
        <v>83</v>
      </c>
      <c r="AY116" t="s">
        <v>84</v>
      </c>
      <c r="AZ116" t="s">
        <v>67</v>
      </c>
      <c r="BA116" s="10">
        <v>1</v>
      </c>
      <c r="BB116" t="s">
        <v>20</v>
      </c>
      <c r="BC116" s="10">
        <v>19000</v>
      </c>
      <c r="BD116" s="4">
        <v>19000</v>
      </c>
    </row>
    <row r="117" spans="15:56" x14ac:dyDescent="0.35">
      <c r="O117" s="3">
        <v>2</v>
      </c>
      <c r="P117" t="s">
        <v>290</v>
      </c>
      <c r="Q117" t="s">
        <v>291</v>
      </c>
      <c r="R117" t="s">
        <v>165</v>
      </c>
      <c r="S117" s="10">
        <v>2</v>
      </c>
      <c r="T117" t="s">
        <v>20</v>
      </c>
      <c r="U117" s="10">
        <v>15446.45454545</v>
      </c>
      <c r="V117" s="4">
        <v>30892.909091000001</v>
      </c>
      <c r="AG117" s="20">
        <v>9</v>
      </c>
      <c r="AH117" s="18" t="s">
        <v>190</v>
      </c>
      <c r="AI117" s="18" t="s">
        <v>191</v>
      </c>
      <c r="AJ117" s="18" t="s">
        <v>192</v>
      </c>
      <c r="AK117" s="18">
        <v>1</v>
      </c>
      <c r="AL117" s="18" t="s">
        <v>20</v>
      </c>
      <c r="AM117" s="18">
        <v>140239.0183277778</v>
      </c>
      <c r="AN117" s="19">
        <v>140239.01832800001</v>
      </c>
      <c r="AX117" s="3" t="s">
        <v>85</v>
      </c>
      <c r="AY117" t="s">
        <v>86</v>
      </c>
      <c r="AZ117" t="s">
        <v>67</v>
      </c>
      <c r="BA117" s="10">
        <v>1.6</v>
      </c>
      <c r="BB117" t="s">
        <v>87</v>
      </c>
      <c r="BC117" s="10">
        <v>16965.837100000001</v>
      </c>
      <c r="BD117" s="4">
        <v>27145.339360000002</v>
      </c>
    </row>
    <row r="118" spans="15:56" ht="15" thickBot="1" x14ac:dyDescent="0.4">
      <c r="O118" s="3">
        <v>3</v>
      </c>
      <c r="P118" t="s">
        <v>331</v>
      </c>
      <c r="Q118" t="s">
        <v>332</v>
      </c>
      <c r="R118" t="s">
        <v>165</v>
      </c>
      <c r="S118" s="10">
        <v>1</v>
      </c>
      <c r="T118" t="s">
        <v>20</v>
      </c>
      <c r="U118" s="10">
        <v>76500</v>
      </c>
      <c r="V118" s="4">
        <v>76500</v>
      </c>
      <c r="AG118" s="22" t="s">
        <v>223</v>
      </c>
      <c r="AH118" s="23" t="s">
        <v>223</v>
      </c>
      <c r="AI118" s="23" t="s">
        <v>223</v>
      </c>
      <c r="AJ118" s="23" t="s">
        <v>223</v>
      </c>
      <c r="AK118" s="23" t="s">
        <v>223</v>
      </c>
      <c r="AL118" s="23" t="s">
        <v>223</v>
      </c>
      <c r="AM118" s="23" t="s">
        <v>224</v>
      </c>
      <c r="AN118" s="24">
        <v>477783.14019599999</v>
      </c>
      <c r="AX118" s="3" t="s">
        <v>242</v>
      </c>
      <c r="AY118" t="s">
        <v>243</v>
      </c>
      <c r="AZ118" t="s">
        <v>67</v>
      </c>
      <c r="BA118" s="10">
        <v>1.7</v>
      </c>
      <c r="BB118" t="s">
        <v>87</v>
      </c>
      <c r="BC118" s="10">
        <v>13910.2564</v>
      </c>
      <c r="BD118" s="4">
        <v>23647.435880000001</v>
      </c>
    </row>
    <row r="119" spans="15:56" x14ac:dyDescent="0.35">
      <c r="O119" s="3">
        <v>4</v>
      </c>
      <c r="P119" t="s">
        <v>184</v>
      </c>
      <c r="Q119" t="s">
        <v>185</v>
      </c>
      <c r="R119" t="s">
        <v>182</v>
      </c>
      <c r="S119" s="10">
        <v>2</v>
      </c>
      <c r="T119" t="s">
        <v>20</v>
      </c>
      <c r="U119" s="10">
        <v>1343.5953</v>
      </c>
      <c r="V119" s="4">
        <v>2687.1905999999999</v>
      </c>
      <c r="AX119" s="3" t="s">
        <v>246</v>
      </c>
      <c r="AY119" t="s">
        <v>247</v>
      </c>
      <c r="AZ119" t="s">
        <v>67</v>
      </c>
      <c r="BA119" s="10">
        <v>2</v>
      </c>
      <c r="BB119" t="s">
        <v>5</v>
      </c>
      <c r="BC119" s="10">
        <v>1995.2174833333329</v>
      </c>
      <c r="BD119" s="4">
        <v>3990.4349670000001</v>
      </c>
    </row>
    <row r="120" spans="15:56" x14ac:dyDescent="0.35">
      <c r="O120" s="3">
        <v>5</v>
      </c>
      <c r="P120" t="s">
        <v>187</v>
      </c>
      <c r="Q120" t="s">
        <v>188</v>
      </c>
      <c r="R120" t="s">
        <v>182</v>
      </c>
      <c r="S120" s="10">
        <v>6</v>
      </c>
      <c r="T120" t="s">
        <v>20</v>
      </c>
      <c r="U120" s="10">
        <v>3380.29</v>
      </c>
      <c r="V120" s="4">
        <v>20281.740000000002</v>
      </c>
      <c r="AX120" s="3" t="s">
        <v>250</v>
      </c>
      <c r="AY120" t="s">
        <v>251</v>
      </c>
      <c r="AZ120" t="s">
        <v>67</v>
      </c>
      <c r="BA120" s="10">
        <v>1</v>
      </c>
      <c r="BB120" t="s">
        <v>20</v>
      </c>
      <c r="BC120" s="10">
        <v>6000</v>
      </c>
      <c r="BD120" s="4">
        <v>6000</v>
      </c>
    </row>
    <row r="121" spans="15:56" x14ac:dyDescent="0.35">
      <c r="O121" s="3">
        <v>6</v>
      </c>
      <c r="P121" t="s">
        <v>190</v>
      </c>
      <c r="Q121" t="s">
        <v>191</v>
      </c>
      <c r="R121" t="s">
        <v>192</v>
      </c>
      <c r="S121" s="10">
        <v>3</v>
      </c>
      <c r="T121" t="s">
        <v>20</v>
      </c>
      <c r="U121" s="10">
        <v>140239.0183277778</v>
      </c>
      <c r="V121" s="4">
        <v>420717.05498299998</v>
      </c>
      <c r="AX121" s="3" t="s">
        <v>327</v>
      </c>
      <c r="AY121" t="s">
        <v>328</v>
      </c>
      <c r="AZ121" t="s">
        <v>67</v>
      </c>
      <c r="BA121" s="10">
        <v>1</v>
      </c>
      <c r="BB121" t="s">
        <v>5</v>
      </c>
      <c r="BC121" s="10">
        <v>3647.0239000000001</v>
      </c>
      <c r="BD121" s="4">
        <v>3647.0239000000001</v>
      </c>
    </row>
    <row r="122" spans="15:56" x14ac:dyDescent="0.35">
      <c r="O122" s="3">
        <v>7</v>
      </c>
      <c r="P122" t="s">
        <v>333</v>
      </c>
      <c r="Q122" t="s">
        <v>334</v>
      </c>
      <c r="R122" t="s">
        <v>192</v>
      </c>
      <c r="S122">
        <v>4</v>
      </c>
      <c r="T122" t="s">
        <v>20</v>
      </c>
      <c r="U122">
        <v>3666.670000000001</v>
      </c>
      <c r="V122" s="4">
        <v>14666.68</v>
      </c>
      <c r="AX122" s="3" t="s">
        <v>90</v>
      </c>
      <c r="AY122" t="s">
        <v>91</v>
      </c>
      <c r="AZ122" t="s">
        <v>67</v>
      </c>
      <c r="BA122" s="10">
        <v>3</v>
      </c>
      <c r="BB122" t="s">
        <v>5</v>
      </c>
      <c r="BC122" s="10">
        <v>3614.5832999999998</v>
      </c>
      <c r="BD122" s="4">
        <v>10843.749900000001</v>
      </c>
    </row>
    <row r="123" spans="15:56" ht="15" thickBot="1" x14ac:dyDescent="0.4">
      <c r="O123" s="11" t="s">
        <v>223</v>
      </c>
      <c r="P123" s="12" t="s">
        <v>223</v>
      </c>
      <c r="Q123" s="12" t="s">
        <v>223</v>
      </c>
      <c r="R123" s="12" t="s">
        <v>223</v>
      </c>
      <c r="S123" s="12" t="s">
        <v>223</v>
      </c>
      <c r="T123" s="12" t="s">
        <v>223</v>
      </c>
      <c r="U123" s="12" t="s">
        <v>224</v>
      </c>
      <c r="V123" s="13">
        <v>610595.57467400003</v>
      </c>
      <c r="AX123" s="3" t="s">
        <v>92</v>
      </c>
      <c r="AY123" t="s">
        <v>93</v>
      </c>
      <c r="AZ123" t="s">
        <v>67</v>
      </c>
      <c r="BA123" s="10">
        <v>27</v>
      </c>
      <c r="BB123" t="s">
        <v>94</v>
      </c>
      <c r="BC123" s="10">
        <v>17462.136500000001</v>
      </c>
      <c r="BD123" s="4">
        <v>471477.68550000002</v>
      </c>
    </row>
    <row r="124" spans="15:56" ht="15.5" thickTop="1" thickBot="1" x14ac:dyDescent="0.4">
      <c r="AX124" s="3" t="s">
        <v>100</v>
      </c>
      <c r="AY124" t="s">
        <v>101</v>
      </c>
      <c r="AZ124" t="s">
        <v>67</v>
      </c>
      <c r="BA124" s="10">
        <v>1.8</v>
      </c>
      <c r="BB124" t="s">
        <v>87</v>
      </c>
      <c r="BC124" s="10">
        <v>12500</v>
      </c>
      <c r="BD124" s="4">
        <v>22500</v>
      </c>
    </row>
    <row r="125" spans="15:56" ht="15" thickTop="1" x14ac:dyDescent="0.35">
      <c r="O125" s="88" t="s">
        <v>0</v>
      </c>
      <c r="P125" s="89"/>
      <c r="Q125" s="89"/>
      <c r="R125" s="89"/>
      <c r="S125" s="89"/>
      <c r="T125" s="1"/>
      <c r="U125" s="1"/>
      <c r="V125" s="2"/>
      <c r="AX125" s="3" t="s">
        <v>107</v>
      </c>
      <c r="AY125" t="s">
        <v>108</v>
      </c>
      <c r="AZ125" t="s">
        <v>67</v>
      </c>
      <c r="BA125">
        <v>2</v>
      </c>
      <c r="BB125" t="s">
        <v>5</v>
      </c>
      <c r="BC125">
        <v>15006.6692</v>
      </c>
      <c r="BD125" s="4">
        <v>30013.338400000001</v>
      </c>
    </row>
    <row r="126" spans="15:56" x14ac:dyDescent="0.35">
      <c r="O126" s="86" t="s">
        <v>1</v>
      </c>
      <c r="P126" s="87"/>
      <c r="Q126" s="87"/>
      <c r="R126" s="87"/>
      <c r="S126" s="87"/>
      <c r="V126" s="4"/>
      <c r="AX126" s="3" t="s">
        <v>329</v>
      </c>
      <c r="AY126" t="s">
        <v>330</v>
      </c>
      <c r="AZ126" t="s">
        <v>165</v>
      </c>
      <c r="BA126" s="10">
        <v>3</v>
      </c>
      <c r="BB126" t="s">
        <v>20</v>
      </c>
      <c r="BC126" s="10">
        <v>14950</v>
      </c>
      <c r="BD126" s="4">
        <v>44850</v>
      </c>
    </row>
    <row r="127" spans="15:56" x14ac:dyDescent="0.35">
      <c r="O127" s="3"/>
      <c r="V127" s="4"/>
      <c r="AX127" s="3" t="s">
        <v>290</v>
      </c>
      <c r="AY127" t="s">
        <v>291</v>
      </c>
      <c r="AZ127" t="s">
        <v>165</v>
      </c>
      <c r="BA127" s="10">
        <v>2</v>
      </c>
      <c r="BB127" t="s">
        <v>20</v>
      </c>
      <c r="BC127" s="10">
        <v>15446.45454545</v>
      </c>
      <c r="BD127" s="4">
        <v>30892.909091000001</v>
      </c>
    </row>
    <row r="128" spans="15:56" x14ac:dyDescent="0.35">
      <c r="O128" s="86" t="s">
        <v>10</v>
      </c>
      <c r="P128" s="87" t="s">
        <v>11</v>
      </c>
      <c r="Q128" t="s">
        <v>341</v>
      </c>
      <c r="V128" s="4"/>
      <c r="AX128" s="3" t="s">
        <v>331</v>
      </c>
      <c r="AY128" t="s">
        <v>332</v>
      </c>
      <c r="AZ128" t="s">
        <v>165</v>
      </c>
      <c r="BA128" s="10">
        <v>1</v>
      </c>
      <c r="BB128" t="s">
        <v>20</v>
      </c>
      <c r="BC128" s="10">
        <v>76500</v>
      </c>
      <c r="BD128" s="4">
        <v>76500</v>
      </c>
    </row>
    <row r="129" spans="15:56" x14ac:dyDescent="0.35">
      <c r="O129" s="86" t="s">
        <v>16</v>
      </c>
      <c r="P129" s="87" t="s">
        <v>11</v>
      </c>
      <c r="Q129" t="s">
        <v>17</v>
      </c>
      <c r="V129" s="4"/>
      <c r="AX129" s="3" t="s">
        <v>184</v>
      </c>
      <c r="AY129" t="s">
        <v>185</v>
      </c>
      <c r="AZ129" t="s">
        <v>182</v>
      </c>
      <c r="BA129" s="10">
        <v>2</v>
      </c>
      <c r="BB129" t="s">
        <v>20</v>
      </c>
      <c r="BC129" s="10">
        <v>1343.5953</v>
      </c>
      <c r="BD129" s="4">
        <v>2687.1905999999999</v>
      </c>
    </row>
    <row r="130" spans="15:56" x14ac:dyDescent="0.35">
      <c r="O130" s="86" t="s">
        <v>21</v>
      </c>
      <c r="P130" s="87" t="s">
        <v>11</v>
      </c>
      <c r="Q130" t="s">
        <v>301</v>
      </c>
      <c r="V130" s="4"/>
      <c r="AX130" s="3" t="s">
        <v>187</v>
      </c>
      <c r="AY130" t="s">
        <v>188</v>
      </c>
      <c r="AZ130" t="s">
        <v>182</v>
      </c>
      <c r="BA130" s="10">
        <v>6</v>
      </c>
      <c r="BB130" t="s">
        <v>20</v>
      </c>
      <c r="BC130" s="10">
        <v>3380.29</v>
      </c>
      <c r="BD130" s="4">
        <v>20281.740000000002</v>
      </c>
    </row>
    <row r="131" spans="15:56" x14ac:dyDescent="0.35">
      <c r="O131" s="86" t="s">
        <v>26</v>
      </c>
      <c r="P131" s="87" t="s">
        <v>11</v>
      </c>
      <c r="Q131" t="s">
        <v>342</v>
      </c>
      <c r="V131" s="4"/>
      <c r="AX131" s="3" t="s">
        <v>190</v>
      </c>
      <c r="AY131" t="s">
        <v>191</v>
      </c>
      <c r="AZ131" t="s">
        <v>192</v>
      </c>
      <c r="BA131" s="10">
        <v>3</v>
      </c>
      <c r="BB131" t="s">
        <v>20</v>
      </c>
      <c r="BC131" s="10">
        <v>140239.0183277778</v>
      </c>
      <c r="BD131" s="4">
        <v>420717.05498299998</v>
      </c>
    </row>
    <row r="132" spans="15:56" x14ac:dyDescent="0.35">
      <c r="O132" s="86" t="s">
        <v>31</v>
      </c>
      <c r="P132" s="87" t="s">
        <v>11</v>
      </c>
      <c r="Q132" t="s">
        <v>109</v>
      </c>
      <c r="V132" s="4"/>
      <c r="AX132" s="3" t="s">
        <v>333</v>
      </c>
      <c r="AY132" t="s">
        <v>334</v>
      </c>
      <c r="AZ132" t="s">
        <v>192</v>
      </c>
      <c r="BA132">
        <v>4</v>
      </c>
      <c r="BB132" t="s">
        <v>20</v>
      </c>
      <c r="BC132">
        <v>3666.670000000001</v>
      </c>
      <c r="BD132" s="4">
        <v>14666.68</v>
      </c>
    </row>
    <row r="133" spans="15:56" x14ac:dyDescent="0.35">
      <c r="O133" s="86" t="s">
        <v>35</v>
      </c>
      <c r="P133" s="87" t="s">
        <v>11</v>
      </c>
      <c r="Q133" t="s">
        <v>343</v>
      </c>
      <c r="V133" s="4"/>
      <c r="AX133" s="3" t="s">
        <v>68</v>
      </c>
      <c r="AY133" t="s">
        <v>69</v>
      </c>
      <c r="AZ133" t="s">
        <v>67</v>
      </c>
      <c r="BA133" s="10">
        <v>0.08</v>
      </c>
      <c r="BB133" t="s">
        <v>5</v>
      </c>
      <c r="BC133" s="10">
        <v>16501.606</v>
      </c>
      <c r="BD133" s="4">
        <v>1320.1284800000001</v>
      </c>
    </row>
    <row r="134" spans="15:56" ht="15" thickBot="1" x14ac:dyDescent="0.4">
      <c r="O134" s="3"/>
      <c r="V134" s="4"/>
      <c r="AX134" s="11" t="s">
        <v>254</v>
      </c>
      <c r="AY134" s="12" t="s">
        <v>255</v>
      </c>
      <c r="AZ134" s="12" t="s">
        <v>67</v>
      </c>
      <c r="BA134" s="12">
        <v>4.9000000000000004</v>
      </c>
      <c r="BB134" s="12" t="s">
        <v>5</v>
      </c>
      <c r="BC134" s="12">
        <v>7896.5517</v>
      </c>
      <c r="BD134" s="13">
        <v>38693.103329999998</v>
      </c>
    </row>
    <row r="135" spans="15:56" ht="15" thickTop="1" x14ac:dyDescent="0.35">
      <c r="O135" s="3" t="s">
        <v>42</v>
      </c>
      <c r="P135" t="s">
        <v>43</v>
      </c>
      <c r="Q135" t="s">
        <v>44</v>
      </c>
      <c r="R135" t="s">
        <v>45</v>
      </c>
      <c r="S135" t="s">
        <v>46</v>
      </c>
      <c r="T135" t="s">
        <v>47</v>
      </c>
      <c r="U135" t="s">
        <v>48</v>
      </c>
      <c r="V135" s="4" t="s">
        <v>49</v>
      </c>
    </row>
    <row r="136" spans="15:56" x14ac:dyDescent="0.35">
      <c r="O136" s="3">
        <v>1</v>
      </c>
      <c r="P136" t="s">
        <v>68</v>
      </c>
      <c r="Q136" t="s">
        <v>69</v>
      </c>
      <c r="R136" t="s">
        <v>67</v>
      </c>
      <c r="S136" s="10">
        <v>0.08</v>
      </c>
      <c r="T136" t="s">
        <v>5</v>
      </c>
      <c r="U136" s="10">
        <v>16501.606</v>
      </c>
      <c r="V136" s="4">
        <v>1320.1284800000001</v>
      </c>
    </row>
    <row r="137" spans="15:56" x14ac:dyDescent="0.35">
      <c r="O137" s="3">
        <v>2</v>
      </c>
      <c r="P137" t="s">
        <v>254</v>
      </c>
      <c r="Q137" t="s">
        <v>255</v>
      </c>
      <c r="R137" t="s">
        <v>67</v>
      </c>
      <c r="S137">
        <v>4.9000000000000004</v>
      </c>
      <c r="T137" t="s">
        <v>5</v>
      </c>
      <c r="U137">
        <v>7896.5517</v>
      </c>
      <c r="V137" s="4">
        <v>38693.103329999998</v>
      </c>
    </row>
    <row r="138" spans="15:56" ht="15" thickBot="1" x14ac:dyDescent="0.4">
      <c r="O138" s="11" t="s">
        <v>223</v>
      </c>
      <c r="P138" s="12" t="s">
        <v>223</v>
      </c>
      <c r="Q138" s="12" t="s">
        <v>223</v>
      </c>
      <c r="R138" s="12" t="s">
        <v>223</v>
      </c>
      <c r="S138" s="12" t="s">
        <v>223</v>
      </c>
      <c r="T138" s="12" t="s">
        <v>223</v>
      </c>
      <c r="U138" s="12" t="s">
        <v>224</v>
      </c>
      <c r="V138" s="13">
        <v>40013.231809999997</v>
      </c>
    </row>
    <row r="139" spans="15:56" ht="15" thickTop="1" x14ac:dyDescent="0.35"/>
  </sheetData>
  <mergeCells count="72">
    <mergeCell ref="O18:P18"/>
    <mergeCell ref="O9:S9"/>
    <mergeCell ref="O12:S12"/>
    <mergeCell ref="O15:P15"/>
    <mergeCell ref="O16:P16"/>
    <mergeCell ref="O17:P17"/>
    <mergeCell ref="O19:P19"/>
    <mergeCell ref="O20:P20"/>
    <mergeCell ref="O46:S46"/>
    <mergeCell ref="O47:S47"/>
    <mergeCell ref="O49:P49"/>
    <mergeCell ref="AG15:AH15"/>
    <mergeCell ref="O112:P112"/>
    <mergeCell ref="O113:P113"/>
    <mergeCell ref="O125:S125"/>
    <mergeCell ref="O126:S126"/>
    <mergeCell ref="O105:S105"/>
    <mergeCell ref="O106:S106"/>
    <mergeCell ref="O108:P108"/>
    <mergeCell ref="O109:P109"/>
    <mergeCell ref="O110:P110"/>
    <mergeCell ref="O111:P111"/>
    <mergeCell ref="O79:P79"/>
    <mergeCell ref="O80:P80"/>
    <mergeCell ref="O81:P81"/>
    <mergeCell ref="O82:P82"/>
    <mergeCell ref="O83:P83"/>
    <mergeCell ref="AG9:AK9"/>
    <mergeCell ref="AG10:AK10"/>
    <mergeCell ref="AG12:AH12"/>
    <mergeCell ref="AG13:AH13"/>
    <mergeCell ref="AG14:AH14"/>
    <mergeCell ref="AG39:AH39"/>
    <mergeCell ref="O130:P130"/>
    <mergeCell ref="O131:P131"/>
    <mergeCell ref="O132:P132"/>
    <mergeCell ref="O133:P133"/>
    <mergeCell ref="O128:P128"/>
    <mergeCell ref="O129:P129"/>
    <mergeCell ref="O84:P84"/>
    <mergeCell ref="O51:P51"/>
    <mergeCell ref="O52:P52"/>
    <mergeCell ref="O53:P53"/>
    <mergeCell ref="O54:P54"/>
    <mergeCell ref="O76:S76"/>
    <mergeCell ref="O77:S77"/>
    <mergeCell ref="O50:P50"/>
    <mergeCell ref="AG72:AH72"/>
    <mergeCell ref="AG16:AH16"/>
    <mergeCell ref="AG17:AH17"/>
    <mergeCell ref="AG35:AK35"/>
    <mergeCell ref="AG36:AK36"/>
    <mergeCell ref="AG38:AH38"/>
    <mergeCell ref="AG40:AH40"/>
    <mergeCell ref="AG41:AH41"/>
    <mergeCell ref="AG42:AH42"/>
    <mergeCell ref="AG43:AH43"/>
    <mergeCell ref="AG64:AK64"/>
    <mergeCell ref="AG65:AK65"/>
    <mergeCell ref="AG67:AH67"/>
    <mergeCell ref="AG68:AH68"/>
    <mergeCell ref="AG69:AH69"/>
    <mergeCell ref="AG70:AH70"/>
    <mergeCell ref="AG71:AH71"/>
    <mergeCell ref="AG105:AH105"/>
    <mergeCell ref="AG106:AH106"/>
    <mergeCell ref="AG98:AK98"/>
    <mergeCell ref="AG99:AK99"/>
    <mergeCell ref="AG101:AH101"/>
    <mergeCell ref="AG102:AH102"/>
    <mergeCell ref="AG103:AH103"/>
    <mergeCell ref="AG104:AH104"/>
  </mergeCells>
  <conditionalFormatting sqref="J13:J94">
    <cfRule type="containsText" dxfId="56" priority="6" operator="containsText" text="TIDAK ADA PERUBAHAN">
      <formula>NOT(ISERROR(SEARCH("TIDAK ADA PERUBAHAN",J13)))</formula>
    </cfRule>
    <cfRule type="containsText" dxfId="55" priority="7" operator="containsText" text="PENURUNAN IU">
      <formula>NOT(ISERROR(SEARCH("PENURUNAN IU",J13)))</formula>
    </cfRule>
    <cfRule type="containsText" dxfId="54" priority="8" operator="containsText" text="KENAIKAN IU">
      <formula>NOT(ISERROR(SEARCH("KENAIKAN IU",J13)))</formula>
    </cfRule>
  </conditionalFormatting>
  <conditionalFormatting sqref="A13:I94">
    <cfRule type="expression" dxfId="53" priority="5">
      <formula>CELL("row")=ROW()</formula>
    </cfRule>
  </conditionalFormatting>
  <conditionalFormatting sqref="K13:K94">
    <cfRule type="expression" dxfId="1" priority="4">
      <formula>CELL("row")=ROW()</formula>
    </cfRule>
  </conditionalFormatting>
  <conditionalFormatting sqref="H13:H94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5:F9">
    <cfRule type="expression" dxfId="52" priority="2">
      <formula>CELL("row")=ROW()</formula>
    </cfRule>
  </conditionalFormatting>
  <conditionalFormatting sqref="H5:J9">
    <cfRule type="expression" dxfId="51" priority="1">
      <formula>CELL("row")=ROW()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F07AD-6300-4CFC-82FB-117892214571}">
  <sheetPr codeName="Sheet3"/>
  <dimension ref="A3:BC172"/>
  <sheetViews>
    <sheetView showGridLines="0" topLeftCell="A3" zoomScale="70" zoomScaleNormal="70" workbookViewId="0">
      <pane xSplit="11" ySplit="10" topLeftCell="L68" activePane="bottomRight" state="frozen"/>
      <selection activeCell="A3" sqref="A3"/>
      <selection pane="topRight" activeCell="L3" sqref="L3"/>
      <selection pane="bottomLeft" activeCell="A13" sqref="A13"/>
      <selection pane="bottomRight" activeCell="J68" sqref="J68"/>
    </sheetView>
  </sheetViews>
  <sheetFormatPr defaultRowHeight="14.5" x14ac:dyDescent="0.35"/>
  <cols>
    <col min="1" max="1" width="10.81640625" bestFit="1" customWidth="1"/>
    <col min="2" max="2" width="52.7265625" bestFit="1" customWidth="1"/>
    <col min="3" max="3" width="30.1796875" bestFit="1" customWidth="1"/>
    <col min="4" max="4" width="11.08984375" customWidth="1"/>
    <col min="5" max="5" width="30.36328125" bestFit="1" customWidth="1"/>
    <col min="7" max="7" width="12.453125" bestFit="1" customWidth="1"/>
    <col min="8" max="8" width="11.08984375" customWidth="1"/>
    <col min="9" max="9" width="21.36328125" customWidth="1"/>
    <col min="10" max="10" width="18.90625" bestFit="1" customWidth="1"/>
    <col min="11" max="11" width="51.81640625" customWidth="1"/>
  </cols>
  <sheetData>
    <row r="3" spans="1:55" ht="15" thickBot="1" x14ac:dyDescent="0.4">
      <c r="D3" s="61" t="s">
        <v>863</v>
      </c>
      <c r="E3" s="61"/>
      <c r="F3" s="61"/>
      <c r="H3" s="65" t="s">
        <v>869</v>
      </c>
      <c r="I3" s="65"/>
      <c r="J3" s="65"/>
    </row>
    <row r="4" spans="1:55" ht="15" thickTop="1" x14ac:dyDescent="0.35">
      <c r="D4" s="62" t="s">
        <v>864</v>
      </c>
      <c r="E4" s="62" t="s">
        <v>865</v>
      </c>
      <c r="F4" s="62" t="s">
        <v>866</v>
      </c>
      <c r="H4" s="62" t="s">
        <v>864</v>
      </c>
      <c r="I4" s="62" t="s">
        <v>865</v>
      </c>
      <c r="J4" s="62" t="s">
        <v>866</v>
      </c>
    </row>
    <row r="5" spans="1:55" x14ac:dyDescent="0.35">
      <c r="D5" s="63" t="str">
        <f>INDEX($A$12:$A$100, MATCH(F5, $H$12:$H$100, 0))</f>
        <v>CECM0012</v>
      </c>
      <c r="E5" s="63" t="str">
        <f>INDEX($B$12:$B$100, MATCH(F5, $H$12:$H$100, 0))</f>
        <v>NOBLA LIQUID 20 L</v>
      </c>
      <c r="F5" s="63">
        <f>LARGE($H$12:$H$100, ROW(A1))</f>
        <v>14.74</v>
      </c>
      <c r="H5" s="63" t="str" cm="1">
        <f t="array" ref="H5">INDEX($A$12:$A$100, SMALL(IF($H$12:$H$100=J5, ROW($H$12:$H$100)-ROW($H$12)+1), COUNTIF($J$5:J5, J5)))</f>
        <v>MKT00032</v>
      </c>
      <c r="I5" s="63" t="str" cm="1">
        <f t="array" ref="I5">INDEX($B$12:$B$100, SMALL(IF($H$12:$H$100=J5, ROW($H$12:$H$100)-ROW($H$12)+1), COUNTIF($J$5:J5, J5)))</f>
        <v>FLYER A5</v>
      </c>
      <c r="J5" s="63">
        <f>SMALL($H$12:$H$100, ROW(A1))</f>
        <v>-700</v>
      </c>
    </row>
    <row r="6" spans="1:55" x14ac:dyDescent="0.35">
      <c r="D6" s="63" t="str">
        <f t="shared" ref="D6:D9" si="0">INDEX($A$12:$A$100, MATCH(F6, $H$12:$H$100, 0))</f>
        <v>OTH00208</v>
      </c>
      <c r="E6" s="63" t="str">
        <f t="shared" ref="E6:E9" si="1">INDEX($B$12:$B$100, MATCH(F6, $H$12:$H$100, 0))</f>
        <v>STICKER PIPI MERAH PUTIH</v>
      </c>
      <c r="F6" s="63">
        <f t="shared" ref="F6:F9" si="2">LARGE($H$12:$H$100, ROW(A2))</f>
        <v>12</v>
      </c>
      <c r="H6" s="63" t="str" cm="1">
        <f t="array" ref="H6">INDEX($A$12:$A$100, SMALL(IF($H$12:$H$100=J6, ROW($H$12:$H$100)-ROW($H$12)+1), COUNTIF($J$5:J6, J6)))</f>
        <v>NCGS0001</v>
      </c>
      <c r="I6" s="63" t="str" cm="1">
        <f t="array" ref="I6">INDEX($B$12:$B$100, SMALL(IF($H$12:$H$100=J6, ROW($H$12:$H$100)-ROW($H$12)+1), COUNTIF($J$5:J6, J6)))</f>
        <v>TISSUE COCKTAIL NAPKIN 11x11 (48 PACK)</v>
      </c>
      <c r="J6" s="63">
        <f t="shared" ref="J6:J9" si="3">SMALL($H$12:$H$100, ROW(A2))</f>
        <v>-165</v>
      </c>
    </row>
    <row r="7" spans="1:55" x14ac:dyDescent="0.35">
      <c r="D7" s="63" t="str">
        <f t="shared" si="0"/>
        <v>STA00099</v>
      </c>
      <c r="E7" s="63" t="str">
        <f t="shared" si="1"/>
        <v>BUSINESS FILE</v>
      </c>
      <c r="F7" s="63">
        <f t="shared" si="2"/>
        <v>11</v>
      </c>
      <c r="H7" s="63" t="str" cm="1">
        <f t="array" ref="H7">INDEX($A$12:$A$100, SMALL(IF($H$12:$H$100=J7, ROW($H$12:$H$100)-ROW($H$12)+1), COUNTIF($J$5:J7, J7)))</f>
        <v>NCGK0006</v>
      </c>
      <c r="I7" s="63" t="str" cm="1">
        <f t="array" ref="I7">INDEX($B$12:$B$100, SMALL(IF($H$12:$H$100=J7, ROW($H$12:$H$100)-ROW($H$12)+1), COUNTIF($J$5:J7, J7)))</f>
        <v>TISSUE SEE-U HANDTOWELS @ 20 PACK</v>
      </c>
      <c r="J7" s="63">
        <f t="shared" si="3"/>
        <v>-64</v>
      </c>
    </row>
    <row r="8" spans="1:55" ht="15" thickBot="1" x14ac:dyDescent="0.4">
      <c r="D8" s="63" t="str">
        <f t="shared" si="0"/>
        <v>STA00099</v>
      </c>
      <c r="E8" s="63" t="str">
        <f t="shared" si="1"/>
        <v>BUSINESS FILE</v>
      </c>
      <c r="F8" s="63">
        <f t="shared" si="2"/>
        <v>11</v>
      </c>
      <c r="H8" s="63" t="str" cm="1">
        <f t="array" ref="H8">INDEX($A$12:$A$100, SMALL(IF($H$12:$H$100=J8, ROW($H$12:$H$100)-ROW($H$12)+1), COUNTIF($J$5:J8, J8)))</f>
        <v>NCGK0009</v>
      </c>
      <c r="I8" s="63" t="str" cm="1">
        <f t="array" ref="I8">INDEX($B$12:$B$100, SMALL(IF($H$12:$H$100=J8, ROW($H$12:$H$100)-ROW($H$12)+1), COUNTIF($J$5:J8, J8)))</f>
        <v>PLASTIK PE 10 KG 40 x 60</v>
      </c>
      <c r="J8" s="63">
        <f t="shared" si="3"/>
        <v>-49</v>
      </c>
    </row>
    <row r="9" spans="1:55" ht="15.5" thickTop="1" thickBot="1" x14ac:dyDescent="0.4">
      <c r="D9" s="64" t="str">
        <f t="shared" si="0"/>
        <v>TGW00012</v>
      </c>
      <c r="E9" s="64" t="str">
        <f t="shared" si="1"/>
        <v>SAUCER SAUCE MANGKUK SAUS P3</v>
      </c>
      <c r="F9" s="64">
        <f t="shared" si="2"/>
        <v>10</v>
      </c>
      <c r="H9" s="64" t="str" cm="1">
        <f t="array" ref="H9">INDEX($A$12:$A$100, SMALL(IF($H$12:$H$100=J9, ROW($H$12:$H$100)-ROW($H$12)+1), COUNTIF($J$5:J9, J9)))</f>
        <v>OTH00073</v>
      </c>
      <c r="I9" s="64" t="str" cm="1">
        <f t="array" ref="I9">INDEX($B$12:$B$100, SMALL(IF($H$12:$H$100=J9, ROW($H$12:$H$100)-ROW($H$12)+1), COUNTIF($J$5:J9, J9)))</f>
        <v>MASKER</v>
      </c>
      <c r="J9" s="64">
        <f t="shared" si="3"/>
        <v>-37</v>
      </c>
      <c r="O9" s="88" t="s">
        <v>0</v>
      </c>
      <c r="P9" s="89"/>
      <c r="Q9" s="89"/>
      <c r="R9" s="89"/>
      <c r="S9" s="89"/>
      <c r="T9" s="1"/>
      <c r="U9" s="1"/>
      <c r="V9" s="2"/>
      <c r="AF9" s="84" t="s">
        <v>0</v>
      </c>
      <c r="AG9" s="85"/>
      <c r="AH9" s="85"/>
      <c r="AI9" s="85"/>
      <c r="AJ9" s="85"/>
      <c r="AK9" s="16"/>
      <c r="AL9" s="16"/>
      <c r="AM9" s="17"/>
      <c r="AO9" s="25" t="s">
        <v>65</v>
      </c>
      <c r="AP9" s="16" t="s">
        <v>66</v>
      </c>
      <c r="AQ9" s="16" t="s">
        <v>67</v>
      </c>
      <c r="AR9" s="26">
        <v>12</v>
      </c>
      <c r="AS9" s="16" t="s">
        <v>20</v>
      </c>
      <c r="AT9" s="26">
        <v>320</v>
      </c>
      <c r="AU9" s="17">
        <v>3840</v>
      </c>
      <c r="AW9" s="25" t="s">
        <v>65</v>
      </c>
      <c r="AX9" s="16" t="s">
        <v>66</v>
      </c>
      <c r="AY9" s="16" t="s">
        <v>67</v>
      </c>
      <c r="AZ9" s="26">
        <v>12</v>
      </c>
      <c r="BA9" s="16" t="s">
        <v>20</v>
      </c>
      <c r="BB9" s="26">
        <v>320</v>
      </c>
      <c r="BC9" s="17">
        <v>3840</v>
      </c>
    </row>
    <row r="10" spans="1:55" ht="21.5" thickTop="1" x14ac:dyDescent="0.5">
      <c r="B10" s="14" t="s">
        <v>841</v>
      </c>
      <c r="O10" s="86" t="s">
        <v>1</v>
      </c>
      <c r="P10" s="87"/>
      <c r="Q10" s="87"/>
      <c r="R10" s="87"/>
      <c r="S10" s="87"/>
      <c r="V10" s="4"/>
      <c r="X10" s="7" t="s">
        <v>65</v>
      </c>
      <c r="Y10" s="1" t="s">
        <v>66</v>
      </c>
      <c r="Z10" s="1" t="s">
        <v>67</v>
      </c>
      <c r="AA10" s="8">
        <v>16</v>
      </c>
      <c r="AB10" s="1" t="s">
        <v>20</v>
      </c>
      <c r="AC10" s="8">
        <v>320</v>
      </c>
      <c r="AD10" s="2">
        <v>5120</v>
      </c>
      <c r="AF10" s="82" t="s">
        <v>1</v>
      </c>
      <c r="AG10" s="83"/>
      <c r="AH10" s="83"/>
      <c r="AI10" s="83"/>
      <c r="AJ10" s="83"/>
      <c r="AK10" s="18"/>
      <c r="AL10" s="18"/>
      <c r="AM10" s="19"/>
      <c r="AO10" s="20" t="s">
        <v>386</v>
      </c>
      <c r="AP10" s="18" t="s">
        <v>387</v>
      </c>
      <c r="AQ10" s="18" t="s">
        <v>67</v>
      </c>
      <c r="AR10" s="21">
        <v>0.1</v>
      </c>
      <c r="AS10" s="18" t="s">
        <v>5</v>
      </c>
      <c r="AT10" s="21">
        <v>8500</v>
      </c>
      <c r="AU10" s="19">
        <v>850</v>
      </c>
      <c r="AW10" s="20" t="s">
        <v>386</v>
      </c>
      <c r="AX10" s="18" t="s">
        <v>387</v>
      </c>
      <c r="AY10" s="18" t="s">
        <v>67</v>
      </c>
      <c r="AZ10" s="21">
        <v>0.1</v>
      </c>
      <c r="BA10" s="18" t="s">
        <v>5</v>
      </c>
      <c r="BB10" s="21">
        <v>8500</v>
      </c>
      <c r="BC10" s="19">
        <v>850</v>
      </c>
    </row>
    <row r="11" spans="1:55" ht="15" thickBot="1" x14ac:dyDescent="0.4">
      <c r="O11" s="3"/>
      <c r="V11" s="4"/>
      <c r="X11" s="3" t="s">
        <v>355</v>
      </c>
      <c r="Y11" t="s">
        <v>356</v>
      </c>
      <c r="Z11" t="s">
        <v>67</v>
      </c>
      <c r="AA11" s="10">
        <v>1</v>
      </c>
      <c r="AB11" t="s">
        <v>160</v>
      </c>
      <c r="AC11" s="10">
        <v>4041.6667000000002</v>
      </c>
      <c r="AD11" s="4">
        <v>4041.6667000000002</v>
      </c>
      <c r="AF11" s="20"/>
      <c r="AG11" s="18"/>
      <c r="AH11" s="18"/>
      <c r="AI11" s="18"/>
      <c r="AJ11" s="18"/>
      <c r="AK11" s="18"/>
      <c r="AL11" s="18"/>
      <c r="AM11" s="19"/>
      <c r="AO11" s="20" t="s">
        <v>479</v>
      </c>
      <c r="AP11" s="18" t="s">
        <v>480</v>
      </c>
      <c r="AQ11" s="18" t="s">
        <v>67</v>
      </c>
      <c r="AR11" s="21">
        <v>1</v>
      </c>
      <c r="AS11" s="18" t="s">
        <v>20</v>
      </c>
      <c r="AT11" s="21">
        <v>18500</v>
      </c>
      <c r="AU11" s="19">
        <v>18500</v>
      </c>
      <c r="AW11" s="20" t="s">
        <v>479</v>
      </c>
      <c r="AX11" s="18" t="s">
        <v>480</v>
      </c>
      <c r="AY11" s="18" t="s">
        <v>67</v>
      </c>
      <c r="AZ11" s="21">
        <v>1</v>
      </c>
      <c r="BA11" s="18" t="s">
        <v>20</v>
      </c>
      <c r="BB11" s="21">
        <v>18500</v>
      </c>
      <c r="BC11" s="19">
        <v>18500</v>
      </c>
    </row>
    <row r="12" spans="1:55" ht="30" customHeight="1" thickTop="1" thickBot="1" x14ac:dyDescent="0.4">
      <c r="A12" s="33" t="s">
        <v>200</v>
      </c>
      <c r="B12" s="34" t="s">
        <v>201</v>
      </c>
      <c r="C12" s="34" t="s">
        <v>202</v>
      </c>
      <c r="D12" s="34" t="s">
        <v>203</v>
      </c>
      <c r="E12" s="34" t="s">
        <v>204</v>
      </c>
      <c r="F12" s="37" t="s">
        <v>822</v>
      </c>
      <c r="G12" s="37" t="s">
        <v>470</v>
      </c>
      <c r="H12" s="37" t="s">
        <v>207</v>
      </c>
      <c r="I12" s="34" t="s">
        <v>208</v>
      </c>
      <c r="J12" s="34" t="s">
        <v>209</v>
      </c>
      <c r="K12" s="36" t="s">
        <v>861</v>
      </c>
      <c r="O12" s="86" t="s">
        <v>10</v>
      </c>
      <c r="P12" s="87" t="s">
        <v>11</v>
      </c>
      <c r="Q12" t="s">
        <v>385</v>
      </c>
      <c r="V12" s="4"/>
      <c r="X12" s="3" t="s">
        <v>386</v>
      </c>
      <c r="Y12" t="s">
        <v>387</v>
      </c>
      <c r="Z12" t="s">
        <v>67</v>
      </c>
      <c r="AA12" s="10">
        <v>0.1</v>
      </c>
      <c r="AB12" t="s">
        <v>5</v>
      </c>
      <c r="AC12" s="10">
        <v>8500</v>
      </c>
      <c r="AD12" s="4">
        <v>850</v>
      </c>
      <c r="AF12" s="82" t="s">
        <v>10</v>
      </c>
      <c r="AG12" s="83" t="s">
        <v>11</v>
      </c>
      <c r="AH12" s="18" t="s">
        <v>450</v>
      </c>
      <c r="AI12" s="18"/>
      <c r="AJ12" s="18"/>
      <c r="AK12" s="18"/>
      <c r="AL12" s="18"/>
      <c r="AM12" s="19"/>
      <c r="AO12" s="20" t="s">
        <v>70</v>
      </c>
      <c r="AP12" s="18" t="s">
        <v>71</v>
      </c>
      <c r="AQ12" s="18" t="s">
        <v>67</v>
      </c>
      <c r="AR12" s="21">
        <v>4</v>
      </c>
      <c r="AS12" s="18" t="s">
        <v>5</v>
      </c>
      <c r="AT12" s="21">
        <v>10790.8231</v>
      </c>
      <c r="AU12" s="19">
        <v>43163.292399999998</v>
      </c>
      <c r="AW12" s="20" t="s">
        <v>70</v>
      </c>
      <c r="AX12" s="18" t="s">
        <v>71</v>
      </c>
      <c r="AY12" s="18" t="s">
        <v>67</v>
      </c>
      <c r="AZ12" s="21">
        <v>4</v>
      </c>
      <c r="BA12" s="18" t="s">
        <v>5</v>
      </c>
      <c r="BB12" s="21">
        <v>10790.8231</v>
      </c>
      <c r="BC12" s="19">
        <v>43163.292399999998</v>
      </c>
    </row>
    <row r="13" spans="1:55" ht="15" thickTop="1" x14ac:dyDescent="0.35">
      <c r="A13" s="38" t="str" cm="1">
        <f t="array" ref="A13:A123">_xlfn.UNIQUE(_xlfn._xlws.FILTER(AW9:AW307, AW9:AW307 &lt;&gt; ""))</f>
        <v>STA00003</v>
      </c>
      <c r="B13" s="31" t="str">
        <f>_xlfn.XLOOKUP(A13, AW$9:AW$307, AX$9:AX$307, "", 0)</f>
        <v>AMPLOP COKLAT</v>
      </c>
      <c r="C13" s="31" t="str">
        <f>_xlfn.XLOOKUP(A13, AW$9:AW$307, AY$9:AY$307, "", 0)</f>
        <v>STATIONARY AND OFFICE SUPPLIES</v>
      </c>
      <c r="D13" s="39" t="str">
        <f>_xlfn.XLOOKUP(A13, AW$9:AW$307, BA$9:BA$307, "", 0)</f>
        <v>pcs</v>
      </c>
      <c r="E13" s="40">
        <f>ROUND(_xlfn.XLOOKUP(A13, AW$9:AW$307, BB$9:BB$307, "", 0),2)</f>
        <v>320</v>
      </c>
      <c r="F13" s="41">
        <f>_xlfn.XLOOKUP(A13, X$10:X$307, AA$10:AA$307, "0", 0)</f>
        <v>16</v>
      </c>
      <c r="G13" s="41">
        <f>_xlfn.XLOOKUP(A13, AO$9:AO$307, AR$9:AR$307, "0", 0)</f>
        <v>12</v>
      </c>
      <c r="H13" s="41">
        <f>G13-F13</f>
        <v>-4</v>
      </c>
      <c r="I13" s="40">
        <f>H13*E13</f>
        <v>-1280</v>
      </c>
      <c r="J13" s="31" t="str">
        <f>CHOOSE(SIGN(G13 - F13) + 2, "Penurunan IU", "Tidak Ada Perubahan", "Kenaikan IU")</f>
        <v>Penurunan IU</v>
      </c>
      <c r="K13" s="42"/>
      <c r="O13" s="86" t="s">
        <v>16</v>
      </c>
      <c r="P13" s="87" t="s">
        <v>11</v>
      </c>
      <c r="Q13" t="s">
        <v>17</v>
      </c>
      <c r="V13" s="4"/>
      <c r="X13" s="3" t="s">
        <v>388</v>
      </c>
      <c r="Y13" t="s">
        <v>389</v>
      </c>
      <c r="Z13" t="s">
        <v>67</v>
      </c>
      <c r="AA13" s="10">
        <v>17</v>
      </c>
      <c r="AB13" t="s">
        <v>20</v>
      </c>
      <c r="AC13" s="10">
        <v>2639</v>
      </c>
      <c r="AD13" s="4">
        <v>44863</v>
      </c>
      <c r="AF13" s="82" t="s">
        <v>16</v>
      </c>
      <c r="AG13" s="83" t="s">
        <v>11</v>
      </c>
      <c r="AH13" s="18" t="s">
        <v>211</v>
      </c>
      <c r="AI13" s="18"/>
      <c r="AJ13" s="18"/>
      <c r="AK13" s="18"/>
      <c r="AL13" s="18"/>
      <c r="AM13" s="19"/>
      <c r="AO13" s="20" t="s">
        <v>230</v>
      </c>
      <c r="AP13" s="18" t="s">
        <v>231</v>
      </c>
      <c r="AQ13" s="18" t="s">
        <v>67</v>
      </c>
      <c r="AR13" s="21">
        <v>3</v>
      </c>
      <c r="AS13" s="18" t="s">
        <v>5</v>
      </c>
      <c r="AT13" s="21">
        <v>17280</v>
      </c>
      <c r="AU13" s="19">
        <v>51840</v>
      </c>
      <c r="AW13" s="20" t="s">
        <v>230</v>
      </c>
      <c r="AX13" s="18" t="s">
        <v>231</v>
      </c>
      <c r="AY13" s="18" t="s">
        <v>67</v>
      </c>
      <c r="AZ13" s="21">
        <v>3</v>
      </c>
      <c r="BA13" s="18" t="s">
        <v>5</v>
      </c>
      <c r="BB13" s="21">
        <v>17280</v>
      </c>
      <c r="BC13" s="19">
        <v>51840</v>
      </c>
    </row>
    <row r="14" spans="1:55" x14ac:dyDescent="0.35">
      <c r="A14" s="38" t="str">
        <v>STA00015</v>
      </c>
      <c r="B14" s="31" t="str">
        <f t="shared" ref="B14:B77" si="4">_xlfn.XLOOKUP(A14, AW$9:AW$307, AX$9:AX$307, "", 0)</f>
        <v>POST IT 654</v>
      </c>
      <c r="C14" s="31" t="str">
        <f t="shared" ref="C14:C77" si="5">_xlfn.XLOOKUP(A14, AW$9:AW$307, AY$9:AY$307, "", 0)</f>
        <v>STATIONARY AND OFFICE SUPPLIES</v>
      </c>
      <c r="D14" s="39" t="str">
        <f t="shared" ref="D14:D77" si="6">_xlfn.XLOOKUP(A14, AW$9:AW$307, BA$9:BA$307, "", 0)</f>
        <v>pack</v>
      </c>
      <c r="E14" s="40">
        <f t="shared" ref="E14:E77" si="7">ROUND(_xlfn.XLOOKUP(A14, AW$9:AW$307, BB$9:BB$307, "", 0),2)</f>
        <v>8500</v>
      </c>
      <c r="F14" s="41">
        <f t="shared" ref="F14:F77" si="8">_xlfn.XLOOKUP(A14, X$10:X$307, AA$10:AA$307, "0", 0)</f>
        <v>0.1</v>
      </c>
      <c r="G14" s="41">
        <f t="shared" ref="G14:G77" si="9">_xlfn.XLOOKUP(A14, AO$9:AO$307, AR$9:AR$307, "0", 0)</f>
        <v>0.1</v>
      </c>
      <c r="H14" s="41">
        <f t="shared" ref="H14:H77" si="10">G14-F14</f>
        <v>0</v>
      </c>
      <c r="I14" s="40">
        <f t="shared" ref="I14:I77" si="11">H14*E14</f>
        <v>0</v>
      </c>
      <c r="J14" s="31" t="str">
        <f t="shared" ref="J14:J77" si="12">CHOOSE(SIGN(G14 - F14) + 2, "Penurunan IU", "Tidak Ada Perubahan", "Kenaikan IU")</f>
        <v>Tidak Ada Perubahan</v>
      </c>
      <c r="K14" s="42"/>
      <c r="O14" s="86" t="s">
        <v>21</v>
      </c>
      <c r="P14" s="87" t="s">
        <v>11</v>
      </c>
      <c r="Q14" t="s">
        <v>390</v>
      </c>
      <c r="V14" s="4"/>
      <c r="X14" s="3" t="s">
        <v>72</v>
      </c>
      <c r="Y14" t="s">
        <v>73</v>
      </c>
      <c r="Z14" t="s">
        <v>67</v>
      </c>
      <c r="AA14" s="10">
        <v>6</v>
      </c>
      <c r="AB14" t="s">
        <v>74</v>
      </c>
      <c r="AC14" s="10">
        <v>3000.8757999999998</v>
      </c>
      <c r="AD14" s="4">
        <v>18005.254799999999</v>
      </c>
      <c r="AF14" s="82" t="s">
        <v>21</v>
      </c>
      <c r="AG14" s="83" t="s">
        <v>11</v>
      </c>
      <c r="AH14" s="18" t="s">
        <v>390</v>
      </c>
      <c r="AI14" s="18"/>
      <c r="AJ14" s="18"/>
      <c r="AK14" s="18"/>
      <c r="AL14" s="18"/>
      <c r="AM14" s="19"/>
      <c r="AO14" s="20" t="s">
        <v>388</v>
      </c>
      <c r="AP14" s="18" t="s">
        <v>389</v>
      </c>
      <c r="AQ14" s="18" t="s">
        <v>67</v>
      </c>
      <c r="AR14" s="21">
        <v>7</v>
      </c>
      <c r="AS14" s="18" t="s">
        <v>20</v>
      </c>
      <c r="AT14" s="21">
        <v>1989.6667</v>
      </c>
      <c r="AU14" s="19">
        <v>13927.6669</v>
      </c>
      <c r="AW14" s="20" t="s">
        <v>388</v>
      </c>
      <c r="AX14" s="18" t="s">
        <v>389</v>
      </c>
      <c r="AY14" s="18" t="s">
        <v>67</v>
      </c>
      <c r="AZ14" s="21">
        <v>7</v>
      </c>
      <c r="BA14" s="18" t="s">
        <v>20</v>
      </c>
      <c r="BB14" s="21">
        <v>1989.6667</v>
      </c>
      <c r="BC14" s="19">
        <v>13927.6669</v>
      </c>
    </row>
    <row r="15" spans="1:55" x14ac:dyDescent="0.35">
      <c r="A15" s="38" t="str">
        <v>STA00016</v>
      </c>
      <c r="B15" s="31" t="str">
        <f t="shared" si="4"/>
        <v>BOX FILE/BINDEX</v>
      </c>
      <c r="C15" s="31" t="str">
        <f t="shared" si="5"/>
        <v>STATIONARY AND OFFICE SUPPLIES</v>
      </c>
      <c r="D15" s="39" t="str">
        <f t="shared" si="6"/>
        <v>pcs</v>
      </c>
      <c r="E15" s="40">
        <f t="shared" si="7"/>
        <v>18500</v>
      </c>
      <c r="F15" s="41" t="str">
        <f t="shared" si="8"/>
        <v>0</v>
      </c>
      <c r="G15" s="41">
        <f t="shared" si="9"/>
        <v>1</v>
      </c>
      <c r="H15" s="41">
        <f t="shared" si="10"/>
        <v>1</v>
      </c>
      <c r="I15" s="40">
        <f t="shared" si="11"/>
        <v>18500</v>
      </c>
      <c r="J15" s="31" t="str">
        <f t="shared" si="12"/>
        <v>Kenaikan IU</v>
      </c>
      <c r="K15" s="42"/>
      <c r="O15" s="86" t="s">
        <v>26</v>
      </c>
      <c r="P15" s="87" t="s">
        <v>11</v>
      </c>
      <c r="Q15" t="s">
        <v>391</v>
      </c>
      <c r="V15" s="4"/>
      <c r="X15" s="3" t="s">
        <v>75</v>
      </c>
      <c r="Y15" t="s">
        <v>76</v>
      </c>
      <c r="Z15" t="s">
        <v>67</v>
      </c>
      <c r="AA15" s="10">
        <v>2</v>
      </c>
      <c r="AB15" t="s">
        <v>74</v>
      </c>
      <c r="AC15" s="10">
        <v>6000</v>
      </c>
      <c r="AD15" s="4">
        <v>12000</v>
      </c>
      <c r="AF15" s="82" t="s">
        <v>26</v>
      </c>
      <c r="AG15" s="83" t="s">
        <v>11</v>
      </c>
      <c r="AH15" s="18" t="s">
        <v>451</v>
      </c>
      <c r="AI15" s="18"/>
      <c r="AJ15" s="18"/>
      <c r="AK15" s="18"/>
      <c r="AL15" s="18"/>
      <c r="AM15" s="19"/>
      <c r="AO15" s="20" t="s">
        <v>72</v>
      </c>
      <c r="AP15" s="18" t="s">
        <v>73</v>
      </c>
      <c r="AQ15" s="18" t="s">
        <v>67</v>
      </c>
      <c r="AR15" s="21">
        <v>3</v>
      </c>
      <c r="AS15" s="18" t="s">
        <v>74</v>
      </c>
      <c r="AT15" s="21">
        <v>2868.0077000000001</v>
      </c>
      <c r="AU15" s="19">
        <v>8604.0231000000003</v>
      </c>
      <c r="AW15" s="20" t="s">
        <v>72</v>
      </c>
      <c r="AX15" s="18" t="s">
        <v>73</v>
      </c>
      <c r="AY15" s="18" t="s">
        <v>67</v>
      </c>
      <c r="AZ15" s="21">
        <v>3</v>
      </c>
      <c r="BA15" s="18" t="s">
        <v>74</v>
      </c>
      <c r="BB15" s="21">
        <v>2868.0077000000001</v>
      </c>
      <c r="BC15" s="19">
        <v>8604.0231000000003</v>
      </c>
    </row>
    <row r="16" spans="1:55" x14ac:dyDescent="0.35">
      <c r="A16" s="38" t="str">
        <v>STA00019</v>
      </c>
      <c r="B16" s="31" t="str">
        <f t="shared" si="4"/>
        <v>BATERAI AAA</v>
      </c>
      <c r="C16" s="31" t="str">
        <f t="shared" si="5"/>
        <v>STATIONARY AND OFFICE SUPPLIES</v>
      </c>
      <c r="D16" s="39" t="str">
        <f t="shared" si="6"/>
        <v>pack</v>
      </c>
      <c r="E16" s="40">
        <f t="shared" si="7"/>
        <v>10790.82</v>
      </c>
      <c r="F16" s="41" t="str">
        <f t="shared" si="8"/>
        <v>0</v>
      </c>
      <c r="G16" s="41">
        <f t="shared" si="9"/>
        <v>4</v>
      </c>
      <c r="H16" s="41">
        <f t="shared" si="10"/>
        <v>4</v>
      </c>
      <c r="I16" s="40">
        <f t="shared" si="11"/>
        <v>43163.28</v>
      </c>
      <c r="J16" s="31" t="str">
        <f t="shared" si="12"/>
        <v>Kenaikan IU</v>
      </c>
      <c r="K16" s="42"/>
      <c r="O16" s="86" t="s">
        <v>31</v>
      </c>
      <c r="P16" s="87" t="s">
        <v>11</v>
      </c>
      <c r="Q16" t="s">
        <v>109</v>
      </c>
      <c r="V16" s="4"/>
      <c r="X16" s="3" t="s">
        <v>77</v>
      </c>
      <c r="Y16" t="s">
        <v>78</v>
      </c>
      <c r="Z16" t="s">
        <v>67</v>
      </c>
      <c r="AA16" s="10">
        <v>1</v>
      </c>
      <c r="AB16" t="s">
        <v>20</v>
      </c>
      <c r="AC16" s="10">
        <v>6500</v>
      </c>
      <c r="AD16" s="4">
        <v>6500</v>
      </c>
      <c r="AF16" s="82" t="s">
        <v>31</v>
      </c>
      <c r="AG16" s="83" t="s">
        <v>11</v>
      </c>
      <c r="AH16" s="18" t="s">
        <v>32</v>
      </c>
      <c r="AI16" s="18"/>
      <c r="AJ16" s="18"/>
      <c r="AK16" s="18"/>
      <c r="AL16" s="18"/>
      <c r="AM16" s="19"/>
      <c r="AO16" s="20" t="s">
        <v>75</v>
      </c>
      <c r="AP16" s="18" t="s">
        <v>76</v>
      </c>
      <c r="AQ16" s="18" t="s">
        <v>67</v>
      </c>
      <c r="AR16" s="21">
        <v>5</v>
      </c>
      <c r="AS16" s="18" t="s">
        <v>74</v>
      </c>
      <c r="AT16" s="21">
        <v>5678.5713999999998</v>
      </c>
      <c r="AU16" s="19">
        <v>28392.857</v>
      </c>
      <c r="AW16" s="20" t="s">
        <v>75</v>
      </c>
      <c r="AX16" s="18" t="s">
        <v>76</v>
      </c>
      <c r="AY16" s="18" t="s">
        <v>67</v>
      </c>
      <c r="AZ16" s="21">
        <v>5</v>
      </c>
      <c r="BA16" s="18" t="s">
        <v>74</v>
      </c>
      <c r="BB16" s="21">
        <v>5678.5713999999998</v>
      </c>
      <c r="BC16" s="19">
        <v>28392.857</v>
      </c>
    </row>
    <row r="17" spans="1:55" x14ac:dyDescent="0.35">
      <c r="A17" s="38" t="str">
        <v>STA00020</v>
      </c>
      <c r="B17" s="31" t="str">
        <f t="shared" si="4"/>
        <v>BATERAI AA</v>
      </c>
      <c r="C17" s="31" t="str">
        <f t="shared" si="5"/>
        <v>STATIONARY AND OFFICE SUPPLIES</v>
      </c>
      <c r="D17" s="39" t="str">
        <f t="shared" si="6"/>
        <v>pack</v>
      </c>
      <c r="E17" s="40">
        <f t="shared" si="7"/>
        <v>17280</v>
      </c>
      <c r="F17" s="41" t="str">
        <f t="shared" si="8"/>
        <v>0</v>
      </c>
      <c r="G17" s="41">
        <f t="shared" si="9"/>
        <v>3</v>
      </c>
      <c r="H17" s="41">
        <f t="shared" si="10"/>
        <v>3</v>
      </c>
      <c r="I17" s="40">
        <f t="shared" si="11"/>
        <v>51840</v>
      </c>
      <c r="J17" s="31" t="str">
        <f t="shared" si="12"/>
        <v>Kenaikan IU</v>
      </c>
      <c r="K17" s="42"/>
      <c r="O17" s="86" t="s">
        <v>35</v>
      </c>
      <c r="P17" s="87" t="s">
        <v>11</v>
      </c>
      <c r="Q17" t="s">
        <v>392</v>
      </c>
      <c r="V17" s="4"/>
      <c r="X17" s="3" t="s">
        <v>393</v>
      </c>
      <c r="Y17" t="s">
        <v>394</v>
      </c>
      <c r="Z17" t="s">
        <v>67</v>
      </c>
      <c r="AA17" s="10">
        <v>1</v>
      </c>
      <c r="AB17" t="s">
        <v>20</v>
      </c>
      <c r="AC17" s="10">
        <v>12500</v>
      </c>
      <c r="AD17" s="4">
        <v>12500</v>
      </c>
      <c r="AF17" s="82" t="s">
        <v>35</v>
      </c>
      <c r="AG17" s="83" t="s">
        <v>11</v>
      </c>
      <c r="AH17" s="18" t="s">
        <v>452</v>
      </c>
      <c r="AI17" s="18"/>
      <c r="AJ17" s="18"/>
      <c r="AK17" s="18"/>
      <c r="AL17" s="18"/>
      <c r="AM17" s="19"/>
      <c r="AO17" s="20" t="s">
        <v>325</v>
      </c>
      <c r="AP17" s="18" t="s">
        <v>326</v>
      </c>
      <c r="AQ17" s="18" t="s">
        <v>67</v>
      </c>
      <c r="AR17" s="21">
        <v>0.1</v>
      </c>
      <c r="AS17" s="18" t="s">
        <v>5</v>
      </c>
      <c r="AT17" s="21">
        <v>46500</v>
      </c>
      <c r="AU17" s="19">
        <v>4650</v>
      </c>
      <c r="AW17" s="20" t="s">
        <v>325</v>
      </c>
      <c r="AX17" s="18" t="s">
        <v>326</v>
      </c>
      <c r="AY17" s="18" t="s">
        <v>67</v>
      </c>
      <c r="AZ17" s="21">
        <v>0.1</v>
      </c>
      <c r="BA17" s="18" t="s">
        <v>5</v>
      </c>
      <c r="BB17" s="21">
        <v>46500</v>
      </c>
      <c r="BC17" s="19">
        <v>4650</v>
      </c>
    </row>
    <row r="18" spans="1:55" x14ac:dyDescent="0.35">
      <c r="A18" s="38" t="str">
        <v>STA00027</v>
      </c>
      <c r="B18" s="31" t="str">
        <f t="shared" si="4"/>
        <v>BALLPOINT</v>
      </c>
      <c r="C18" s="31" t="str">
        <f t="shared" si="5"/>
        <v>STATIONARY AND OFFICE SUPPLIES</v>
      </c>
      <c r="D18" s="39" t="str">
        <f t="shared" si="6"/>
        <v>pcs</v>
      </c>
      <c r="E18" s="40">
        <f t="shared" si="7"/>
        <v>1989.67</v>
      </c>
      <c r="F18" s="41">
        <f t="shared" si="8"/>
        <v>17</v>
      </c>
      <c r="G18" s="41">
        <f t="shared" si="9"/>
        <v>7</v>
      </c>
      <c r="H18" s="41">
        <f t="shared" si="10"/>
        <v>-10</v>
      </c>
      <c r="I18" s="40">
        <f t="shared" si="11"/>
        <v>-19896.7</v>
      </c>
      <c r="J18" s="31" t="str">
        <f t="shared" si="12"/>
        <v>Penurunan IU</v>
      </c>
      <c r="K18" s="42"/>
      <c r="O18" s="3"/>
      <c r="V18" s="4"/>
      <c r="X18" s="3" t="s">
        <v>357</v>
      </c>
      <c r="Y18" t="s">
        <v>358</v>
      </c>
      <c r="Z18" t="s">
        <v>67</v>
      </c>
      <c r="AA18" s="10">
        <v>1</v>
      </c>
      <c r="AB18" t="s">
        <v>5</v>
      </c>
      <c r="AC18" s="10">
        <v>31625</v>
      </c>
      <c r="AD18" s="4">
        <v>31625</v>
      </c>
      <c r="AF18" s="20"/>
      <c r="AG18" s="18"/>
      <c r="AH18" s="18"/>
      <c r="AI18" s="18"/>
      <c r="AJ18" s="18"/>
      <c r="AK18" s="18"/>
      <c r="AL18" s="18"/>
      <c r="AM18" s="19"/>
      <c r="AO18" s="20" t="s">
        <v>238</v>
      </c>
      <c r="AP18" s="18" t="s">
        <v>239</v>
      </c>
      <c r="AQ18" s="18" t="s">
        <v>67</v>
      </c>
      <c r="AR18" s="21">
        <v>0.5</v>
      </c>
      <c r="AS18" s="18" t="s">
        <v>74</v>
      </c>
      <c r="AT18" s="21">
        <v>13500</v>
      </c>
      <c r="AU18" s="19">
        <v>6750</v>
      </c>
      <c r="AW18" s="20" t="s">
        <v>238</v>
      </c>
      <c r="AX18" s="18" t="s">
        <v>239</v>
      </c>
      <c r="AY18" s="18" t="s">
        <v>67</v>
      </c>
      <c r="AZ18" s="21">
        <v>0.5</v>
      </c>
      <c r="BA18" s="18" t="s">
        <v>74</v>
      </c>
      <c r="BB18" s="21">
        <v>13500</v>
      </c>
      <c r="BC18" s="19">
        <v>6750</v>
      </c>
    </row>
    <row r="19" spans="1:55" x14ac:dyDescent="0.35">
      <c r="A19" s="38" t="str">
        <v>STA00028</v>
      </c>
      <c r="B19" s="31" t="str">
        <f t="shared" si="4"/>
        <v>SOLATIP KECIL 12 MM</v>
      </c>
      <c r="C19" s="31" t="str">
        <f t="shared" si="5"/>
        <v>STATIONARY AND OFFICE SUPPLIES</v>
      </c>
      <c r="D19" s="39" t="str">
        <f t="shared" si="6"/>
        <v>roll</v>
      </c>
      <c r="E19" s="40">
        <f t="shared" si="7"/>
        <v>2868.01</v>
      </c>
      <c r="F19" s="41">
        <f t="shared" si="8"/>
        <v>6</v>
      </c>
      <c r="G19" s="41">
        <f t="shared" si="9"/>
        <v>3</v>
      </c>
      <c r="H19" s="41">
        <f t="shared" si="10"/>
        <v>-3</v>
      </c>
      <c r="I19" s="40">
        <f t="shared" si="11"/>
        <v>-8604.0300000000007</v>
      </c>
      <c r="J19" s="31" t="str">
        <f t="shared" si="12"/>
        <v>Penurunan IU</v>
      </c>
      <c r="K19" s="42"/>
      <c r="O19" s="3" t="s">
        <v>42</v>
      </c>
      <c r="P19" t="s">
        <v>43</v>
      </c>
      <c r="Q19" t="s">
        <v>44</v>
      </c>
      <c r="R19" t="s">
        <v>45</v>
      </c>
      <c r="S19" t="s">
        <v>46</v>
      </c>
      <c r="T19" t="s">
        <v>47</v>
      </c>
      <c r="U19" t="s">
        <v>48</v>
      </c>
      <c r="V19" s="4" t="s">
        <v>49</v>
      </c>
      <c r="X19" s="3" t="s">
        <v>395</v>
      </c>
      <c r="Y19" t="s">
        <v>396</v>
      </c>
      <c r="Z19" t="s">
        <v>67</v>
      </c>
      <c r="AA19" s="10">
        <v>1</v>
      </c>
      <c r="AB19" t="s">
        <v>216</v>
      </c>
      <c r="AC19" s="10">
        <v>6000</v>
      </c>
      <c r="AD19" s="4">
        <v>6000</v>
      </c>
      <c r="AF19" s="20" t="s">
        <v>42</v>
      </c>
      <c r="AG19" s="18" t="s">
        <v>43</v>
      </c>
      <c r="AH19" s="18" t="s">
        <v>44</v>
      </c>
      <c r="AI19" s="18" t="s">
        <v>45</v>
      </c>
      <c r="AJ19" s="18" t="s">
        <v>46</v>
      </c>
      <c r="AK19" s="18" t="s">
        <v>47</v>
      </c>
      <c r="AL19" s="18" t="s">
        <v>48</v>
      </c>
      <c r="AM19" s="19" t="s">
        <v>49</v>
      </c>
      <c r="AO19" s="20" t="s">
        <v>83</v>
      </c>
      <c r="AP19" s="18" t="s">
        <v>84</v>
      </c>
      <c r="AQ19" s="18" t="s">
        <v>67</v>
      </c>
      <c r="AR19" s="21">
        <v>1</v>
      </c>
      <c r="AS19" s="18" t="s">
        <v>20</v>
      </c>
      <c r="AT19" s="21">
        <v>15750</v>
      </c>
      <c r="AU19" s="19">
        <v>15750</v>
      </c>
      <c r="AW19" s="20" t="s">
        <v>83</v>
      </c>
      <c r="AX19" s="18" t="s">
        <v>84</v>
      </c>
      <c r="AY19" s="18" t="s">
        <v>67</v>
      </c>
      <c r="AZ19" s="21">
        <v>1</v>
      </c>
      <c r="BA19" s="18" t="s">
        <v>20</v>
      </c>
      <c r="BB19" s="21">
        <v>15750</v>
      </c>
      <c r="BC19" s="19">
        <v>15750</v>
      </c>
    </row>
    <row r="20" spans="1:55" x14ac:dyDescent="0.35">
      <c r="A20" s="38" t="str">
        <v>STA00029</v>
      </c>
      <c r="B20" s="31" t="str">
        <f t="shared" si="4"/>
        <v>SOLATIP SEDANG</v>
      </c>
      <c r="C20" s="31" t="str">
        <f t="shared" si="5"/>
        <v>STATIONARY AND OFFICE SUPPLIES</v>
      </c>
      <c r="D20" s="39" t="str">
        <f t="shared" si="6"/>
        <v>roll</v>
      </c>
      <c r="E20" s="40">
        <f t="shared" si="7"/>
        <v>5678.57</v>
      </c>
      <c r="F20" s="41">
        <f t="shared" si="8"/>
        <v>2</v>
      </c>
      <c r="G20" s="41">
        <f t="shared" si="9"/>
        <v>5</v>
      </c>
      <c r="H20" s="41">
        <f t="shared" si="10"/>
        <v>3</v>
      </c>
      <c r="I20" s="40">
        <f t="shared" si="11"/>
        <v>17035.71</v>
      </c>
      <c r="J20" s="31" t="str">
        <f t="shared" si="12"/>
        <v>Kenaikan IU</v>
      </c>
      <c r="K20" s="42"/>
      <c r="O20" s="3">
        <v>1</v>
      </c>
      <c r="P20" t="s">
        <v>65</v>
      </c>
      <c r="Q20" t="s">
        <v>66</v>
      </c>
      <c r="R20" t="s">
        <v>67</v>
      </c>
      <c r="S20" s="10">
        <v>16</v>
      </c>
      <c r="T20" t="s">
        <v>20</v>
      </c>
      <c r="U20" s="10">
        <v>320</v>
      </c>
      <c r="V20" s="4">
        <v>5120</v>
      </c>
      <c r="X20" s="3" t="s">
        <v>238</v>
      </c>
      <c r="Y20" t="s">
        <v>239</v>
      </c>
      <c r="Z20" t="s">
        <v>67</v>
      </c>
      <c r="AA20" s="10">
        <v>0.3</v>
      </c>
      <c r="AB20" t="s">
        <v>74</v>
      </c>
      <c r="AC20" s="10">
        <v>13500</v>
      </c>
      <c r="AD20" s="4">
        <v>4050</v>
      </c>
      <c r="AF20" s="20">
        <v>1</v>
      </c>
      <c r="AG20" s="18" t="s">
        <v>2</v>
      </c>
      <c r="AH20" s="18" t="s">
        <v>3</v>
      </c>
      <c r="AI20" s="18" t="s">
        <v>4</v>
      </c>
      <c r="AJ20" s="21">
        <v>6</v>
      </c>
      <c r="AK20" s="18" t="s">
        <v>5</v>
      </c>
      <c r="AL20" s="21">
        <v>21000</v>
      </c>
      <c r="AM20" s="19">
        <v>126000</v>
      </c>
      <c r="AO20" s="20" t="s">
        <v>85</v>
      </c>
      <c r="AP20" s="18" t="s">
        <v>86</v>
      </c>
      <c r="AQ20" s="18" t="s">
        <v>67</v>
      </c>
      <c r="AR20" s="21">
        <v>1.7</v>
      </c>
      <c r="AS20" s="18" t="s">
        <v>87</v>
      </c>
      <c r="AT20" s="21">
        <v>18500</v>
      </c>
      <c r="AU20" s="19">
        <v>31450</v>
      </c>
      <c r="AW20" s="20" t="s">
        <v>85</v>
      </c>
      <c r="AX20" s="18" t="s">
        <v>86</v>
      </c>
      <c r="AY20" s="18" t="s">
        <v>67</v>
      </c>
      <c r="AZ20" s="21">
        <v>1.7</v>
      </c>
      <c r="BA20" s="18" t="s">
        <v>87</v>
      </c>
      <c r="BB20" s="21">
        <v>18500</v>
      </c>
      <c r="BC20" s="19">
        <v>31450</v>
      </c>
    </row>
    <row r="21" spans="1:55" x14ac:dyDescent="0.35">
      <c r="A21" s="38" t="str">
        <v>STA00037</v>
      </c>
      <c r="B21" s="31" t="str">
        <f t="shared" si="4"/>
        <v>KERTAS HVS A4</v>
      </c>
      <c r="C21" s="31" t="str">
        <f t="shared" si="5"/>
        <v>STATIONARY AND OFFICE SUPPLIES</v>
      </c>
      <c r="D21" s="39" t="str">
        <f t="shared" si="6"/>
        <v>pack</v>
      </c>
      <c r="E21" s="40">
        <f t="shared" si="7"/>
        <v>46500</v>
      </c>
      <c r="F21" s="41" t="str">
        <f t="shared" si="8"/>
        <v>0</v>
      </c>
      <c r="G21" s="41">
        <f t="shared" si="9"/>
        <v>0.1</v>
      </c>
      <c r="H21" s="41">
        <f t="shared" si="10"/>
        <v>0.1</v>
      </c>
      <c r="I21" s="40">
        <f t="shared" si="11"/>
        <v>4650</v>
      </c>
      <c r="J21" s="31" t="str">
        <f t="shared" si="12"/>
        <v>Kenaikan IU</v>
      </c>
      <c r="K21" s="42"/>
      <c r="O21" s="3">
        <v>2</v>
      </c>
      <c r="P21" t="s">
        <v>355</v>
      </c>
      <c r="Q21" t="s">
        <v>356</v>
      </c>
      <c r="R21" t="s">
        <v>67</v>
      </c>
      <c r="S21" s="10">
        <v>1</v>
      </c>
      <c r="T21" t="s">
        <v>160</v>
      </c>
      <c r="U21" s="10">
        <v>4041.6667000000002</v>
      </c>
      <c r="V21" s="4">
        <v>4041.6667000000002</v>
      </c>
      <c r="X21" s="3" t="s">
        <v>83</v>
      </c>
      <c r="Y21" t="s">
        <v>84</v>
      </c>
      <c r="Z21" t="s">
        <v>67</v>
      </c>
      <c r="AA21" s="10">
        <v>1</v>
      </c>
      <c r="AB21" t="s">
        <v>20</v>
      </c>
      <c r="AC21" s="10">
        <v>7250</v>
      </c>
      <c r="AD21" s="4">
        <v>7250</v>
      </c>
      <c r="AF21" s="20">
        <v>2</v>
      </c>
      <c r="AG21" s="18" t="s">
        <v>7</v>
      </c>
      <c r="AH21" s="18" t="s">
        <v>8</v>
      </c>
      <c r="AI21" s="18" t="s">
        <v>4</v>
      </c>
      <c r="AJ21" s="21">
        <v>0.2</v>
      </c>
      <c r="AK21" s="18" t="s">
        <v>9</v>
      </c>
      <c r="AL21" s="21">
        <v>133200</v>
      </c>
      <c r="AM21" s="19">
        <v>26640</v>
      </c>
      <c r="AO21" s="20" t="s">
        <v>242</v>
      </c>
      <c r="AP21" s="18" t="s">
        <v>243</v>
      </c>
      <c r="AQ21" s="18" t="s">
        <v>67</v>
      </c>
      <c r="AR21" s="21">
        <v>2</v>
      </c>
      <c r="AS21" s="18" t="s">
        <v>87</v>
      </c>
      <c r="AT21" s="21">
        <v>14500</v>
      </c>
      <c r="AU21" s="19">
        <v>29000</v>
      </c>
      <c r="AW21" s="20" t="s">
        <v>242</v>
      </c>
      <c r="AX21" s="18" t="s">
        <v>243</v>
      </c>
      <c r="AY21" s="18" t="s">
        <v>67</v>
      </c>
      <c r="AZ21" s="21">
        <v>2</v>
      </c>
      <c r="BA21" s="18" t="s">
        <v>87</v>
      </c>
      <c r="BB21" s="21">
        <v>14500</v>
      </c>
      <c r="BC21" s="19">
        <v>29000</v>
      </c>
    </row>
    <row r="22" spans="1:55" x14ac:dyDescent="0.35">
      <c r="A22" s="38" t="str">
        <v>STA00048</v>
      </c>
      <c r="B22" s="31" t="str">
        <f t="shared" si="4"/>
        <v>HANSAPLAST ROLL</v>
      </c>
      <c r="C22" s="31" t="str">
        <f t="shared" si="5"/>
        <v>STATIONARY AND OFFICE SUPPLIES</v>
      </c>
      <c r="D22" s="39" t="str">
        <f t="shared" si="6"/>
        <v>roll</v>
      </c>
      <c r="E22" s="40">
        <f t="shared" si="7"/>
        <v>13500</v>
      </c>
      <c r="F22" s="41">
        <f t="shared" si="8"/>
        <v>0.3</v>
      </c>
      <c r="G22" s="41">
        <f t="shared" si="9"/>
        <v>0.5</v>
      </c>
      <c r="H22" s="41">
        <f t="shared" si="10"/>
        <v>0.2</v>
      </c>
      <c r="I22" s="40">
        <f t="shared" si="11"/>
        <v>2700</v>
      </c>
      <c r="J22" s="31" t="str">
        <f t="shared" si="12"/>
        <v>Kenaikan IU</v>
      </c>
      <c r="K22" s="42"/>
      <c r="O22" s="3">
        <v>3</v>
      </c>
      <c r="P22" t="s">
        <v>386</v>
      </c>
      <c r="Q22" t="s">
        <v>387</v>
      </c>
      <c r="R22" t="s">
        <v>67</v>
      </c>
      <c r="S22" s="10">
        <v>0.1</v>
      </c>
      <c r="T22" t="s">
        <v>5</v>
      </c>
      <c r="U22" s="10">
        <v>8500</v>
      </c>
      <c r="V22" s="4">
        <v>850</v>
      </c>
      <c r="X22" s="3" t="s">
        <v>85</v>
      </c>
      <c r="Y22" t="s">
        <v>86</v>
      </c>
      <c r="Z22" t="s">
        <v>67</v>
      </c>
      <c r="AA22" s="10">
        <v>1.3</v>
      </c>
      <c r="AB22" t="s">
        <v>87</v>
      </c>
      <c r="AC22" s="10">
        <v>18500</v>
      </c>
      <c r="AD22" s="4">
        <v>24050</v>
      </c>
      <c r="AF22" s="20">
        <v>3</v>
      </c>
      <c r="AG22" s="18" t="s">
        <v>13</v>
      </c>
      <c r="AH22" s="18" t="s">
        <v>14</v>
      </c>
      <c r="AI22" s="18" t="s">
        <v>4</v>
      </c>
      <c r="AJ22" s="21">
        <v>1</v>
      </c>
      <c r="AK22" s="18" t="s">
        <v>15</v>
      </c>
      <c r="AL22" s="21">
        <v>77700</v>
      </c>
      <c r="AM22" s="19">
        <v>77700</v>
      </c>
      <c r="AO22" s="20" t="s">
        <v>246</v>
      </c>
      <c r="AP22" s="18" t="s">
        <v>247</v>
      </c>
      <c r="AQ22" s="18" t="s">
        <v>67</v>
      </c>
      <c r="AR22" s="21">
        <v>4.5</v>
      </c>
      <c r="AS22" s="18" t="s">
        <v>5</v>
      </c>
      <c r="AT22" s="21">
        <v>2216.4</v>
      </c>
      <c r="AU22" s="19">
        <v>9973.7999999999993</v>
      </c>
      <c r="AW22" s="20" t="s">
        <v>246</v>
      </c>
      <c r="AX22" s="18" t="s">
        <v>247</v>
      </c>
      <c r="AY22" s="18" t="s">
        <v>67</v>
      </c>
      <c r="AZ22" s="21">
        <v>4.5</v>
      </c>
      <c r="BA22" s="18" t="s">
        <v>5</v>
      </c>
      <c r="BB22" s="21">
        <v>2216.4</v>
      </c>
      <c r="BC22" s="19">
        <v>9973.7999999999993</v>
      </c>
    </row>
    <row r="23" spans="1:55" x14ac:dyDescent="0.35">
      <c r="A23" s="38" t="str">
        <v>STA00050</v>
      </c>
      <c r="B23" s="31" t="str">
        <f t="shared" si="4"/>
        <v>MINYAK KAYU PUTIH</v>
      </c>
      <c r="C23" s="31" t="str">
        <f t="shared" si="5"/>
        <v>STATIONARY AND OFFICE SUPPLIES</v>
      </c>
      <c r="D23" s="39" t="str">
        <f t="shared" si="6"/>
        <v>pcs</v>
      </c>
      <c r="E23" s="40">
        <f t="shared" si="7"/>
        <v>15750</v>
      </c>
      <c r="F23" s="41">
        <f t="shared" si="8"/>
        <v>1</v>
      </c>
      <c r="G23" s="41">
        <f t="shared" si="9"/>
        <v>1</v>
      </c>
      <c r="H23" s="41">
        <f t="shared" si="10"/>
        <v>0</v>
      </c>
      <c r="I23" s="40">
        <f t="shared" si="11"/>
        <v>0</v>
      </c>
      <c r="J23" s="31" t="str">
        <f t="shared" si="12"/>
        <v>Tidak Ada Perubahan</v>
      </c>
      <c r="K23" s="42"/>
      <c r="O23" s="3">
        <v>4</v>
      </c>
      <c r="P23" t="s">
        <v>388</v>
      </c>
      <c r="Q23" t="s">
        <v>389</v>
      </c>
      <c r="R23" t="s">
        <v>67</v>
      </c>
      <c r="S23" s="10">
        <v>17</v>
      </c>
      <c r="T23" t="s">
        <v>20</v>
      </c>
      <c r="U23" s="10">
        <v>2639</v>
      </c>
      <c r="V23" s="4">
        <v>44863</v>
      </c>
      <c r="X23" s="3" t="s">
        <v>242</v>
      </c>
      <c r="Y23" t="s">
        <v>243</v>
      </c>
      <c r="Z23" t="s">
        <v>67</v>
      </c>
      <c r="AA23" s="10">
        <v>1</v>
      </c>
      <c r="AB23" t="s">
        <v>87</v>
      </c>
      <c r="AC23" s="10">
        <v>14500</v>
      </c>
      <c r="AD23" s="4">
        <v>14500</v>
      </c>
      <c r="AF23" s="20">
        <v>4</v>
      </c>
      <c r="AG23" s="18" t="s">
        <v>18</v>
      </c>
      <c r="AH23" s="18" t="s">
        <v>19</v>
      </c>
      <c r="AI23" s="18" t="s">
        <v>4</v>
      </c>
      <c r="AJ23" s="21">
        <v>0.25</v>
      </c>
      <c r="AK23" s="18" t="s">
        <v>20</v>
      </c>
      <c r="AL23" s="21">
        <v>151400</v>
      </c>
      <c r="AM23" s="19">
        <v>37850</v>
      </c>
      <c r="AO23" s="20" t="s">
        <v>327</v>
      </c>
      <c r="AP23" s="18" t="s">
        <v>328</v>
      </c>
      <c r="AQ23" s="18" t="s">
        <v>67</v>
      </c>
      <c r="AR23" s="21">
        <v>8</v>
      </c>
      <c r="AS23" s="18" t="s">
        <v>5</v>
      </c>
      <c r="AT23" s="21">
        <v>5931.8181999999997</v>
      </c>
      <c r="AU23" s="19">
        <v>47454.545599999998</v>
      </c>
      <c r="AW23" s="20" t="s">
        <v>327</v>
      </c>
      <c r="AX23" s="18" t="s">
        <v>328</v>
      </c>
      <c r="AY23" s="18" t="s">
        <v>67</v>
      </c>
      <c r="AZ23" s="21">
        <v>8</v>
      </c>
      <c r="BA23" s="18" t="s">
        <v>5</v>
      </c>
      <c r="BB23" s="21">
        <v>5931.8181999999997</v>
      </c>
      <c r="BC23" s="19">
        <v>47454.545599999998</v>
      </c>
    </row>
    <row r="24" spans="1:55" x14ac:dyDescent="0.35">
      <c r="A24" s="38" t="str">
        <v>STA00051</v>
      </c>
      <c r="B24" s="31" t="str">
        <f t="shared" si="4"/>
        <v>PANADOL HIJAU</v>
      </c>
      <c r="C24" s="31" t="str">
        <f t="shared" si="5"/>
        <v>STATIONARY AND OFFICE SUPPLIES</v>
      </c>
      <c r="D24" s="39" t="str">
        <f t="shared" si="6"/>
        <v>str</v>
      </c>
      <c r="E24" s="40">
        <f t="shared" si="7"/>
        <v>18500</v>
      </c>
      <c r="F24" s="41">
        <f t="shared" si="8"/>
        <v>1.3</v>
      </c>
      <c r="G24" s="41">
        <f t="shared" si="9"/>
        <v>1.7</v>
      </c>
      <c r="H24" s="41">
        <f t="shared" si="10"/>
        <v>0.39999999999999991</v>
      </c>
      <c r="I24" s="40">
        <f t="shared" si="11"/>
        <v>7399.9999999999982</v>
      </c>
      <c r="J24" s="31" t="str">
        <f t="shared" si="12"/>
        <v>Kenaikan IU</v>
      </c>
      <c r="K24" s="42"/>
      <c r="O24" s="3">
        <v>5</v>
      </c>
      <c r="P24" t="s">
        <v>72</v>
      </c>
      <c r="Q24" t="s">
        <v>73</v>
      </c>
      <c r="R24" t="s">
        <v>67</v>
      </c>
      <c r="S24" s="10">
        <v>6</v>
      </c>
      <c r="T24" t="s">
        <v>74</v>
      </c>
      <c r="U24" s="10">
        <v>3000.8757999999998</v>
      </c>
      <c r="V24" s="4">
        <v>18005.254799999999</v>
      </c>
      <c r="X24" s="3" t="s">
        <v>246</v>
      </c>
      <c r="Y24" t="s">
        <v>247</v>
      </c>
      <c r="Z24" t="s">
        <v>67</v>
      </c>
      <c r="AA24" s="10">
        <v>0.5</v>
      </c>
      <c r="AB24" t="s">
        <v>5</v>
      </c>
      <c r="AC24" s="10">
        <v>1400</v>
      </c>
      <c r="AD24" s="4">
        <v>700</v>
      </c>
      <c r="AF24" s="20">
        <v>5</v>
      </c>
      <c r="AG24" s="18" t="s">
        <v>219</v>
      </c>
      <c r="AH24" s="18" t="s">
        <v>220</v>
      </c>
      <c r="AI24" s="18" t="s">
        <v>4</v>
      </c>
      <c r="AJ24" s="21">
        <v>0.75</v>
      </c>
      <c r="AK24" s="18" t="s">
        <v>25</v>
      </c>
      <c r="AL24" s="21">
        <v>83266.199274999992</v>
      </c>
      <c r="AM24" s="19">
        <v>62449.649455999999</v>
      </c>
      <c r="AO24" s="20" t="s">
        <v>90</v>
      </c>
      <c r="AP24" s="18" t="s">
        <v>91</v>
      </c>
      <c r="AQ24" s="18" t="s">
        <v>67</v>
      </c>
      <c r="AR24" s="21">
        <v>2</v>
      </c>
      <c r="AS24" s="18" t="s">
        <v>5</v>
      </c>
      <c r="AT24" s="21">
        <v>5550</v>
      </c>
      <c r="AU24" s="19">
        <v>11100</v>
      </c>
      <c r="AW24" s="20" t="s">
        <v>90</v>
      </c>
      <c r="AX24" s="18" t="s">
        <v>91</v>
      </c>
      <c r="AY24" s="18" t="s">
        <v>67</v>
      </c>
      <c r="AZ24" s="21">
        <v>2</v>
      </c>
      <c r="BA24" s="18" t="s">
        <v>5</v>
      </c>
      <c r="BB24" s="21">
        <v>5550</v>
      </c>
      <c r="BC24" s="19">
        <v>11100</v>
      </c>
    </row>
    <row r="25" spans="1:55" x14ac:dyDescent="0.35">
      <c r="A25" s="38" t="str">
        <v>STA00052</v>
      </c>
      <c r="B25" s="31" t="str">
        <f t="shared" si="4"/>
        <v>PANADOL MERAH</v>
      </c>
      <c r="C25" s="31" t="str">
        <f t="shared" si="5"/>
        <v>STATIONARY AND OFFICE SUPPLIES</v>
      </c>
      <c r="D25" s="39" t="str">
        <f t="shared" si="6"/>
        <v>str</v>
      </c>
      <c r="E25" s="40">
        <f t="shared" si="7"/>
        <v>14500</v>
      </c>
      <c r="F25" s="41">
        <f t="shared" si="8"/>
        <v>1</v>
      </c>
      <c r="G25" s="41">
        <f t="shared" si="9"/>
        <v>2</v>
      </c>
      <c r="H25" s="41">
        <f t="shared" si="10"/>
        <v>1</v>
      </c>
      <c r="I25" s="40">
        <f t="shared" si="11"/>
        <v>14500</v>
      </c>
      <c r="J25" s="31" t="str">
        <f t="shared" si="12"/>
        <v>Kenaikan IU</v>
      </c>
      <c r="K25" s="42"/>
      <c r="O25" s="3">
        <v>6</v>
      </c>
      <c r="P25" t="s">
        <v>75</v>
      </c>
      <c r="Q25" t="s">
        <v>76</v>
      </c>
      <c r="R25" t="s">
        <v>67</v>
      </c>
      <c r="S25" s="10">
        <v>2</v>
      </c>
      <c r="T25" t="s">
        <v>74</v>
      </c>
      <c r="U25" s="10">
        <v>6000</v>
      </c>
      <c r="V25" s="4">
        <v>12000</v>
      </c>
      <c r="X25" s="3" t="s">
        <v>88</v>
      </c>
      <c r="Y25" t="s">
        <v>89</v>
      </c>
      <c r="Z25" t="s">
        <v>67</v>
      </c>
      <c r="AA25" s="10">
        <v>2</v>
      </c>
      <c r="AB25" t="s">
        <v>5</v>
      </c>
      <c r="AC25" s="10">
        <v>1750</v>
      </c>
      <c r="AD25" s="4">
        <v>3500</v>
      </c>
      <c r="AF25" s="20">
        <v>6</v>
      </c>
      <c r="AG25" s="18" t="s">
        <v>221</v>
      </c>
      <c r="AH25" s="18" t="s">
        <v>222</v>
      </c>
      <c r="AI25" s="18" t="s">
        <v>4</v>
      </c>
      <c r="AJ25" s="21">
        <v>0.75</v>
      </c>
      <c r="AK25" s="18" t="s">
        <v>25</v>
      </c>
      <c r="AL25" s="21">
        <v>101709.99100000002</v>
      </c>
      <c r="AM25" s="19">
        <v>76282.49325</v>
      </c>
      <c r="AO25" s="20" t="s">
        <v>92</v>
      </c>
      <c r="AP25" s="18" t="s">
        <v>93</v>
      </c>
      <c r="AQ25" s="18" t="s">
        <v>67</v>
      </c>
      <c r="AR25" s="21">
        <v>52</v>
      </c>
      <c r="AS25" s="18" t="s">
        <v>94</v>
      </c>
      <c r="AT25" s="21">
        <v>11800.0545</v>
      </c>
      <c r="AU25" s="19">
        <v>613602.83400000003</v>
      </c>
      <c r="AW25" s="20" t="s">
        <v>92</v>
      </c>
      <c r="AX25" s="18" t="s">
        <v>93</v>
      </c>
      <c r="AY25" s="18" t="s">
        <v>67</v>
      </c>
      <c r="AZ25" s="21">
        <v>52</v>
      </c>
      <c r="BA25" s="18" t="s">
        <v>94</v>
      </c>
      <c r="BB25" s="21">
        <v>11800.0545</v>
      </c>
      <c r="BC25" s="19">
        <v>613602.83400000003</v>
      </c>
    </row>
    <row r="26" spans="1:55" x14ac:dyDescent="0.35">
      <c r="A26" s="38" t="str">
        <v>STA00057</v>
      </c>
      <c r="B26" s="31" t="str">
        <f t="shared" si="4"/>
        <v>ISI STAPLER</v>
      </c>
      <c r="C26" s="31" t="str">
        <f t="shared" si="5"/>
        <v>STATIONARY AND OFFICE SUPPLIES</v>
      </c>
      <c r="D26" s="39" t="str">
        <f t="shared" si="6"/>
        <v>pack</v>
      </c>
      <c r="E26" s="40">
        <f t="shared" si="7"/>
        <v>2216.4</v>
      </c>
      <c r="F26" s="41">
        <f t="shared" si="8"/>
        <v>0.5</v>
      </c>
      <c r="G26" s="41">
        <f t="shared" si="9"/>
        <v>4.5</v>
      </c>
      <c r="H26" s="41">
        <f t="shared" si="10"/>
        <v>4</v>
      </c>
      <c r="I26" s="40">
        <f t="shared" si="11"/>
        <v>8865.6</v>
      </c>
      <c r="J26" s="31" t="str">
        <f t="shared" si="12"/>
        <v>Kenaikan IU</v>
      </c>
      <c r="K26" s="42"/>
      <c r="O26" s="3">
        <v>7</v>
      </c>
      <c r="P26" t="s">
        <v>77</v>
      </c>
      <c r="Q26" t="s">
        <v>78</v>
      </c>
      <c r="R26" t="s">
        <v>67</v>
      </c>
      <c r="S26" s="10">
        <v>1</v>
      </c>
      <c r="T26" t="s">
        <v>20</v>
      </c>
      <c r="U26" s="10">
        <v>6500</v>
      </c>
      <c r="V26" s="4">
        <v>6500</v>
      </c>
      <c r="X26" s="3" t="s">
        <v>327</v>
      </c>
      <c r="Y26" t="s">
        <v>328</v>
      </c>
      <c r="Z26" t="s">
        <v>67</v>
      </c>
      <c r="AA26" s="10">
        <v>5</v>
      </c>
      <c r="AB26" t="s">
        <v>5</v>
      </c>
      <c r="AC26" s="10">
        <v>6250</v>
      </c>
      <c r="AD26" s="4">
        <v>31250</v>
      </c>
      <c r="AF26" s="20">
        <v>7</v>
      </c>
      <c r="AG26" s="18" t="s">
        <v>23</v>
      </c>
      <c r="AH26" s="18" t="s">
        <v>24</v>
      </c>
      <c r="AI26" s="18" t="s">
        <v>4</v>
      </c>
      <c r="AJ26" s="21">
        <v>23.8</v>
      </c>
      <c r="AK26" s="18" t="s">
        <v>25</v>
      </c>
      <c r="AL26" s="21">
        <v>17719.5877</v>
      </c>
      <c r="AM26" s="19">
        <v>421726.18725999998</v>
      </c>
      <c r="AO26" s="20" t="s">
        <v>254</v>
      </c>
      <c r="AP26" s="18" t="s">
        <v>255</v>
      </c>
      <c r="AQ26" s="18" t="s">
        <v>67</v>
      </c>
      <c r="AR26" s="21">
        <v>5</v>
      </c>
      <c r="AS26" s="18" t="s">
        <v>5</v>
      </c>
      <c r="AT26" s="21">
        <v>34500</v>
      </c>
      <c r="AU26" s="19">
        <v>172500</v>
      </c>
      <c r="AW26" s="20" t="s">
        <v>254</v>
      </c>
      <c r="AX26" s="18" t="s">
        <v>255</v>
      </c>
      <c r="AY26" s="18" t="s">
        <v>67</v>
      </c>
      <c r="AZ26" s="21">
        <v>5</v>
      </c>
      <c r="BA26" s="18" t="s">
        <v>5</v>
      </c>
      <c r="BB26" s="21">
        <v>34500</v>
      </c>
      <c r="BC26" s="19">
        <v>172500</v>
      </c>
    </row>
    <row r="27" spans="1:55" x14ac:dyDescent="0.35">
      <c r="A27" s="38" t="str">
        <v>STA00074</v>
      </c>
      <c r="B27" s="31" t="str">
        <f t="shared" si="4"/>
        <v>LABEL/STICKER TOM &amp; JERRY 103</v>
      </c>
      <c r="C27" s="31" t="str">
        <f t="shared" si="5"/>
        <v>STATIONARY AND OFFICE SUPPLIES</v>
      </c>
      <c r="D27" s="39" t="str">
        <f t="shared" si="6"/>
        <v>pack</v>
      </c>
      <c r="E27" s="40">
        <f t="shared" si="7"/>
        <v>5931.82</v>
      </c>
      <c r="F27" s="41">
        <f t="shared" si="8"/>
        <v>5</v>
      </c>
      <c r="G27" s="41">
        <f t="shared" si="9"/>
        <v>8</v>
      </c>
      <c r="H27" s="41">
        <f t="shared" si="10"/>
        <v>3</v>
      </c>
      <c r="I27" s="40">
        <f t="shared" si="11"/>
        <v>17795.46</v>
      </c>
      <c r="J27" s="31" t="str">
        <f t="shared" si="12"/>
        <v>Kenaikan IU</v>
      </c>
      <c r="K27" s="42"/>
      <c r="O27" s="3">
        <v>8</v>
      </c>
      <c r="P27" t="s">
        <v>393</v>
      </c>
      <c r="Q27" t="s">
        <v>394</v>
      </c>
      <c r="R27" t="s">
        <v>67</v>
      </c>
      <c r="S27" s="10">
        <v>1</v>
      </c>
      <c r="T27" t="s">
        <v>20</v>
      </c>
      <c r="U27" s="10">
        <v>12500</v>
      </c>
      <c r="V27" s="4">
        <v>12500</v>
      </c>
      <c r="X27" s="3" t="s">
        <v>90</v>
      </c>
      <c r="Y27" t="s">
        <v>91</v>
      </c>
      <c r="Z27" t="s">
        <v>67</v>
      </c>
      <c r="AA27" s="10">
        <v>3</v>
      </c>
      <c r="AB27" t="s">
        <v>5</v>
      </c>
      <c r="AC27" s="10">
        <v>6214.4396999999999</v>
      </c>
      <c r="AD27" s="4">
        <v>18643.319100000001</v>
      </c>
      <c r="AF27" s="20">
        <v>8</v>
      </c>
      <c r="AG27" s="18" t="s">
        <v>28</v>
      </c>
      <c r="AH27" s="18" t="s">
        <v>29</v>
      </c>
      <c r="AI27" s="18" t="s">
        <v>4</v>
      </c>
      <c r="AJ27" s="21">
        <v>23.05</v>
      </c>
      <c r="AK27" s="18" t="s">
        <v>30</v>
      </c>
      <c r="AL27" s="21">
        <v>19759.784800000001</v>
      </c>
      <c r="AM27" s="19">
        <v>455463.03963999997</v>
      </c>
      <c r="AO27" s="20" t="s">
        <v>361</v>
      </c>
      <c r="AP27" s="18" t="s">
        <v>362</v>
      </c>
      <c r="AQ27" s="18" t="s">
        <v>67</v>
      </c>
      <c r="AR27" s="21">
        <v>6</v>
      </c>
      <c r="AS27" s="18" t="s">
        <v>363</v>
      </c>
      <c r="AT27" s="21">
        <v>60</v>
      </c>
      <c r="AU27" s="19">
        <v>360</v>
      </c>
      <c r="AW27" s="20" t="s">
        <v>361</v>
      </c>
      <c r="AX27" s="18" t="s">
        <v>362</v>
      </c>
      <c r="AY27" s="18" t="s">
        <v>67</v>
      </c>
      <c r="AZ27" s="21">
        <v>6</v>
      </c>
      <c r="BA27" s="18" t="s">
        <v>363</v>
      </c>
      <c r="BB27" s="21">
        <v>60</v>
      </c>
      <c r="BC27" s="19">
        <v>360</v>
      </c>
    </row>
    <row r="28" spans="1:55" x14ac:dyDescent="0.35">
      <c r="A28" s="38" t="str">
        <v>STA00075</v>
      </c>
      <c r="B28" s="31" t="str">
        <f t="shared" si="4"/>
        <v>LABEL/STICKER TOM &amp; JERRY 109</v>
      </c>
      <c r="C28" s="31" t="str">
        <f t="shared" si="5"/>
        <v>STATIONARY AND OFFICE SUPPLIES</v>
      </c>
      <c r="D28" s="39" t="str">
        <f t="shared" si="6"/>
        <v>pack</v>
      </c>
      <c r="E28" s="40">
        <f t="shared" si="7"/>
        <v>5550</v>
      </c>
      <c r="F28" s="41">
        <f t="shared" si="8"/>
        <v>3</v>
      </c>
      <c r="G28" s="41">
        <f t="shared" si="9"/>
        <v>2</v>
      </c>
      <c r="H28" s="41">
        <f t="shared" si="10"/>
        <v>-1</v>
      </c>
      <c r="I28" s="40">
        <f t="shared" si="11"/>
        <v>-5550</v>
      </c>
      <c r="J28" s="31" t="str">
        <f t="shared" si="12"/>
        <v>Penurunan IU</v>
      </c>
      <c r="K28" s="42"/>
      <c r="O28" s="3">
        <v>9</v>
      </c>
      <c r="P28" t="s">
        <v>357</v>
      </c>
      <c r="Q28" t="s">
        <v>358</v>
      </c>
      <c r="R28" t="s">
        <v>67</v>
      </c>
      <c r="S28" s="10">
        <v>1</v>
      </c>
      <c r="T28" t="s">
        <v>5</v>
      </c>
      <c r="U28" s="10">
        <v>31625</v>
      </c>
      <c r="V28" s="4">
        <v>31625</v>
      </c>
      <c r="X28" s="3" t="s">
        <v>92</v>
      </c>
      <c r="Y28" t="s">
        <v>93</v>
      </c>
      <c r="Z28" t="s">
        <v>67</v>
      </c>
      <c r="AA28" s="10">
        <v>43</v>
      </c>
      <c r="AB28" t="s">
        <v>94</v>
      </c>
      <c r="AC28" s="10">
        <v>11800.1908</v>
      </c>
      <c r="AD28" s="4">
        <v>507408.20439999999</v>
      </c>
      <c r="AF28" s="20">
        <v>9</v>
      </c>
      <c r="AG28" s="18" t="s">
        <v>33</v>
      </c>
      <c r="AH28" s="18" t="s">
        <v>34</v>
      </c>
      <c r="AI28" s="18" t="s">
        <v>4</v>
      </c>
      <c r="AJ28" s="21">
        <v>15.2</v>
      </c>
      <c r="AK28" s="18" t="s">
        <v>30</v>
      </c>
      <c r="AL28" s="21">
        <v>13000</v>
      </c>
      <c r="AM28" s="19">
        <v>197600</v>
      </c>
      <c r="AO28" s="20" t="s">
        <v>256</v>
      </c>
      <c r="AP28" s="18" t="s">
        <v>257</v>
      </c>
      <c r="AQ28" s="18" t="s">
        <v>67</v>
      </c>
      <c r="AR28" s="21">
        <v>11</v>
      </c>
      <c r="AS28" s="18" t="s">
        <v>20</v>
      </c>
      <c r="AT28" s="21">
        <v>3199.7674999999999</v>
      </c>
      <c r="AU28" s="19">
        <v>35197.442499999997</v>
      </c>
      <c r="AW28" s="20" t="s">
        <v>256</v>
      </c>
      <c r="AX28" s="18" t="s">
        <v>257</v>
      </c>
      <c r="AY28" s="18" t="s">
        <v>67</v>
      </c>
      <c r="AZ28" s="21">
        <v>11</v>
      </c>
      <c r="BA28" s="18" t="s">
        <v>20</v>
      </c>
      <c r="BB28" s="21">
        <v>3199.7674999999999</v>
      </c>
      <c r="BC28" s="19">
        <v>35197.442499999997</v>
      </c>
    </row>
    <row r="29" spans="1:55" x14ac:dyDescent="0.35">
      <c r="A29" s="38" t="str">
        <v>STA00080</v>
      </c>
      <c r="B29" s="31" t="str">
        <f t="shared" si="4"/>
        <v>KERTAS THERMAL 80 X 80</v>
      </c>
      <c r="C29" s="31" t="str">
        <f t="shared" si="5"/>
        <v>STATIONARY AND OFFICE SUPPLIES</v>
      </c>
      <c r="D29" s="39" t="str">
        <f t="shared" si="6"/>
        <v>ROLL</v>
      </c>
      <c r="E29" s="40">
        <f t="shared" si="7"/>
        <v>11800.05</v>
      </c>
      <c r="F29" s="41">
        <f t="shared" si="8"/>
        <v>43</v>
      </c>
      <c r="G29" s="41">
        <f t="shared" si="9"/>
        <v>52</v>
      </c>
      <c r="H29" s="41">
        <f t="shared" si="10"/>
        <v>9</v>
      </c>
      <c r="I29" s="40">
        <f t="shared" si="11"/>
        <v>106200.45</v>
      </c>
      <c r="J29" s="31" t="str">
        <f t="shared" si="12"/>
        <v>Kenaikan IU</v>
      </c>
      <c r="K29" s="42"/>
      <c r="O29" s="3">
        <v>10</v>
      </c>
      <c r="P29" t="s">
        <v>395</v>
      </c>
      <c r="Q29" t="s">
        <v>396</v>
      </c>
      <c r="R29" t="s">
        <v>67</v>
      </c>
      <c r="S29" s="10">
        <v>1</v>
      </c>
      <c r="T29" t="s">
        <v>216</v>
      </c>
      <c r="U29" s="10">
        <v>6000</v>
      </c>
      <c r="V29" s="4">
        <v>6000</v>
      </c>
      <c r="X29" s="3" t="s">
        <v>361</v>
      </c>
      <c r="Y29" t="s">
        <v>362</v>
      </c>
      <c r="Z29" t="s">
        <v>67</v>
      </c>
      <c r="AA29" s="10">
        <v>2</v>
      </c>
      <c r="AB29" t="s">
        <v>363</v>
      </c>
      <c r="AC29" s="10">
        <v>60</v>
      </c>
      <c r="AD29" s="4">
        <v>120</v>
      </c>
      <c r="AF29" s="20">
        <v>10</v>
      </c>
      <c r="AG29" s="18" t="s">
        <v>50</v>
      </c>
      <c r="AH29" s="18" t="s">
        <v>51</v>
      </c>
      <c r="AI29" s="18" t="s">
        <v>41</v>
      </c>
      <c r="AJ29" s="21">
        <v>14</v>
      </c>
      <c r="AK29" s="18" t="s">
        <v>52</v>
      </c>
      <c r="AL29" s="21">
        <v>20499.989799999999</v>
      </c>
      <c r="AM29" s="19">
        <v>286999.85720000003</v>
      </c>
      <c r="AO29" s="20" t="s">
        <v>107</v>
      </c>
      <c r="AP29" s="18" t="s">
        <v>108</v>
      </c>
      <c r="AQ29" s="18" t="s">
        <v>67</v>
      </c>
      <c r="AR29" s="21">
        <v>1</v>
      </c>
      <c r="AS29" s="18" t="s">
        <v>5</v>
      </c>
      <c r="AT29" s="21">
        <v>18062.884600000001</v>
      </c>
      <c r="AU29" s="19">
        <v>18062.884600000001</v>
      </c>
      <c r="AW29" s="20" t="s">
        <v>107</v>
      </c>
      <c r="AX29" s="18" t="s">
        <v>108</v>
      </c>
      <c r="AY29" s="18" t="s">
        <v>67</v>
      </c>
      <c r="AZ29" s="21">
        <v>1</v>
      </c>
      <c r="BA29" s="18" t="s">
        <v>5</v>
      </c>
      <c r="BB29" s="21">
        <v>18062.884600000001</v>
      </c>
      <c r="BC29" s="19">
        <v>18062.884600000001</v>
      </c>
    </row>
    <row r="30" spans="1:55" x14ac:dyDescent="0.35">
      <c r="A30" s="38" t="str">
        <v>STA00096</v>
      </c>
      <c r="B30" s="31" t="str">
        <f t="shared" si="4"/>
        <v>HANSAPLAS</v>
      </c>
      <c r="C30" s="31" t="str">
        <f t="shared" si="5"/>
        <v>STATIONARY AND OFFICE SUPPLIES</v>
      </c>
      <c r="D30" s="39" t="str">
        <f t="shared" si="6"/>
        <v>pack</v>
      </c>
      <c r="E30" s="40">
        <f t="shared" si="7"/>
        <v>34500</v>
      </c>
      <c r="F30" s="41" t="str">
        <f t="shared" si="8"/>
        <v>0</v>
      </c>
      <c r="G30" s="41">
        <f t="shared" si="9"/>
        <v>5</v>
      </c>
      <c r="H30" s="41">
        <f t="shared" si="10"/>
        <v>5</v>
      </c>
      <c r="I30" s="40">
        <f t="shared" si="11"/>
        <v>172500</v>
      </c>
      <c r="J30" s="31" t="str">
        <f t="shared" si="12"/>
        <v>Kenaikan IU</v>
      </c>
      <c r="K30" s="42"/>
      <c r="O30" s="3">
        <v>11</v>
      </c>
      <c r="P30" t="s">
        <v>238</v>
      </c>
      <c r="Q30" t="s">
        <v>239</v>
      </c>
      <c r="R30" t="s">
        <v>67</v>
      </c>
      <c r="S30" s="10">
        <v>0.3</v>
      </c>
      <c r="T30" t="s">
        <v>74</v>
      </c>
      <c r="U30" s="10">
        <v>13500</v>
      </c>
      <c r="V30" s="4">
        <v>4050</v>
      </c>
      <c r="X30" s="3" t="s">
        <v>397</v>
      </c>
      <c r="Y30" t="s">
        <v>398</v>
      </c>
      <c r="Z30" t="s">
        <v>67</v>
      </c>
      <c r="AA30" s="10">
        <v>1</v>
      </c>
      <c r="AB30" t="s">
        <v>20</v>
      </c>
      <c r="AC30" s="10">
        <v>3083.3332999999998</v>
      </c>
      <c r="AD30" s="4">
        <v>3083.3332999999998</v>
      </c>
      <c r="AF30" s="20">
        <v>11</v>
      </c>
      <c r="AG30" s="18" t="s">
        <v>453</v>
      </c>
      <c r="AH30" s="18" t="s">
        <v>454</v>
      </c>
      <c r="AI30" s="18" t="s">
        <v>41</v>
      </c>
      <c r="AJ30" s="21">
        <v>3</v>
      </c>
      <c r="AK30" s="18" t="s">
        <v>267</v>
      </c>
      <c r="AL30" s="21">
        <v>17628.0769</v>
      </c>
      <c r="AM30" s="19">
        <v>52884.2307</v>
      </c>
      <c r="AO30" s="20" t="s">
        <v>110</v>
      </c>
      <c r="AP30" s="18" t="s">
        <v>111</v>
      </c>
      <c r="AQ30" s="18" t="s">
        <v>67</v>
      </c>
      <c r="AR30" s="21">
        <v>1</v>
      </c>
      <c r="AS30" s="18" t="s">
        <v>94</v>
      </c>
      <c r="AT30" s="21">
        <v>10500</v>
      </c>
      <c r="AU30" s="19">
        <v>10500</v>
      </c>
      <c r="AW30" s="20" t="s">
        <v>110</v>
      </c>
      <c r="AX30" s="18" t="s">
        <v>111</v>
      </c>
      <c r="AY30" s="18" t="s">
        <v>67</v>
      </c>
      <c r="AZ30" s="21">
        <v>1</v>
      </c>
      <c r="BA30" s="18" t="s">
        <v>94</v>
      </c>
      <c r="BB30" s="21">
        <v>10500</v>
      </c>
      <c r="BC30" s="19">
        <v>10500</v>
      </c>
    </row>
    <row r="31" spans="1:55" x14ac:dyDescent="0.35">
      <c r="A31" s="38" t="str">
        <v>STA00098</v>
      </c>
      <c r="B31" s="31" t="str">
        <f t="shared" si="4"/>
        <v>KAPAS</v>
      </c>
      <c r="C31" s="31" t="str">
        <f t="shared" si="5"/>
        <v>STATIONARY AND OFFICE SUPPLIES</v>
      </c>
      <c r="D31" s="39" t="str">
        <f t="shared" si="6"/>
        <v>gr</v>
      </c>
      <c r="E31" s="40">
        <f t="shared" si="7"/>
        <v>60</v>
      </c>
      <c r="F31" s="41">
        <f t="shared" si="8"/>
        <v>2</v>
      </c>
      <c r="G31" s="41">
        <f t="shared" si="9"/>
        <v>6</v>
      </c>
      <c r="H31" s="41">
        <f t="shared" si="10"/>
        <v>4</v>
      </c>
      <c r="I31" s="40">
        <f t="shared" si="11"/>
        <v>240</v>
      </c>
      <c r="J31" s="31" t="str">
        <f t="shared" si="12"/>
        <v>Kenaikan IU</v>
      </c>
      <c r="K31" s="42"/>
      <c r="O31" s="3">
        <v>12</v>
      </c>
      <c r="P31" t="s">
        <v>83</v>
      </c>
      <c r="Q31" t="s">
        <v>84</v>
      </c>
      <c r="R31" t="s">
        <v>67</v>
      </c>
      <c r="S31" s="10">
        <v>1</v>
      </c>
      <c r="T31" t="s">
        <v>20</v>
      </c>
      <c r="U31" s="10">
        <v>7250</v>
      </c>
      <c r="V31" s="4">
        <v>7250</v>
      </c>
      <c r="X31" s="3" t="s">
        <v>107</v>
      </c>
      <c r="Y31" t="s">
        <v>108</v>
      </c>
      <c r="Z31" t="s">
        <v>67</v>
      </c>
      <c r="AA31" s="10">
        <v>2</v>
      </c>
      <c r="AB31" t="s">
        <v>5</v>
      </c>
      <c r="AC31" s="10">
        <v>16250</v>
      </c>
      <c r="AD31" s="4">
        <v>32500</v>
      </c>
      <c r="AF31" s="20">
        <v>12</v>
      </c>
      <c r="AG31" s="18" t="s">
        <v>455</v>
      </c>
      <c r="AH31" s="18" t="s">
        <v>456</v>
      </c>
      <c r="AI31" s="18" t="s">
        <v>41</v>
      </c>
      <c r="AJ31" s="21">
        <v>1</v>
      </c>
      <c r="AK31" s="18" t="s">
        <v>20</v>
      </c>
      <c r="AL31" s="21">
        <v>38050.583400000003</v>
      </c>
      <c r="AM31" s="19">
        <v>38050.583400000003</v>
      </c>
      <c r="AO31" s="20" t="s">
        <v>364</v>
      </c>
      <c r="AP31" s="18" t="s">
        <v>365</v>
      </c>
      <c r="AQ31" s="18" t="s">
        <v>67</v>
      </c>
      <c r="AR31" s="21">
        <v>0.1</v>
      </c>
      <c r="AS31" s="18" t="s">
        <v>52</v>
      </c>
      <c r="AT31" s="21">
        <v>16139.876200000001</v>
      </c>
      <c r="AU31" s="19">
        <v>1613.9876200000001</v>
      </c>
      <c r="AW31" s="20" t="s">
        <v>364</v>
      </c>
      <c r="AX31" s="18" t="s">
        <v>365</v>
      </c>
      <c r="AY31" s="18" t="s">
        <v>67</v>
      </c>
      <c r="AZ31" s="21">
        <v>0.1</v>
      </c>
      <c r="BA31" s="18" t="s">
        <v>52</v>
      </c>
      <c r="BB31" s="21">
        <v>16139.876200000001</v>
      </c>
      <c r="BC31" s="19">
        <v>1613.9876200000001</v>
      </c>
    </row>
    <row r="32" spans="1:55" x14ac:dyDescent="0.35">
      <c r="A32" s="38" t="str">
        <v>STA00099</v>
      </c>
      <c r="B32" s="31" t="str">
        <f t="shared" si="4"/>
        <v>BUSINESS FILE</v>
      </c>
      <c r="C32" s="31" t="str">
        <f t="shared" si="5"/>
        <v>STATIONARY AND OFFICE SUPPLIES</v>
      </c>
      <c r="D32" s="39" t="str">
        <f t="shared" si="6"/>
        <v>pcs</v>
      </c>
      <c r="E32" s="40">
        <f t="shared" si="7"/>
        <v>3199.77</v>
      </c>
      <c r="F32" s="41" t="str">
        <f t="shared" si="8"/>
        <v>0</v>
      </c>
      <c r="G32" s="41">
        <f t="shared" si="9"/>
        <v>11</v>
      </c>
      <c r="H32" s="41">
        <f t="shared" si="10"/>
        <v>11</v>
      </c>
      <c r="I32" s="40">
        <f t="shared" si="11"/>
        <v>35197.47</v>
      </c>
      <c r="J32" s="31" t="str">
        <f t="shared" si="12"/>
        <v>Kenaikan IU</v>
      </c>
      <c r="K32" s="42"/>
      <c r="O32" s="3">
        <v>13</v>
      </c>
      <c r="P32" t="s">
        <v>85</v>
      </c>
      <c r="Q32" t="s">
        <v>86</v>
      </c>
      <c r="R32" t="s">
        <v>67</v>
      </c>
      <c r="S32" s="10">
        <v>1.3</v>
      </c>
      <c r="T32" t="s">
        <v>87</v>
      </c>
      <c r="U32" s="10">
        <v>18500</v>
      </c>
      <c r="V32" s="4">
        <v>24050</v>
      </c>
      <c r="X32" s="3" t="s">
        <v>364</v>
      </c>
      <c r="Y32" t="s">
        <v>365</v>
      </c>
      <c r="Z32" t="s">
        <v>67</v>
      </c>
      <c r="AA32" s="10">
        <v>2.9</v>
      </c>
      <c r="AB32" t="s">
        <v>52</v>
      </c>
      <c r="AC32" s="10">
        <v>20336.163199999999</v>
      </c>
      <c r="AD32" s="4">
        <v>58974.87328</v>
      </c>
      <c r="AF32" s="20">
        <v>13</v>
      </c>
      <c r="AG32" s="18" t="s">
        <v>57</v>
      </c>
      <c r="AH32" s="18" t="s">
        <v>58</v>
      </c>
      <c r="AI32" s="18" t="s">
        <v>41</v>
      </c>
      <c r="AJ32" s="21">
        <v>11</v>
      </c>
      <c r="AK32" s="18" t="s">
        <v>5</v>
      </c>
      <c r="AL32" s="21">
        <v>7697.2136</v>
      </c>
      <c r="AM32" s="19">
        <v>84669.349600000001</v>
      </c>
      <c r="AO32" s="20" t="s">
        <v>258</v>
      </c>
      <c r="AP32" s="18" t="s">
        <v>259</v>
      </c>
      <c r="AQ32" s="18" t="s">
        <v>67</v>
      </c>
      <c r="AR32" s="18">
        <v>0.5</v>
      </c>
      <c r="AS32" s="18" t="s">
        <v>5</v>
      </c>
      <c r="AT32" s="18">
        <v>24500</v>
      </c>
      <c r="AU32" s="19">
        <v>12250</v>
      </c>
      <c r="AW32" s="20" t="s">
        <v>258</v>
      </c>
      <c r="AX32" s="18" t="s">
        <v>259</v>
      </c>
      <c r="AY32" s="18" t="s">
        <v>67</v>
      </c>
      <c r="AZ32" s="18">
        <v>0.5</v>
      </c>
      <c r="BA32" s="18" t="s">
        <v>5</v>
      </c>
      <c r="BB32" s="18">
        <v>24500</v>
      </c>
      <c r="BC32" s="19">
        <v>12250</v>
      </c>
    </row>
    <row r="33" spans="1:55" x14ac:dyDescent="0.35">
      <c r="A33" s="38" t="str">
        <v>STA00109</v>
      </c>
      <c r="B33" s="31" t="str">
        <f t="shared" si="4"/>
        <v>STOCK CARD</v>
      </c>
      <c r="C33" s="31" t="str">
        <f t="shared" si="5"/>
        <v>STATIONARY AND OFFICE SUPPLIES</v>
      </c>
      <c r="D33" s="39" t="str">
        <f t="shared" si="6"/>
        <v>pack</v>
      </c>
      <c r="E33" s="40">
        <f t="shared" si="7"/>
        <v>18062.88</v>
      </c>
      <c r="F33" s="41">
        <f t="shared" si="8"/>
        <v>2</v>
      </c>
      <c r="G33" s="41">
        <f t="shared" si="9"/>
        <v>1</v>
      </c>
      <c r="H33" s="41">
        <f t="shared" si="10"/>
        <v>-1</v>
      </c>
      <c r="I33" s="40">
        <f t="shared" si="11"/>
        <v>-18062.88</v>
      </c>
      <c r="J33" s="31" t="str">
        <f t="shared" si="12"/>
        <v>Penurunan IU</v>
      </c>
      <c r="K33" s="42"/>
      <c r="O33" s="3">
        <v>14</v>
      </c>
      <c r="P33" t="s">
        <v>242</v>
      </c>
      <c r="Q33" t="s">
        <v>243</v>
      </c>
      <c r="R33" t="s">
        <v>67</v>
      </c>
      <c r="S33" s="10">
        <v>1</v>
      </c>
      <c r="T33" t="s">
        <v>87</v>
      </c>
      <c r="U33" s="10">
        <v>14500</v>
      </c>
      <c r="V33" s="4">
        <v>14500</v>
      </c>
      <c r="X33" s="3" t="s">
        <v>258</v>
      </c>
      <c r="Y33" t="s">
        <v>259</v>
      </c>
      <c r="Z33" t="s">
        <v>67</v>
      </c>
      <c r="AA33" s="10">
        <v>0.5</v>
      </c>
      <c r="AB33" t="s">
        <v>5</v>
      </c>
      <c r="AC33" s="10">
        <v>24500</v>
      </c>
      <c r="AD33" s="4">
        <v>12250</v>
      </c>
      <c r="AF33" s="20">
        <v>14</v>
      </c>
      <c r="AG33" s="18" t="s">
        <v>59</v>
      </c>
      <c r="AH33" s="18" t="s">
        <v>60</v>
      </c>
      <c r="AI33" s="18" t="s">
        <v>41</v>
      </c>
      <c r="AJ33" s="21">
        <v>19</v>
      </c>
      <c r="AK33" s="18" t="s">
        <v>5</v>
      </c>
      <c r="AL33" s="21">
        <v>7699.8361000000004</v>
      </c>
      <c r="AM33" s="19">
        <v>146296.88589999999</v>
      </c>
      <c r="AO33" s="20" t="s">
        <v>329</v>
      </c>
      <c r="AP33" s="18" t="s">
        <v>330</v>
      </c>
      <c r="AQ33" s="18" t="s">
        <v>165</v>
      </c>
      <c r="AR33" s="21">
        <v>4</v>
      </c>
      <c r="AS33" s="18" t="s">
        <v>20</v>
      </c>
      <c r="AT33" s="21">
        <v>14740.575999999999</v>
      </c>
      <c r="AU33" s="19">
        <v>58962.303999999996</v>
      </c>
      <c r="AW33" s="20" t="s">
        <v>329</v>
      </c>
      <c r="AX33" s="18" t="s">
        <v>330</v>
      </c>
      <c r="AY33" s="18" t="s">
        <v>165</v>
      </c>
      <c r="AZ33" s="21">
        <v>4</v>
      </c>
      <c r="BA33" s="18" t="s">
        <v>20</v>
      </c>
      <c r="BB33" s="21">
        <v>14740.575999999999</v>
      </c>
      <c r="BC33" s="19">
        <v>58962.303999999996</v>
      </c>
    </row>
    <row r="34" spans="1:55" x14ac:dyDescent="0.35">
      <c r="A34" s="38" t="str">
        <v>STA00111</v>
      </c>
      <c r="B34" s="31" t="str">
        <f t="shared" si="4"/>
        <v>DOUBLE TAPE FOAM HITAM</v>
      </c>
      <c r="C34" s="31" t="str">
        <f t="shared" si="5"/>
        <v>STATIONARY AND OFFICE SUPPLIES</v>
      </c>
      <c r="D34" s="39" t="str">
        <f t="shared" si="6"/>
        <v>ROLL</v>
      </c>
      <c r="E34" s="40">
        <f t="shared" si="7"/>
        <v>10500</v>
      </c>
      <c r="F34" s="41" t="str">
        <f t="shared" si="8"/>
        <v>0</v>
      </c>
      <c r="G34" s="41">
        <f t="shared" si="9"/>
        <v>1</v>
      </c>
      <c r="H34" s="41">
        <f t="shared" si="10"/>
        <v>1</v>
      </c>
      <c r="I34" s="40">
        <f t="shared" si="11"/>
        <v>10500</v>
      </c>
      <c r="J34" s="31" t="str">
        <f t="shared" si="12"/>
        <v>Kenaikan IU</v>
      </c>
      <c r="K34" s="42"/>
      <c r="O34" s="3">
        <v>15</v>
      </c>
      <c r="P34" t="s">
        <v>246</v>
      </c>
      <c r="Q34" t="s">
        <v>247</v>
      </c>
      <c r="R34" t="s">
        <v>67</v>
      </c>
      <c r="S34" s="10">
        <v>0.5</v>
      </c>
      <c r="T34" t="s">
        <v>5</v>
      </c>
      <c r="U34" s="10">
        <v>1400</v>
      </c>
      <c r="V34" s="4">
        <v>700</v>
      </c>
      <c r="X34" s="3" t="s">
        <v>399</v>
      </c>
      <c r="Y34" t="s">
        <v>400</v>
      </c>
      <c r="Z34" t="s">
        <v>67</v>
      </c>
      <c r="AA34" s="10">
        <v>1</v>
      </c>
      <c r="AB34" t="s">
        <v>52</v>
      </c>
      <c r="AC34" s="10">
        <v>3235.3499000000011</v>
      </c>
      <c r="AD34" s="4">
        <v>3235.3499000000002</v>
      </c>
      <c r="AF34" s="20">
        <v>15</v>
      </c>
      <c r="AG34" s="18" t="s">
        <v>61</v>
      </c>
      <c r="AH34" s="18" t="s">
        <v>62</v>
      </c>
      <c r="AI34" s="18" t="s">
        <v>41</v>
      </c>
      <c r="AJ34" s="18">
        <v>3</v>
      </c>
      <c r="AK34" s="18" t="s">
        <v>5</v>
      </c>
      <c r="AL34" s="18">
        <v>15592.268899999999</v>
      </c>
      <c r="AM34" s="19">
        <v>46776.806700000001</v>
      </c>
      <c r="AO34" s="20" t="s">
        <v>173</v>
      </c>
      <c r="AP34" s="18" t="s">
        <v>174</v>
      </c>
      <c r="AQ34" s="18" t="s">
        <v>165</v>
      </c>
      <c r="AR34" s="21">
        <v>2</v>
      </c>
      <c r="AS34" s="18" t="s">
        <v>20</v>
      </c>
      <c r="AT34" s="21">
        <v>16724.9169</v>
      </c>
      <c r="AU34" s="19">
        <v>33449.8338</v>
      </c>
      <c r="AW34" s="20" t="s">
        <v>173</v>
      </c>
      <c r="AX34" s="18" t="s">
        <v>174</v>
      </c>
      <c r="AY34" s="18" t="s">
        <v>165</v>
      </c>
      <c r="AZ34" s="21">
        <v>2</v>
      </c>
      <c r="BA34" s="18" t="s">
        <v>20</v>
      </c>
      <c r="BB34" s="21">
        <v>16724.9169</v>
      </c>
      <c r="BC34" s="19">
        <v>33449.8338</v>
      </c>
    </row>
    <row r="35" spans="1:55" ht="15" thickBot="1" x14ac:dyDescent="0.4">
      <c r="A35" s="38" t="str">
        <v>STA00115</v>
      </c>
      <c r="B35" s="31" t="str">
        <f t="shared" si="4"/>
        <v>STICKER SAUCE</v>
      </c>
      <c r="C35" s="31" t="str">
        <f t="shared" si="5"/>
        <v>STATIONARY AND OFFICE SUPPLIES</v>
      </c>
      <c r="D35" s="39" t="str">
        <f t="shared" si="6"/>
        <v>lembar</v>
      </c>
      <c r="E35" s="40">
        <f t="shared" si="7"/>
        <v>16139.88</v>
      </c>
      <c r="F35" s="41">
        <f t="shared" si="8"/>
        <v>2.9</v>
      </c>
      <c r="G35" s="41">
        <f t="shared" si="9"/>
        <v>0.1</v>
      </c>
      <c r="H35" s="41">
        <f t="shared" si="10"/>
        <v>-2.8</v>
      </c>
      <c r="I35" s="40">
        <f t="shared" si="11"/>
        <v>-45191.663999999997</v>
      </c>
      <c r="J35" s="31" t="str">
        <f t="shared" si="12"/>
        <v>Penurunan IU</v>
      </c>
      <c r="K35" s="42"/>
      <c r="O35" s="3">
        <v>16</v>
      </c>
      <c r="P35" t="s">
        <v>88</v>
      </c>
      <c r="Q35" t="s">
        <v>89</v>
      </c>
      <c r="R35" t="s">
        <v>67</v>
      </c>
      <c r="S35" s="10">
        <v>2</v>
      </c>
      <c r="T35" t="s">
        <v>5</v>
      </c>
      <c r="U35" s="10">
        <v>1750</v>
      </c>
      <c r="V35" s="4">
        <v>3500</v>
      </c>
      <c r="X35" s="3" t="s">
        <v>401</v>
      </c>
      <c r="Y35" t="s">
        <v>402</v>
      </c>
      <c r="Z35" t="s">
        <v>67</v>
      </c>
      <c r="AA35">
        <v>2</v>
      </c>
      <c r="AB35" t="s">
        <v>20</v>
      </c>
      <c r="AC35">
        <v>3578.68</v>
      </c>
      <c r="AD35" s="4">
        <v>7157.36</v>
      </c>
      <c r="AF35" s="22" t="s">
        <v>223</v>
      </c>
      <c r="AG35" s="23" t="s">
        <v>223</v>
      </c>
      <c r="AH35" s="23" t="s">
        <v>223</v>
      </c>
      <c r="AI35" s="23" t="s">
        <v>223</v>
      </c>
      <c r="AJ35" s="23" t="s">
        <v>223</v>
      </c>
      <c r="AK35" s="23" t="s">
        <v>223</v>
      </c>
      <c r="AL35" s="23" t="s">
        <v>224</v>
      </c>
      <c r="AM35" s="24">
        <v>2137389.083106</v>
      </c>
      <c r="AO35" s="20" t="s">
        <v>176</v>
      </c>
      <c r="AP35" s="18" t="s">
        <v>177</v>
      </c>
      <c r="AQ35" s="18" t="s">
        <v>165</v>
      </c>
      <c r="AR35" s="21">
        <v>1</v>
      </c>
      <c r="AS35" s="18" t="s">
        <v>20</v>
      </c>
      <c r="AT35" s="21">
        <v>12716.837525423731</v>
      </c>
      <c r="AU35" s="19">
        <v>12716.837525000001</v>
      </c>
      <c r="AW35" s="20" t="s">
        <v>176</v>
      </c>
      <c r="AX35" s="18" t="s">
        <v>177</v>
      </c>
      <c r="AY35" s="18" t="s">
        <v>165</v>
      </c>
      <c r="AZ35" s="21">
        <v>1</v>
      </c>
      <c r="BA35" s="18" t="s">
        <v>20</v>
      </c>
      <c r="BB35" s="21">
        <v>12716.837525423731</v>
      </c>
      <c r="BC35" s="19">
        <v>12716.837525000001</v>
      </c>
    </row>
    <row r="36" spans="1:55" x14ac:dyDescent="0.35">
      <c r="A36" s="38" t="str">
        <v>STA00121</v>
      </c>
      <c r="B36" s="31" t="str">
        <f t="shared" si="4"/>
        <v>KERTAS BURAM A4</v>
      </c>
      <c r="C36" s="31" t="str">
        <f t="shared" si="5"/>
        <v>STATIONARY AND OFFICE SUPPLIES</v>
      </c>
      <c r="D36" s="39" t="str">
        <f t="shared" si="6"/>
        <v>pack</v>
      </c>
      <c r="E36" s="40">
        <f t="shared" si="7"/>
        <v>24500</v>
      </c>
      <c r="F36" s="41">
        <f t="shared" si="8"/>
        <v>0.5</v>
      </c>
      <c r="G36" s="41">
        <f t="shared" si="9"/>
        <v>0.5</v>
      </c>
      <c r="H36" s="41">
        <f t="shared" si="10"/>
        <v>0</v>
      </c>
      <c r="I36" s="40">
        <f t="shared" si="11"/>
        <v>0</v>
      </c>
      <c r="J36" s="31" t="str">
        <f t="shared" si="12"/>
        <v>Tidak Ada Perubahan</v>
      </c>
      <c r="K36" s="42"/>
      <c r="O36" s="3">
        <v>17</v>
      </c>
      <c r="P36" t="s">
        <v>327</v>
      </c>
      <c r="Q36" t="s">
        <v>328</v>
      </c>
      <c r="R36" t="s">
        <v>67</v>
      </c>
      <c r="S36" s="10">
        <v>5</v>
      </c>
      <c r="T36" t="s">
        <v>5</v>
      </c>
      <c r="U36" s="10">
        <v>6250</v>
      </c>
      <c r="V36" s="4">
        <v>31250</v>
      </c>
      <c r="X36" s="3" t="s">
        <v>2</v>
      </c>
      <c r="Y36" t="s">
        <v>3</v>
      </c>
      <c r="Z36" t="s">
        <v>4</v>
      </c>
      <c r="AA36" s="10">
        <v>8</v>
      </c>
      <c r="AB36" t="s">
        <v>5</v>
      </c>
      <c r="AC36" s="10">
        <v>21004.1859</v>
      </c>
      <c r="AD36" s="4">
        <v>168033.4872</v>
      </c>
      <c r="AO36" s="20" t="s">
        <v>433</v>
      </c>
      <c r="AP36" s="18" t="s">
        <v>434</v>
      </c>
      <c r="AQ36" s="18" t="s">
        <v>165</v>
      </c>
      <c r="AR36" s="21">
        <v>9</v>
      </c>
      <c r="AS36" s="18" t="s">
        <v>20</v>
      </c>
      <c r="AT36" s="21">
        <v>3982.280000000002</v>
      </c>
      <c r="AU36" s="19">
        <v>35840.519999999997</v>
      </c>
      <c r="AW36" s="20" t="s">
        <v>433</v>
      </c>
      <c r="AX36" s="18" t="s">
        <v>434</v>
      </c>
      <c r="AY36" s="18" t="s">
        <v>165</v>
      </c>
      <c r="AZ36" s="21">
        <v>9</v>
      </c>
      <c r="BA36" s="18" t="s">
        <v>20</v>
      </c>
      <c r="BB36" s="21">
        <v>3982.280000000002</v>
      </c>
      <c r="BC36" s="19">
        <v>35840.519999999997</v>
      </c>
    </row>
    <row r="37" spans="1:55" ht="15" thickBot="1" x14ac:dyDescent="0.4">
      <c r="A37" s="38" t="str">
        <v>KW000030</v>
      </c>
      <c r="B37" s="31" t="str">
        <f t="shared" si="4"/>
        <v>CETAKAN ES BATU BULAT 33 - BIRU</v>
      </c>
      <c r="C37" s="31" t="str">
        <f t="shared" si="5"/>
        <v>KITCHENWARE TOOLS</v>
      </c>
      <c r="D37" s="39" t="str">
        <f t="shared" si="6"/>
        <v>pcs</v>
      </c>
      <c r="E37" s="40">
        <f t="shared" si="7"/>
        <v>14740.58</v>
      </c>
      <c r="F37" s="41">
        <f t="shared" si="8"/>
        <v>14</v>
      </c>
      <c r="G37" s="41">
        <f t="shared" si="9"/>
        <v>4</v>
      </c>
      <c r="H37" s="41">
        <f t="shared" si="10"/>
        <v>-10</v>
      </c>
      <c r="I37" s="40">
        <f t="shared" si="11"/>
        <v>-147405.79999999999</v>
      </c>
      <c r="J37" s="31" t="str">
        <f t="shared" si="12"/>
        <v>Penurunan IU</v>
      </c>
      <c r="K37" s="42"/>
      <c r="O37" s="3">
        <v>18</v>
      </c>
      <c r="P37" t="s">
        <v>90</v>
      </c>
      <c r="Q37" t="s">
        <v>91</v>
      </c>
      <c r="R37" t="s">
        <v>67</v>
      </c>
      <c r="S37" s="10">
        <v>3</v>
      </c>
      <c r="T37" t="s">
        <v>5</v>
      </c>
      <c r="U37" s="10">
        <v>6214.4396999999999</v>
      </c>
      <c r="V37" s="4">
        <v>18643.319100000001</v>
      </c>
      <c r="X37" s="3" t="s">
        <v>403</v>
      </c>
      <c r="Y37" t="s">
        <v>404</v>
      </c>
      <c r="Z37" t="s">
        <v>4</v>
      </c>
      <c r="AA37" s="10">
        <v>0.2</v>
      </c>
      <c r="AB37" t="s">
        <v>9</v>
      </c>
      <c r="AC37" s="10">
        <v>70569.027799999996</v>
      </c>
      <c r="AD37" s="4">
        <v>14113.805560000001</v>
      </c>
      <c r="AO37" s="20" t="s">
        <v>294</v>
      </c>
      <c r="AP37" s="18" t="s">
        <v>295</v>
      </c>
      <c r="AQ37" s="18" t="s">
        <v>165</v>
      </c>
      <c r="AR37" s="21">
        <v>3</v>
      </c>
      <c r="AS37" s="18" t="s">
        <v>20</v>
      </c>
      <c r="AT37" s="21">
        <v>16712.906800000001</v>
      </c>
      <c r="AU37" s="19">
        <v>50138.720399999998</v>
      </c>
      <c r="AW37" s="20" t="s">
        <v>294</v>
      </c>
      <c r="AX37" s="18" t="s">
        <v>295</v>
      </c>
      <c r="AY37" s="18" t="s">
        <v>165</v>
      </c>
      <c r="AZ37" s="21">
        <v>3</v>
      </c>
      <c r="BA37" s="18" t="s">
        <v>20</v>
      </c>
      <c r="BB37" s="21">
        <v>16712.906800000001</v>
      </c>
      <c r="BC37" s="19">
        <v>50138.720399999998</v>
      </c>
    </row>
    <row r="38" spans="1:55" x14ac:dyDescent="0.35">
      <c r="A38" s="38" t="str">
        <v>KW00069</v>
      </c>
      <c r="B38" s="31" t="str">
        <f t="shared" si="4"/>
        <v>SAUCE BOTTLE</v>
      </c>
      <c r="C38" s="31" t="str">
        <f t="shared" si="5"/>
        <v>KITCHENWARE TOOLS</v>
      </c>
      <c r="D38" s="39" t="str">
        <f t="shared" si="6"/>
        <v>pcs</v>
      </c>
      <c r="E38" s="40">
        <f t="shared" si="7"/>
        <v>16724.919999999998</v>
      </c>
      <c r="F38" s="41">
        <f t="shared" si="8"/>
        <v>1</v>
      </c>
      <c r="G38" s="41">
        <f t="shared" si="9"/>
        <v>2</v>
      </c>
      <c r="H38" s="41">
        <f t="shared" si="10"/>
        <v>1</v>
      </c>
      <c r="I38" s="40">
        <f t="shared" si="11"/>
        <v>16724.919999999998</v>
      </c>
      <c r="J38" s="31" t="str">
        <f t="shared" si="12"/>
        <v>Kenaikan IU</v>
      </c>
      <c r="K38" s="42"/>
      <c r="O38" s="3">
        <v>19</v>
      </c>
      <c r="P38" t="s">
        <v>92</v>
      </c>
      <c r="Q38" t="s">
        <v>93</v>
      </c>
      <c r="R38" t="s">
        <v>67</v>
      </c>
      <c r="S38" s="10">
        <v>43</v>
      </c>
      <c r="T38" t="s">
        <v>94</v>
      </c>
      <c r="U38" s="10">
        <v>11800.1908</v>
      </c>
      <c r="V38" s="4">
        <v>507408.20439999999</v>
      </c>
      <c r="X38" s="3" t="s">
        <v>18</v>
      </c>
      <c r="Y38" t="s">
        <v>19</v>
      </c>
      <c r="Z38" t="s">
        <v>4</v>
      </c>
      <c r="AA38" s="10">
        <v>0.75</v>
      </c>
      <c r="AB38" t="s">
        <v>20</v>
      </c>
      <c r="AC38" s="10">
        <v>151400</v>
      </c>
      <c r="AD38" s="4">
        <v>113550</v>
      </c>
      <c r="AF38" s="84" t="s">
        <v>0</v>
      </c>
      <c r="AG38" s="85"/>
      <c r="AH38" s="85"/>
      <c r="AI38" s="85"/>
      <c r="AJ38" s="85"/>
      <c r="AK38" s="16"/>
      <c r="AL38" s="16"/>
      <c r="AM38" s="17"/>
      <c r="AO38" s="20" t="s">
        <v>184</v>
      </c>
      <c r="AP38" s="18" t="s">
        <v>185</v>
      </c>
      <c r="AQ38" s="18" t="s">
        <v>182</v>
      </c>
      <c r="AR38" s="21">
        <v>9</v>
      </c>
      <c r="AS38" s="18" t="s">
        <v>20</v>
      </c>
      <c r="AT38" s="21">
        <v>1570.2313999999999</v>
      </c>
      <c r="AU38" s="19">
        <v>14132.0826</v>
      </c>
      <c r="AW38" s="20" t="s">
        <v>184</v>
      </c>
      <c r="AX38" s="18" t="s">
        <v>185</v>
      </c>
      <c r="AY38" s="18" t="s">
        <v>182</v>
      </c>
      <c r="AZ38" s="21">
        <v>9</v>
      </c>
      <c r="BA38" s="18" t="s">
        <v>20</v>
      </c>
      <c r="BB38" s="21">
        <v>1570.2313999999999</v>
      </c>
      <c r="BC38" s="19">
        <v>14132.0826</v>
      </c>
    </row>
    <row r="39" spans="1:55" x14ac:dyDescent="0.35">
      <c r="A39" s="38" t="str">
        <v>KW00089</v>
      </c>
      <c r="B39" s="31" t="str">
        <f t="shared" si="4"/>
        <v>DRAWER ORGANIZER 26X8.5X4</v>
      </c>
      <c r="C39" s="31" t="str">
        <f t="shared" si="5"/>
        <v>KITCHENWARE TOOLS</v>
      </c>
      <c r="D39" s="39" t="str">
        <f t="shared" si="6"/>
        <v>pcs</v>
      </c>
      <c r="E39" s="40">
        <f t="shared" si="7"/>
        <v>12716.84</v>
      </c>
      <c r="F39" s="41" t="str">
        <f t="shared" si="8"/>
        <v>0</v>
      </c>
      <c r="G39" s="41">
        <f t="shared" si="9"/>
        <v>1</v>
      </c>
      <c r="H39" s="41">
        <f t="shared" si="10"/>
        <v>1</v>
      </c>
      <c r="I39" s="40">
        <f t="shared" si="11"/>
        <v>12716.84</v>
      </c>
      <c r="J39" s="31" t="str">
        <f t="shared" si="12"/>
        <v>Kenaikan IU</v>
      </c>
      <c r="K39" s="42"/>
      <c r="O39" s="3">
        <v>20</v>
      </c>
      <c r="P39" t="s">
        <v>361</v>
      </c>
      <c r="Q39" t="s">
        <v>362</v>
      </c>
      <c r="R39" t="s">
        <v>67</v>
      </c>
      <c r="S39" s="10">
        <v>2</v>
      </c>
      <c r="T39" t="s">
        <v>363</v>
      </c>
      <c r="U39" s="10">
        <v>60</v>
      </c>
      <c r="V39" s="4">
        <v>120</v>
      </c>
      <c r="X39" s="3" t="s">
        <v>219</v>
      </c>
      <c r="Y39" t="s">
        <v>220</v>
      </c>
      <c r="Z39" t="s">
        <v>4</v>
      </c>
      <c r="AA39" s="10">
        <v>4.25</v>
      </c>
      <c r="AB39" t="s">
        <v>25</v>
      </c>
      <c r="AC39" s="10">
        <v>83266.199274999992</v>
      </c>
      <c r="AD39" s="4">
        <v>353881.34691899997</v>
      </c>
      <c r="AF39" s="82" t="s">
        <v>1</v>
      </c>
      <c r="AG39" s="83"/>
      <c r="AH39" s="83"/>
      <c r="AI39" s="83"/>
      <c r="AJ39" s="83"/>
      <c r="AK39" s="18"/>
      <c r="AL39" s="18"/>
      <c r="AM39" s="19"/>
      <c r="AO39" s="20" t="s">
        <v>440</v>
      </c>
      <c r="AP39" s="18" t="s">
        <v>441</v>
      </c>
      <c r="AQ39" s="18" t="s">
        <v>182</v>
      </c>
      <c r="AR39" s="21">
        <v>1</v>
      </c>
      <c r="AS39" s="18" t="s">
        <v>20</v>
      </c>
      <c r="AT39" s="21">
        <v>36939.68571428</v>
      </c>
      <c r="AU39" s="19">
        <v>36939.685713999999</v>
      </c>
      <c r="AW39" s="20" t="s">
        <v>440</v>
      </c>
      <c r="AX39" s="18" t="s">
        <v>441</v>
      </c>
      <c r="AY39" s="18" t="s">
        <v>182</v>
      </c>
      <c r="AZ39" s="21">
        <v>1</v>
      </c>
      <c r="BA39" s="18" t="s">
        <v>20</v>
      </c>
      <c r="BB39" s="21">
        <v>36939.68571428</v>
      </c>
      <c r="BC39" s="19">
        <v>36939.685713999999</v>
      </c>
    </row>
    <row r="40" spans="1:55" x14ac:dyDescent="0.35">
      <c r="A40" s="38" t="str">
        <v>KW00119</v>
      </c>
      <c r="B40" s="31" t="str">
        <f t="shared" si="4"/>
        <v>SENDOK KITCHEN</v>
      </c>
      <c r="C40" s="31" t="str">
        <f t="shared" si="5"/>
        <v>KITCHENWARE TOOLS</v>
      </c>
      <c r="D40" s="39" t="str">
        <f t="shared" si="6"/>
        <v>pcs</v>
      </c>
      <c r="E40" s="40">
        <f t="shared" si="7"/>
        <v>3982.28</v>
      </c>
      <c r="F40" s="41">
        <f t="shared" si="8"/>
        <v>10</v>
      </c>
      <c r="G40" s="41">
        <f t="shared" si="9"/>
        <v>9</v>
      </c>
      <c r="H40" s="41">
        <f t="shared" si="10"/>
        <v>-1</v>
      </c>
      <c r="I40" s="40">
        <f t="shared" si="11"/>
        <v>-3982.28</v>
      </c>
      <c r="J40" s="31" t="str">
        <f t="shared" si="12"/>
        <v>Penurunan IU</v>
      </c>
      <c r="K40" s="42"/>
      <c r="O40" s="3">
        <v>21</v>
      </c>
      <c r="P40" t="s">
        <v>397</v>
      </c>
      <c r="Q40" t="s">
        <v>398</v>
      </c>
      <c r="R40" t="s">
        <v>67</v>
      </c>
      <c r="S40" s="10">
        <v>1</v>
      </c>
      <c r="T40" t="s">
        <v>20</v>
      </c>
      <c r="U40" s="10">
        <v>3083.3332999999998</v>
      </c>
      <c r="V40" s="4">
        <v>3083.3332999999998</v>
      </c>
      <c r="X40" s="3" t="s">
        <v>221</v>
      </c>
      <c r="Y40" t="s">
        <v>222</v>
      </c>
      <c r="Z40" t="s">
        <v>4</v>
      </c>
      <c r="AA40" s="10">
        <v>3.25</v>
      </c>
      <c r="AB40" t="s">
        <v>25</v>
      </c>
      <c r="AC40" s="10">
        <v>101709.99100000002</v>
      </c>
      <c r="AD40" s="4">
        <v>330557.47074999998</v>
      </c>
      <c r="AF40" s="20"/>
      <c r="AG40" s="18"/>
      <c r="AH40" s="18"/>
      <c r="AI40" s="18"/>
      <c r="AJ40" s="18"/>
      <c r="AK40" s="18"/>
      <c r="AL40" s="18"/>
      <c r="AM40" s="19"/>
      <c r="AO40" s="20" t="s">
        <v>474</v>
      </c>
      <c r="AP40" s="18" t="s">
        <v>475</v>
      </c>
      <c r="AQ40" s="18" t="s">
        <v>192</v>
      </c>
      <c r="AR40" s="21">
        <v>3</v>
      </c>
      <c r="AS40" s="18" t="s">
        <v>20</v>
      </c>
      <c r="AT40" s="21">
        <v>8750</v>
      </c>
      <c r="AU40" s="19">
        <v>26250</v>
      </c>
      <c r="AW40" s="20" t="s">
        <v>474</v>
      </c>
      <c r="AX40" s="18" t="s">
        <v>475</v>
      </c>
      <c r="AY40" s="18" t="s">
        <v>192</v>
      </c>
      <c r="AZ40" s="21">
        <v>3</v>
      </c>
      <c r="BA40" s="18" t="s">
        <v>20</v>
      </c>
      <c r="BB40" s="21">
        <v>8750</v>
      </c>
      <c r="BC40" s="19">
        <v>26250</v>
      </c>
    </row>
    <row r="41" spans="1:55" x14ac:dyDescent="0.35">
      <c r="A41" s="38" t="str">
        <v>KW00137</v>
      </c>
      <c r="B41" s="31" t="str">
        <f t="shared" si="4"/>
        <v>SPATULA SILIKON GAGANG KAYU</v>
      </c>
      <c r="C41" s="31" t="str">
        <f t="shared" si="5"/>
        <v>KITCHENWARE TOOLS</v>
      </c>
      <c r="D41" s="39" t="str">
        <f t="shared" si="6"/>
        <v>pcs</v>
      </c>
      <c r="E41" s="40">
        <f t="shared" si="7"/>
        <v>16712.91</v>
      </c>
      <c r="F41" s="41">
        <f t="shared" si="8"/>
        <v>4</v>
      </c>
      <c r="G41" s="41">
        <f t="shared" si="9"/>
        <v>3</v>
      </c>
      <c r="H41" s="41">
        <f t="shared" si="10"/>
        <v>-1</v>
      </c>
      <c r="I41" s="40">
        <f t="shared" si="11"/>
        <v>-16712.91</v>
      </c>
      <c r="J41" s="31" t="str">
        <f t="shared" si="12"/>
        <v>Penurunan IU</v>
      </c>
      <c r="K41" s="42"/>
      <c r="O41" s="3">
        <v>22</v>
      </c>
      <c r="P41" t="s">
        <v>107</v>
      </c>
      <c r="Q41" t="s">
        <v>108</v>
      </c>
      <c r="R41" t="s">
        <v>67</v>
      </c>
      <c r="S41" s="10">
        <v>2</v>
      </c>
      <c r="T41" t="s">
        <v>5</v>
      </c>
      <c r="U41" s="10">
        <v>16250</v>
      </c>
      <c r="V41" s="4">
        <v>32500</v>
      </c>
      <c r="X41" s="3" t="s">
        <v>23</v>
      </c>
      <c r="Y41" t="s">
        <v>24</v>
      </c>
      <c r="Z41" t="s">
        <v>4</v>
      </c>
      <c r="AA41" s="10">
        <v>9.06</v>
      </c>
      <c r="AB41" t="s">
        <v>25</v>
      </c>
      <c r="AC41" s="10">
        <v>17382.818299999999</v>
      </c>
      <c r="AD41" s="4">
        <v>157488.33379800001</v>
      </c>
      <c r="AF41" s="82" t="s">
        <v>10</v>
      </c>
      <c r="AG41" s="83" t="s">
        <v>11</v>
      </c>
      <c r="AH41" s="18" t="s">
        <v>457</v>
      </c>
      <c r="AI41" s="18"/>
      <c r="AJ41" s="18"/>
      <c r="AK41" s="18"/>
      <c r="AL41" s="18"/>
      <c r="AM41" s="19"/>
      <c r="AO41" s="20" t="s">
        <v>442</v>
      </c>
      <c r="AP41" s="18" t="s">
        <v>443</v>
      </c>
      <c r="AQ41" s="18" t="s">
        <v>192</v>
      </c>
      <c r="AR41" s="21">
        <v>3</v>
      </c>
      <c r="AS41" s="18" t="s">
        <v>20</v>
      </c>
      <c r="AT41" s="21">
        <v>18480</v>
      </c>
      <c r="AU41" s="19">
        <v>55440</v>
      </c>
      <c r="AW41" s="20" t="s">
        <v>442</v>
      </c>
      <c r="AX41" s="18" t="s">
        <v>443</v>
      </c>
      <c r="AY41" s="18" t="s">
        <v>192</v>
      </c>
      <c r="AZ41" s="21">
        <v>3</v>
      </c>
      <c r="BA41" s="18" t="s">
        <v>20</v>
      </c>
      <c r="BB41" s="21">
        <v>18480</v>
      </c>
      <c r="BC41" s="19">
        <v>55440</v>
      </c>
    </row>
    <row r="42" spans="1:55" x14ac:dyDescent="0.35">
      <c r="A42" s="38" t="str">
        <v>TCT00004</v>
      </c>
      <c r="B42" s="31" t="str">
        <f t="shared" si="4"/>
        <v>MTE SUMPIT STAINLESS SUS304</v>
      </c>
      <c r="C42" s="31" t="str">
        <f t="shared" si="5"/>
        <v>CUTELERIES</v>
      </c>
      <c r="D42" s="39" t="str">
        <f t="shared" si="6"/>
        <v>pcs</v>
      </c>
      <c r="E42" s="40">
        <f t="shared" si="7"/>
        <v>1570.23</v>
      </c>
      <c r="F42" s="41">
        <f t="shared" si="8"/>
        <v>3</v>
      </c>
      <c r="G42" s="41">
        <f t="shared" si="9"/>
        <v>9</v>
      </c>
      <c r="H42" s="41">
        <f t="shared" si="10"/>
        <v>6</v>
      </c>
      <c r="I42" s="40">
        <f t="shared" si="11"/>
        <v>9421.380000000001</v>
      </c>
      <c r="J42" s="31" t="str">
        <f t="shared" si="12"/>
        <v>Kenaikan IU</v>
      </c>
      <c r="K42" s="42"/>
      <c r="O42" s="3">
        <v>23</v>
      </c>
      <c r="P42" t="s">
        <v>364</v>
      </c>
      <c r="Q42" t="s">
        <v>365</v>
      </c>
      <c r="R42" t="s">
        <v>67</v>
      </c>
      <c r="S42" s="10">
        <v>2.9</v>
      </c>
      <c r="T42" t="s">
        <v>52</v>
      </c>
      <c r="U42" s="10">
        <v>20336.163199999999</v>
      </c>
      <c r="V42" s="4">
        <v>58974.87328</v>
      </c>
      <c r="X42" s="3" t="s">
        <v>28</v>
      </c>
      <c r="Y42" t="s">
        <v>29</v>
      </c>
      <c r="Z42" t="s">
        <v>4</v>
      </c>
      <c r="AA42" s="10">
        <v>18.75</v>
      </c>
      <c r="AB42" t="s">
        <v>30</v>
      </c>
      <c r="AC42" s="10">
        <v>19755.481599999999</v>
      </c>
      <c r="AD42" s="4">
        <v>370415.28</v>
      </c>
      <c r="AF42" s="82" t="s">
        <v>16</v>
      </c>
      <c r="AG42" s="83" t="s">
        <v>11</v>
      </c>
      <c r="AH42" s="18" t="s">
        <v>211</v>
      </c>
      <c r="AI42" s="18"/>
      <c r="AJ42" s="18"/>
      <c r="AK42" s="18"/>
      <c r="AL42" s="18"/>
      <c r="AM42" s="19"/>
      <c r="AO42" s="20" t="s">
        <v>333</v>
      </c>
      <c r="AP42" s="18" t="s">
        <v>334</v>
      </c>
      <c r="AQ42" s="18" t="s">
        <v>192</v>
      </c>
      <c r="AR42" s="18">
        <v>10</v>
      </c>
      <c r="AS42" s="18" t="s">
        <v>20</v>
      </c>
      <c r="AT42" s="18">
        <v>3666.67</v>
      </c>
      <c r="AU42" s="19">
        <v>36666.699999999997</v>
      </c>
      <c r="AW42" s="20" t="s">
        <v>333</v>
      </c>
      <c r="AX42" s="18" t="s">
        <v>334</v>
      </c>
      <c r="AY42" s="18" t="s">
        <v>192</v>
      </c>
      <c r="AZ42" s="18">
        <v>10</v>
      </c>
      <c r="BA42" s="18" t="s">
        <v>20</v>
      </c>
      <c r="BB42" s="18">
        <v>3666.67</v>
      </c>
      <c r="BC42" s="19">
        <v>36666.699999999997</v>
      </c>
    </row>
    <row r="43" spans="1:55" x14ac:dyDescent="0.35">
      <c r="A43" s="38" t="str">
        <v>TCT00013</v>
      </c>
      <c r="B43" s="31" t="str">
        <f t="shared" si="4"/>
        <v>KERANJANG SAJI OVAL</v>
      </c>
      <c r="C43" s="31" t="str">
        <f t="shared" si="5"/>
        <v>CUTELERIES</v>
      </c>
      <c r="D43" s="39" t="str">
        <f t="shared" si="6"/>
        <v>pcs</v>
      </c>
      <c r="E43" s="40">
        <f t="shared" si="7"/>
        <v>36939.69</v>
      </c>
      <c r="F43" s="41">
        <f t="shared" si="8"/>
        <v>1</v>
      </c>
      <c r="G43" s="41">
        <f t="shared" si="9"/>
        <v>1</v>
      </c>
      <c r="H43" s="41">
        <f t="shared" si="10"/>
        <v>0</v>
      </c>
      <c r="I43" s="40">
        <f t="shared" si="11"/>
        <v>0</v>
      </c>
      <c r="J43" s="31" t="str">
        <f t="shared" si="12"/>
        <v>Tidak Ada Perubahan</v>
      </c>
      <c r="K43" s="42"/>
      <c r="O43" s="3">
        <v>24</v>
      </c>
      <c r="P43" t="s">
        <v>258</v>
      </c>
      <c r="Q43" t="s">
        <v>259</v>
      </c>
      <c r="R43" t="s">
        <v>67</v>
      </c>
      <c r="S43" s="10">
        <v>0.5</v>
      </c>
      <c r="T43" t="s">
        <v>5</v>
      </c>
      <c r="U43" s="10">
        <v>24500</v>
      </c>
      <c r="V43" s="4">
        <v>12250</v>
      </c>
      <c r="X43" s="3" t="s">
        <v>33</v>
      </c>
      <c r="Y43" t="s">
        <v>34</v>
      </c>
      <c r="Z43" t="s">
        <v>4</v>
      </c>
      <c r="AA43" s="10">
        <v>16.100000000000001</v>
      </c>
      <c r="AB43" t="s">
        <v>30</v>
      </c>
      <c r="AC43" s="10">
        <v>13000</v>
      </c>
      <c r="AD43" s="4">
        <v>209300</v>
      </c>
      <c r="AF43" s="82" t="s">
        <v>21</v>
      </c>
      <c r="AG43" s="83" t="s">
        <v>11</v>
      </c>
      <c r="AH43" s="18" t="s">
        <v>390</v>
      </c>
      <c r="AI43" s="18"/>
      <c r="AJ43" s="18"/>
      <c r="AK43" s="18"/>
      <c r="AL43" s="18"/>
      <c r="AM43" s="19"/>
      <c r="AO43" s="20" t="s">
        <v>460</v>
      </c>
      <c r="AP43" s="18" t="s">
        <v>461</v>
      </c>
      <c r="AQ43" s="18" t="s">
        <v>117</v>
      </c>
      <c r="AR43" s="21">
        <v>2</v>
      </c>
      <c r="AS43" s="18" t="s">
        <v>20</v>
      </c>
      <c r="AT43" s="21">
        <v>115904.6425</v>
      </c>
      <c r="AU43" s="19">
        <v>231809.285</v>
      </c>
      <c r="AW43" s="20" t="s">
        <v>460</v>
      </c>
      <c r="AX43" s="18" t="s">
        <v>461</v>
      </c>
      <c r="AY43" s="18" t="s">
        <v>117</v>
      </c>
      <c r="AZ43" s="21">
        <v>2</v>
      </c>
      <c r="BA43" s="18" t="s">
        <v>20</v>
      </c>
      <c r="BB43" s="21">
        <v>115904.6425</v>
      </c>
      <c r="BC43" s="19">
        <v>231809.285</v>
      </c>
    </row>
    <row r="44" spans="1:55" x14ac:dyDescent="0.35">
      <c r="A44" s="38" t="str">
        <v>TGW00001</v>
      </c>
      <c r="B44" s="31" t="str">
        <f t="shared" si="4"/>
        <v>SAUCER KIMCHI MANGKOK SAUS KECIL 9 CM SC1001</v>
      </c>
      <c r="C44" s="31" t="str">
        <f t="shared" si="5"/>
        <v>TABLEWARE</v>
      </c>
      <c r="D44" s="39" t="str">
        <f t="shared" si="6"/>
        <v>pcs</v>
      </c>
      <c r="E44" s="40">
        <f t="shared" si="7"/>
        <v>8750</v>
      </c>
      <c r="F44" s="41" t="str">
        <f t="shared" si="8"/>
        <v>0</v>
      </c>
      <c r="G44" s="41">
        <f t="shared" si="9"/>
        <v>3</v>
      </c>
      <c r="H44" s="41">
        <f t="shared" si="10"/>
        <v>3</v>
      </c>
      <c r="I44" s="40">
        <f t="shared" si="11"/>
        <v>26250</v>
      </c>
      <c r="J44" s="31" t="str">
        <f t="shared" si="12"/>
        <v>Kenaikan IU</v>
      </c>
      <c r="K44" s="42"/>
      <c r="O44" s="3">
        <v>25</v>
      </c>
      <c r="P44" t="s">
        <v>399</v>
      </c>
      <c r="Q44" t="s">
        <v>400</v>
      </c>
      <c r="R44" t="s">
        <v>67</v>
      </c>
      <c r="S44" s="10">
        <v>1</v>
      </c>
      <c r="T44" t="s">
        <v>52</v>
      </c>
      <c r="U44" s="10">
        <v>3235.3499000000011</v>
      </c>
      <c r="V44" s="4">
        <v>3235.3499000000002</v>
      </c>
      <c r="X44" s="3" t="s">
        <v>39</v>
      </c>
      <c r="Y44" t="s">
        <v>40</v>
      </c>
      <c r="Z44" t="s">
        <v>41</v>
      </c>
      <c r="AA44" s="10">
        <v>5</v>
      </c>
      <c r="AB44" t="s">
        <v>20</v>
      </c>
      <c r="AC44" s="10">
        <v>7203.9754846153846</v>
      </c>
      <c r="AD44" s="4">
        <v>36019.877422999998</v>
      </c>
      <c r="AF44" s="82" t="s">
        <v>26</v>
      </c>
      <c r="AG44" s="83" t="s">
        <v>11</v>
      </c>
      <c r="AH44" s="18" t="s">
        <v>458</v>
      </c>
      <c r="AI44" s="18"/>
      <c r="AJ44" s="18"/>
      <c r="AK44" s="18"/>
      <c r="AL44" s="18"/>
      <c r="AM44" s="19"/>
      <c r="AO44" s="20" t="s">
        <v>115</v>
      </c>
      <c r="AP44" s="18" t="s">
        <v>116</v>
      </c>
      <c r="AQ44" s="18" t="s">
        <v>117</v>
      </c>
      <c r="AR44" s="21">
        <v>800</v>
      </c>
      <c r="AS44" s="18" t="s">
        <v>52</v>
      </c>
      <c r="AT44" s="21">
        <v>600</v>
      </c>
      <c r="AU44" s="19">
        <v>480000</v>
      </c>
      <c r="AW44" s="20" t="s">
        <v>115</v>
      </c>
      <c r="AX44" s="18" t="s">
        <v>116</v>
      </c>
      <c r="AY44" s="18" t="s">
        <v>117</v>
      </c>
      <c r="AZ44" s="21">
        <v>800</v>
      </c>
      <c r="BA44" s="18" t="s">
        <v>52</v>
      </c>
      <c r="BB44" s="21">
        <v>600</v>
      </c>
      <c r="BC44" s="19">
        <v>480000</v>
      </c>
    </row>
    <row r="45" spans="1:55" x14ac:dyDescent="0.35">
      <c r="A45" s="38" t="str">
        <v>TGW00009</v>
      </c>
      <c r="B45" s="31" t="str">
        <f t="shared" si="4"/>
        <v>IGIGLORI M6003 GELAS HITAM KOREA</v>
      </c>
      <c r="C45" s="31" t="str">
        <f t="shared" si="5"/>
        <v>TABLEWARE</v>
      </c>
      <c r="D45" s="39" t="str">
        <f t="shared" si="6"/>
        <v>pcs</v>
      </c>
      <c r="E45" s="40">
        <f t="shared" si="7"/>
        <v>18480</v>
      </c>
      <c r="F45" s="41">
        <f t="shared" si="8"/>
        <v>4</v>
      </c>
      <c r="G45" s="41">
        <f t="shared" si="9"/>
        <v>3</v>
      </c>
      <c r="H45" s="41">
        <f t="shared" si="10"/>
        <v>-1</v>
      </c>
      <c r="I45" s="40">
        <f t="shared" si="11"/>
        <v>-18480</v>
      </c>
      <c r="J45" s="31" t="str">
        <f t="shared" si="12"/>
        <v>Penurunan IU</v>
      </c>
      <c r="K45" s="42"/>
      <c r="O45" s="3">
        <v>26</v>
      </c>
      <c r="P45" t="s">
        <v>401</v>
      </c>
      <c r="Q45" t="s">
        <v>402</v>
      </c>
      <c r="R45" t="s">
        <v>67</v>
      </c>
      <c r="S45">
        <v>2</v>
      </c>
      <c r="T45" t="s">
        <v>20</v>
      </c>
      <c r="U45">
        <v>3578.68</v>
      </c>
      <c r="V45" s="4">
        <v>7157.36</v>
      </c>
      <c r="X45" s="3" t="s">
        <v>304</v>
      </c>
      <c r="Y45" t="s">
        <v>305</v>
      </c>
      <c r="Z45" t="s">
        <v>41</v>
      </c>
      <c r="AA45" s="10">
        <v>2</v>
      </c>
      <c r="AB45" t="s">
        <v>20</v>
      </c>
      <c r="AC45" s="10">
        <v>7216.670000000001</v>
      </c>
      <c r="AD45" s="4">
        <v>14433.34</v>
      </c>
      <c r="AF45" s="82" t="s">
        <v>31</v>
      </c>
      <c r="AG45" s="83" t="s">
        <v>11</v>
      </c>
      <c r="AH45" s="18" t="s">
        <v>186</v>
      </c>
      <c r="AI45" s="18"/>
      <c r="AJ45" s="18"/>
      <c r="AK45" s="18"/>
      <c r="AL45" s="18"/>
      <c r="AM45" s="19"/>
      <c r="AO45" s="20" t="s">
        <v>350</v>
      </c>
      <c r="AP45" s="18" t="s">
        <v>351</v>
      </c>
      <c r="AQ45" s="18" t="s">
        <v>117</v>
      </c>
      <c r="AR45" s="21">
        <v>2</v>
      </c>
      <c r="AS45" s="18" t="s">
        <v>20</v>
      </c>
      <c r="AT45" s="21">
        <v>115000</v>
      </c>
      <c r="AU45" s="19">
        <v>230000</v>
      </c>
      <c r="AW45" s="20" t="s">
        <v>350</v>
      </c>
      <c r="AX45" s="18" t="s">
        <v>351</v>
      </c>
      <c r="AY45" s="18" t="s">
        <v>117</v>
      </c>
      <c r="AZ45" s="21">
        <v>2</v>
      </c>
      <c r="BA45" s="18" t="s">
        <v>20</v>
      </c>
      <c r="BB45" s="21">
        <v>115000</v>
      </c>
      <c r="BC45" s="19">
        <v>230000</v>
      </c>
    </row>
    <row r="46" spans="1:55" ht="15" thickBot="1" x14ac:dyDescent="0.4">
      <c r="A46" s="38" t="str">
        <v>TGW00012</v>
      </c>
      <c r="B46" s="31" t="str">
        <f t="shared" si="4"/>
        <v>SAUCER SAUCE MANGKUK SAUS P3</v>
      </c>
      <c r="C46" s="31" t="str">
        <f t="shared" si="5"/>
        <v>TABLEWARE</v>
      </c>
      <c r="D46" s="39" t="str">
        <f t="shared" si="6"/>
        <v>pcs</v>
      </c>
      <c r="E46" s="40">
        <f t="shared" si="7"/>
        <v>3666.67</v>
      </c>
      <c r="F46" s="41" t="str">
        <f t="shared" si="8"/>
        <v>0</v>
      </c>
      <c r="G46" s="41">
        <f t="shared" si="9"/>
        <v>10</v>
      </c>
      <c r="H46" s="41">
        <f t="shared" si="10"/>
        <v>10</v>
      </c>
      <c r="I46" s="40">
        <f t="shared" si="11"/>
        <v>36666.699999999997</v>
      </c>
      <c r="J46" s="31" t="str">
        <f t="shared" si="12"/>
        <v>Kenaikan IU</v>
      </c>
      <c r="K46" s="42"/>
      <c r="O46" s="11" t="s">
        <v>223</v>
      </c>
      <c r="P46" s="12" t="s">
        <v>223</v>
      </c>
      <c r="Q46" s="12" t="s">
        <v>223</v>
      </c>
      <c r="R46" s="12" t="s">
        <v>223</v>
      </c>
      <c r="S46" s="12" t="s">
        <v>223</v>
      </c>
      <c r="T46" s="12" t="s">
        <v>223</v>
      </c>
      <c r="U46" s="12" t="s">
        <v>224</v>
      </c>
      <c r="V46" s="13">
        <v>870177.36148000008</v>
      </c>
      <c r="X46" s="3" t="s">
        <v>50</v>
      </c>
      <c r="Y46" t="s">
        <v>51</v>
      </c>
      <c r="Z46" t="s">
        <v>41</v>
      </c>
      <c r="AA46" s="10">
        <v>10</v>
      </c>
      <c r="AB46" t="s">
        <v>52</v>
      </c>
      <c r="AC46" s="10">
        <v>20499.949199999999</v>
      </c>
      <c r="AD46" s="4">
        <v>204999.492</v>
      </c>
      <c r="AF46" s="82" t="s">
        <v>35</v>
      </c>
      <c r="AG46" s="83" t="s">
        <v>11</v>
      </c>
      <c r="AH46" s="18" t="s">
        <v>459</v>
      </c>
      <c r="AI46" s="18"/>
      <c r="AJ46" s="18"/>
      <c r="AK46" s="18"/>
      <c r="AL46" s="18"/>
      <c r="AM46" s="19"/>
      <c r="AO46" s="20" t="s">
        <v>462</v>
      </c>
      <c r="AP46" s="18" t="s">
        <v>463</v>
      </c>
      <c r="AQ46" s="18" t="s">
        <v>120</v>
      </c>
      <c r="AR46" s="21">
        <v>1</v>
      </c>
      <c r="AS46" s="18" t="s">
        <v>20</v>
      </c>
      <c r="AT46" s="21">
        <v>160000</v>
      </c>
      <c r="AU46" s="19">
        <v>160000</v>
      </c>
      <c r="AW46" s="20" t="s">
        <v>462</v>
      </c>
      <c r="AX46" s="18" t="s">
        <v>463</v>
      </c>
      <c r="AY46" s="18" t="s">
        <v>120</v>
      </c>
      <c r="AZ46" s="21">
        <v>1</v>
      </c>
      <c r="BA46" s="18" t="s">
        <v>20</v>
      </c>
      <c r="BB46" s="21">
        <v>160000</v>
      </c>
      <c r="BC46" s="19">
        <v>160000</v>
      </c>
    </row>
    <row r="47" spans="1:55" ht="15.5" thickTop="1" thickBot="1" x14ac:dyDescent="0.4">
      <c r="A47" s="38" t="str">
        <v>MKT00004</v>
      </c>
      <c r="B47" s="31" t="str">
        <f t="shared" si="4"/>
        <v>FOAMBOARD</v>
      </c>
      <c r="C47" s="31" t="str">
        <f t="shared" si="5"/>
        <v>MARKETING</v>
      </c>
      <c r="D47" s="39" t="str">
        <f t="shared" si="6"/>
        <v>pcs</v>
      </c>
      <c r="E47" s="40">
        <f t="shared" si="7"/>
        <v>115904.64</v>
      </c>
      <c r="F47" s="41" t="str">
        <f t="shared" si="8"/>
        <v>0</v>
      </c>
      <c r="G47" s="41">
        <f t="shared" si="9"/>
        <v>2</v>
      </c>
      <c r="H47" s="41">
        <f t="shared" si="10"/>
        <v>2</v>
      </c>
      <c r="I47" s="40">
        <f t="shared" si="11"/>
        <v>231809.28</v>
      </c>
      <c r="J47" s="31" t="str">
        <f t="shared" si="12"/>
        <v>Kenaikan IU</v>
      </c>
      <c r="K47" s="42"/>
      <c r="X47" s="3" t="s">
        <v>405</v>
      </c>
      <c r="Y47" t="s">
        <v>406</v>
      </c>
      <c r="Z47" t="s">
        <v>41</v>
      </c>
      <c r="AA47" s="10">
        <v>2</v>
      </c>
      <c r="AB47" t="s">
        <v>20</v>
      </c>
      <c r="AC47" s="10">
        <v>7216.670000000001</v>
      </c>
      <c r="AD47" s="4">
        <v>14433.34</v>
      </c>
      <c r="AF47" s="20"/>
      <c r="AG47" s="18"/>
      <c r="AH47" s="18"/>
      <c r="AI47" s="18"/>
      <c r="AJ47" s="18"/>
      <c r="AK47" s="18"/>
      <c r="AL47" s="18"/>
      <c r="AM47" s="19"/>
      <c r="AO47" s="20" t="s">
        <v>121</v>
      </c>
      <c r="AP47" s="18" t="s">
        <v>122</v>
      </c>
      <c r="AQ47" s="18" t="s">
        <v>123</v>
      </c>
      <c r="AR47" s="21">
        <v>2</v>
      </c>
      <c r="AS47" s="18" t="s">
        <v>5</v>
      </c>
      <c r="AT47" s="21">
        <v>5000</v>
      </c>
      <c r="AU47" s="19">
        <v>10000</v>
      </c>
      <c r="AW47" s="20" t="s">
        <v>121</v>
      </c>
      <c r="AX47" s="18" t="s">
        <v>122</v>
      </c>
      <c r="AY47" s="18" t="s">
        <v>123</v>
      </c>
      <c r="AZ47" s="21">
        <v>2</v>
      </c>
      <c r="BA47" s="18" t="s">
        <v>5</v>
      </c>
      <c r="BB47" s="21">
        <v>5000</v>
      </c>
      <c r="BC47" s="19">
        <v>10000</v>
      </c>
    </row>
    <row r="48" spans="1:55" ht="15" thickTop="1" x14ac:dyDescent="0.35">
      <c r="A48" s="38" t="str">
        <v>MKT00032</v>
      </c>
      <c r="B48" s="31" t="str">
        <f t="shared" si="4"/>
        <v>FLYER A5</v>
      </c>
      <c r="C48" s="31" t="str">
        <f t="shared" si="5"/>
        <v>MARKETING</v>
      </c>
      <c r="D48" s="39" t="str">
        <f t="shared" si="6"/>
        <v>lembar</v>
      </c>
      <c r="E48" s="40">
        <f t="shared" si="7"/>
        <v>600</v>
      </c>
      <c r="F48" s="41">
        <f t="shared" si="8"/>
        <v>1500</v>
      </c>
      <c r="G48" s="41">
        <f t="shared" si="9"/>
        <v>800</v>
      </c>
      <c r="H48" s="41">
        <f t="shared" si="10"/>
        <v>-700</v>
      </c>
      <c r="I48" s="40">
        <f t="shared" si="11"/>
        <v>-420000</v>
      </c>
      <c r="J48" s="31" t="str">
        <f t="shared" si="12"/>
        <v>Penurunan IU</v>
      </c>
      <c r="K48" s="42"/>
      <c r="O48" s="88" t="s">
        <v>0</v>
      </c>
      <c r="P48" s="89"/>
      <c r="Q48" s="89"/>
      <c r="R48" s="89"/>
      <c r="S48" s="89"/>
      <c r="T48" s="1"/>
      <c r="U48" s="1"/>
      <c r="V48" s="2"/>
      <c r="X48" s="3" t="s">
        <v>306</v>
      </c>
      <c r="Y48" t="s">
        <v>307</v>
      </c>
      <c r="Z48" t="s">
        <v>41</v>
      </c>
      <c r="AA48" s="10">
        <v>8</v>
      </c>
      <c r="AB48" t="s">
        <v>20</v>
      </c>
      <c r="AC48" s="10">
        <v>7216.670000000001</v>
      </c>
      <c r="AD48" s="4">
        <v>57733.36</v>
      </c>
      <c r="AF48" s="20" t="s">
        <v>42</v>
      </c>
      <c r="AG48" s="18" t="s">
        <v>43</v>
      </c>
      <c r="AH48" s="18" t="s">
        <v>44</v>
      </c>
      <c r="AI48" s="18" t="s">
        <v>45</v>
      </c>
      <c r="AJ48" s="18" t="s">
        <v>46</v>
      </c>
      <c r="AK48" s="18" t="s">
        <v>47</v>
      </c>
      <c r="AL48" s="18" t="s">
        <v>48</v>
      </c>
      <c r="AM48" s="19" t="s">
        <v>49</v>
      </c>
      <c r="AO48" s="20" t="s">
        <v>124</v>
      </c>
      <c r="AP48" s="18" t="s">
        <v>125</v>
      </c>
      <c r="AQ48" s="18" t="s">
        <v>123</v>
      </c>
      <c r="AR48" s="21">
        <v>35</v>
      </c>
      <c r="AS48" s="18" t="s">
        <v>5</v>
      </c>
      <c r="AT48" s="21">
        <v>5357.6408000000001</v>
      </c>
      <c r="AU48" s="19">
        <v>187517.42800000001</v>
      </c>
      <c r="AW48" s="20" t="s">
        <v>124</v>
      </c>
      <c r="AX48" s="18" t="s">
        <v>125</v>
      </c>
      <c r="AY48" s="18" t="s">
        <v>123</v>
      </c>
      <c r="AZ48" s="21">
        <v>35</v>
      </c>
      <c r="BA48" s="18" t="s">
        <v>5</v>
      </c>
      <c r="BB48" s="21">
        <v>5357.6408000000001</v>
      </c>
      <c r="BC48" s="19">
        <v>187517.42800000001</v>
      </c>
    </row>
    <row r="49" spans="1:55" x14ac:dyDescent="0.35">
      <c r="A49" s="38" t="str">
        <v>MKT00042</v>
      </c>
      <c r="B49" s="31" t="str">
        <f t="shared" si="4"/>
        <v>MATERI PROMOSI LIGHT BOX</v>
      </c>
      <c r="C49" s="31" t="str">
        <f t="shared" si="5"/>
        <v>MARKETING</v>
      </c>
      <c r="D49" s="39" t="str">
        <f t="shared" si="6"/>
        <v>pcs</v>
      </c>
      <c r="E49" s="40">
        <f t="shared" si="7"/>
        <v>115000</v>
      </c>
      <c r="F49" s="41" t="str">
        <f t="shared" si="8"/>
        <v>0</v>
      </c>
      <c r="G49" s="41">
        <f t="shared" si="9"/>
        <v>2</v>
      </c>
      <c r="H49" s="41">
        <f t="shared" si="10"/>
        <v>2</v>
      </c>
      <c r="I49" s="40">
        <f t="shared" si="11"/>
        <v>230000</v>
      </c>
      <c r="J49" s="31" t="str">
        <f t="shared" si="12"/>
        <v>Kenaikan IU</v>
      </c>
      <c r="K49" s="42"/>
      <c r="O49" s="86" t="s">
        <v>1</v>
      </c>
      <c r="P49" s="87"/>
      <c r="Q49" s="87"/>
      <c r="R49" s="87"/>
      <c r="S49" s="87"/>
      <c r="V49" s="4"/>
      <c r="X49" s="3" t="s">
        <v>53</v>
      </c>
      <c r="Y49" t="s">
        <v>54</v>
      </c>
      <c r="Z49" t="s">
        <v>41</v>
      </c>
      <c r="AA49" s="10">
        <v>16</v>
      </c>
      <c r="AB49" t="s">
        <v>20</v>
      </c>
      <c r="AC49" s="10">
        <v>2989.4576000000002</v>
      </c>
      <c r="AD49" s="4">
        <v>47831.321600000003</v>
      </c>
      <c r="AF49" s="20">
        <v>1</v>
      </c>
      <c r="AG49" s="18" t="s">
        <v>460</v>
      </c>
      <c r="AH49" s="18" t="s">
        <v>461</v>
      </c>
      <c r="AI49" s="18" t="s">
        <v>117</v>
      </c>
      <c r="AJ49" s="21">
        <v>2</v>
      </c>
      <c r="AK49" s="18" t="s">
        <v>20</v>
      </c>
      <c r="AL49" s="21">
        <v>115904.6425</v>
      </c>
      <c r="AM49" s="19">
        <v>231809.285</v>
      </c>
      <c r="AO49" s="20" t="s">
        <v>128</v>
      </c>
      <c r="AP49" s="18" t="s">
        <v>129</v>
      </c>
      <c r="AQ49" s="18" t="s">
        <v>123</v>
      </c>
      <c r="AR49" s="21">
        <v>3.5</v>
      </c>
      <c r="AS49" s="18" t="s">
        <v>74</v>
      </c>
      <c r="AT49" s="21">
        <v>142066.77919999999</v>
      </c>
      <c r="AU49" s="19">
        <v>497233.72720000002</v>
      </c>
      <c r="AW49" s="20" t="s">
        <v>128</v>
      </c>
      <c r="AX49" s="18" t="s">
        <v>129</v>
      </c>
      <c r="AY49" s="18" t="s">
        <v>123</v>
      </c>
      <c r="AZ49" s="21">
        <v>3.5</v>
      </c>
      <c r="BA49" s="18" t="s">
        <v>74</v>
      </c>
      <c r="BB49" s="21">
        <v>142066.77919999999</v>
      </c>
      <c r="BC49" s="19">
        <v>497233.72720000002</v>
      </c>
    </row>
    <row r="50" spans="1:55" x14ac:dyDescent="0.35">
      <c r="A50" s="38" t="str">
        <v>MRP00027</v>
      </c>
      <c r="B50" s="31" t="str">
        <f t="shared" si="4"/>
        <v>FILTER AIR CTO 20 INCH</v>
      </c>
      <c r="C50" s="31" t="str">
        <f t="shared" si="5"/>
        <v>IT GA AND MRP STOCK</v>
      </c>
      <c r="D50" s="39" t="str">
        <f t="shared" si="6"/>
        <v>pcs</v>
      </c>
      <c r="E50" s="40">
        <f t="shared" si="7"/>
        <v>160000</v>
      </c>
      <c r="F50" s="41" t="str">
        <f t="shared" si="8"/>
        <v>0</v>
      </c>
      <c r="G50" s="41">
        <f t="shared" si="9"/>
        <v>1</v>
      </c>
      <c r="H50" s="41">
        <f t="shared" si="10"/>
        <v>1</v>
      </c>
      <c r="I50" s="40">
        <f t="shared" si="11"/>
        <v>160000</v>
      </c>
      <c r="J50" s="31" t="str">
        <f t="shared" si="12"/>
        <v>Kenaikan IU</v>
      </c>
      <c r="K50" s="42"/>
      <c r="O50" s="3"/>
      <c r="V50" s="4"/>
      <c r="X50" s="3" t="s">
        <v>407</v>
      </c>
      <c r="Y50" t="s">
        <v>408</v>
      </c>
      <c r="Z50" t="s">
        <v>41</v>
      </c>
      <c r="AA50" s="10">
        <v>2</v>
      </c>
      <c r="AB50" t="s">
        <v>267</v>
      </c>
      <c r="AC50" s="10">
        <v>39519.871599999999</v>
      </c>
      <c r="AD50" s="4">
        <v>79039.743199999997</v>
      </c>
      <c r="AF50" s="20">
        <v>2</v>
      </c>
      <c r="AG50" s="18" t="s">
        <v>115</v>
      </c>
      <c r="AH50" s="18" t="s">
        <v>116</v>
      </c>
      <c r="AI50" s="18" t="s">
        <v>117</v>
      </c>
      <c r="AJ50" s="21">
        <v>800</v>
      </c>
      <c r="AK50" s="18" t="s">
        <v>52</v>
      </c>
      <c r="AL50" s="21">
        <v>600</v>
      </c>
      <c r="AM50" s="19">
        <v>480000</v>
      </c>
      <c r="AO50" s="20" t="s">
        <v>130</v>
      </c>
      <c r="AP50" s="18" t="s">
        <v>131</v>
      </c>
      <c r="AQ50" s="18" t="s">
        <v>123</v>
      </c>
      <c r="AR50" s="21">
        <v>41</v>
      </c>
      <c r="AS50" s="18" t="s">
        <v>5</v>
      </c>
      <c r="AT50" s="21">
        <v>6354.8472000000002</v>
      </c>
      <c r="AU50" s="19">
        <v>260548.7352</v>
      </c>
      <c r="AW50" s="20" t="s">
        <v>130</v>
      </c>
      <c r="AX50" s="18" t="s">
        <v>131</v>
      </c>
      <c r="AY50" s="18" t="s">
        <v>123</v>
      </c>
      <c r="AZ50" s="21">
        <v>41</v>
      </c>
      <c r="BA50" s="18" t="s">
        <v>5</v>
      </c>
      <c r="BB50" s="21">
        <v>6354.8472000000002</v>
      </c>
      <c r="BC50" s="19">
        <v>260548.7352</v>
      </c>
    </row>
    <row r="51" spans="1:55" x14ac:dyDescent="0.35">
      <c r="A51" s="38" t="str">
        <v>NCG00018</v>
      </c>
      <c r="B51" s="31" t="str">
        <f t="shared" si="4"/>
        <v>SARUNG TANGAN PELASTIK</v>
      </c>
      <c r="C51" s="31" t="str">
        <f t="shared" si="5"/>
        <v>NCG</v>
      </c>
      <c r="D51" s="39" t="str">
        <f t="shared" si="6"/>
        <v>pack</v>
      </c>
      <c r="E51" s="40">
        <f t="shared" si="7"/>
        <v>5000</v>
      </c>
      <c r="F51" s="41">
        <f t="shared" si="8"/>
        <v>17</v>
      </c>
      <c r="G51" s="41">
        <f t="shared" si="9"/>
        <v>2</v>
      </c>
      <c r="H51" s="41">
        <f t="shared" si="10"/>
        <v>-15</v>
      </c>
      <c r="I51" s="40">
        <f t="shared" si="11"/>
        <v>-75000</v>
      </c>
      <c r="J51" s="31" t="str">
        <f t="shared" si="12"/>
        <v>Penurunan IU</v>
      </c>
      <c r="K51" s="42"/>
      <c r="O51" s="86" t="s">
        <v>10</v>
      </c>
      <c r="P51" s="87" t="s">
        <v>11</v>
      </c>
      <c r="Q51" t="s">
        <v>409</v>
      </c>
      <c r="V51" s="4"/>
      <c r="X51" s="3" t="s">
        <v>410</v>
      </c>
      <c r="Y51" t="s">
        <v>411</v>
      </c>
      <c r="Z51" t="s">
        <v>41</v>
      </c>
      <c r="AA51" s="10">
        <v>1</v>
      </c>
      <c r="AB51" t="s">
        <v>20</v>
      </c>
      <c r="AC51" s="10">
        <v>9832.4984999999997</v>
      </c>
      <c r="AD51" s="4">
        <v>9832.4984999999997</v>
      </c>
      <c r="AF51" s="20">
        <v>3</v>
      </c>
      <c r="AG51" s="18" t="s">
        <v>350</v>
      </c>
      <c r="AH51" s="18" t="s">
        <v>351</v>
      </c>
      <c r="AI51" s="18" t="s">
        <v>117</v>
      </c>
      <c r="AJ51" s="21">
        <v>2</v>
      </c>
      <c r="AK51" s="18" t="s">
        <v>20</v>
      </c>
      <c r="AL51" s="21">
        <v>115000</v>
      </c>
      <c r="AM51" s="19">
        <v>230000</v>
      </c>
      <c r="AO51" s="20" t="s">
        <v>132</v>
      </c>
      <c r="AP51" s="18" t="s">
        <v>133</v>
      </c>
      <c r="AQ51" s="18" t="s">
        <v>123</v>
      </c>
      <c r="AR51" s="21">
        <v>47</v>
      </c>
      <c r="AS51" s="18" t="s">
        <v>134</v>
      </c>
      <c r="AT51" s="21">
        <v>12999.983899999999</v>
      </c>
      <c r="AU51" s="19">
        <v>610999.24329999997</v>
      </c>
      <c r="AW51" s="20" t="s">
        <v>132</v>
      </c>
      <c r="AX51" s="18" t="s">
        <v>133</v>
      </c>
      <c r="AY51" s="18" t="s">
        <v>123</v>
      </c>
      <c r="AZ51" s="21">
        <v>47</v>
      </c>
      <c r="BA51" s="18" t="s">
        <v>134</v>
      </c>
      <c r="BB51" s="21">
        <v>12999.983899999999</v>
      </c>
      <c r="BC51" s="19">
        <v>610999.24329999997</v>
      </c>
    </row>
    <row r="52" spans="1:55" x14ac:dyDescent="0.35">
      <c r="A52" s="38" t="str">
        <v>NCGK0001</v>
      </c>
      <c r="B52" s="31" t="str">
        <f t="shared" si="4"/>
        <v>PLASTIK PE 2 KG 20 x 35 (Kitchen)</v>
      </c>
      <c r="C52" s="31" t="str">
        <f t="shared" si="5"/>
        <v>NCG</v>
      </c>
      <c r="D52" s="39" t="str">
        <f t="shared" si="6"/>
        <v>pack</v>
      </c>
      <c r="E52" s="40">
        <f t="shared" si="7"/>
        <v>5357.64</v>
      </c>
      <c r="F52" s="41">
        <f t="shared" si="8"/>
        <v>24</v>
      </c>
      <c r="G52" s="41">
        <f t="shared" si="9"/>
        <v>35</v>
      </c>
      <c r="H52" s="41">
        <f t="shared" si="10"/>
        <v>11</v>
      </c>
      <c r="I52" s="40">
        <f t="shared" si="11"/>
        <v>58934.04</v>
      </c>
      <c r="J52" s="31" t="str">
        <f t="shared" si="12"/>
        <v>Kenaikan IU</v>
      </c>
      <c r="K52" s="42"/>
      <c r="O52" s="86" t="s">
        <v>16</v>
      </c>
      <c r="P52" s="87" t="s">
        <v>11</v>
      </c>
      <c r="Q52" t="s">
        <v>17</v>
      </c>
      <c r="V52" s="4"/>
      <c r="X52" s="3" t="s">
        <v>310</v>
      </c>
      <c r="Y52" t="s">
        <v>311</v>
      </c>
      <c r="Z52" t="s">
        <v>41</v>
      </c>
      <c r="AA52" s="10">
        <v>1</v>
      </c>
      <c r="AB52" t="s">
        <v>20</v>
      </c>
      <c r="AC52" s="10">
        <v>8959.6154000000006</v>
      </c>
      <c r="AD52" s="4">
        <v>8959.6154000000006</v>
      </c>
      <c r="AF52" s="20">
        <v>4</v>
      </c>
      <c r="AG52" s="18" t="s">
        <v>462</v>
      </c>
      <c r="AH52" s="18" t="s">
        <v>463</v>
      </c>
      <c r="AI52" s="18" t="s">
        <v>120</v>
      </c>
      <c r="AJ52" s="21">
        <v>1</v>
      </c>
      <c r="AK52" s="18" t="s">
        <v>20</v>
      </c>
      <c r="AL52" s="21">
        <v>160000</v>
      </c>
      <c r="AM52" s="19">
        <v>160000</v>
      </c>
      <c r="AO52" s="20" t="s">
        <v>135</v>
      </c>
      <c r="AP52" s="18" t="s">
        <v>136</v>
      </c>
      <c r="AQ52" s="18" t="s">
        <v>123</v>
      </c>
      <c r="AR52" s="21">
        <v>45</v>
      </c>
      <c r="AS52" s="18" t="s">
        <v>5</v>
      </c>
      <c r="AT52" s="21">
        <v>5620.1221999999998</v>
      </c>
      <c r="AU52" s="19">
        <v>252905.49900000001</v>
      </c>
      <c r="AW52" s="20" t="s">
        <v>135</v>
      </c>
      <c r="AX52" s="18" t="s">
        <v>136</v>
      </c>
      <c r="AY52" s="18" t="s">
        <v>123</v>
      </c>
      <c r="AZ52" s="21">
        <v>45</v>
      </c>
      <c r="BA52" s="18" t="s">
        <v>5</v>
      </c>
      <c r="BB52" s="21">
        <v>5620.1221999999998</v>
      </c>
      <c r="BC52" s="19">
        <v>252905.49900000001</v>
      </c>
    </row>
    <row r="53" spans="1:55" x14ac:dyDescent="0.35">
      <c r="A53" s="38" t="str">
        <v>NCGK0005</v>
      </c>
      <c r="B53" s="31" t="str">
        <f t="shared" si="4"/>
        <v>CLING WRAP 45 x 50 @ 6 ROLL</v>
      </c>
      <c r="C53" s="31" t="str">
        <f t="shared" si="5"/>
        <v>NCG</v>
      </c>
      <c r="D53" s="39" t="str">
        <f t="shared" si="6"/>
        <v>roll</v>
      </c>
      <c r="E53" s="40">
        <f t="shared" si="7"/>
        <v>142066.78</v>
      </c>
      <c r="F53" s="41">
        <f t="shared" si="8"/>
        <v>8</v>
      </c>
      <c r="G53" s="41">
        <f t="shared" si="9"/>
        <v>3.5</v>
      </c>
      <c r="H53" s="41">
        <f t="shared" si="10"/>
        <v>-4.5</v>
      </c>
      <c r="I53" s="40">
        <f t="shared" si="11"/>
        <v>-639300.51</v>
      </c>
      <c r="J53" s="31" t="str">
        <f t="shared" si="12"/>
        <v>Penurunan IU</v>
      </c>
      <c r="K53" s="42"/>
      <c r="O53" s="86" t="s">
        <v>21</v>
      </c>
      <c r="P53" s="87" t="s">
        <v>11</v>
      </c>
      <c r="Q53" t="s">
        <v>390</v>
      </c>
      <c r="V53" s="4"/>
      <c r="X53" s="3" t="s">
        <v>57</v>
      </c>
      <c r="Y53" t="s">
        <v>58</v>
      </c>
      <c r="Z53" t="s">
        <v>41</v>
      </c>
      <c r="AA53" s="10">
        <v>2</v>
      </c>
      <c r="AB53" t="s">
        <v>5</v>
      </c>
      <c r="AC53" s="10">
        <v>7697.2136</v>
      </c>
      <c r="AD53" s="4">
        <v>15394.4272</v>
      </c>
      <c r="AF53" s="20">
        <v>5</v>
      </c>
      <c r="AG53" s="18" t="s">
        <v>121</v>
      </c>
      <c r="AH53" s="18" t="s">
        <v>122</v>
      </c>
      <c r="AI53" s="18" t="s">
        <v>123</v>
      </c>
      <c r="AJ53" s="21">
        <v>2</v>
      </c>
      <c r="AK53" s="18" t="s">
        <v>5</v>
      </c>
      <c r="AL53" s="21">
        <v>5000</v>
      </c>
      <c r="AM53" s="19">
        <v>10000</v>
      </c>
      <c r="AO53" s="20" t="s">
        <v>137</v>
      </c>
      <c r="AP53" s="18" t="s">
        <v>138</v>
      </c>
      <c r="AQ53" s="18" t="s">
        <v>123</v>
      </c>
      <c r="AR53" s="21">
        <v>22</v>
      </c>
      <c r="AS53" s="18" t="s">
        <v>5</v>
      </c>
      <c r="AT53" s="21">
        <v>16072.5843</v>
      </c>
      <c r="AU53" s="19">
        <v>353596.85460000002</v>
      </c>
      <c r="AW53" s="20" t="s">
        <v>137</v>
      </c>
      <c r="AX53" s="18" t="s">
        <v>138</v>
      </c>
      <c r="AY53" s="18" t="s">
        <v>123</v>
      </c>
      <c r="AZ53" s="21">
        <v>22</v>
      </c>
      <c r="BA53" s="18" t="s">
        <v>5</v>
      </c>
      <c r="BB53" s="21">
        <v>16072.5843</v>
      </c>
      <c r="BC53" s="19">
        <v>353596.85460000002</v>
      </c>
    </row>
    <row r="54" spans="1:55" x14ac:dyDescent="0.35">
      <c r="A54" s="38" t="str">
        <v>NCGK0006</v>
      </c>
      <c r="B54" s="31" t="str">
        <f t="shared" si="4"/>
        <v>TISSUE SEE-U HANDTOWELS @ 20 PACK</v>
      </c>
      <c r="C54" s="31" t="str">
        <f t="shared" si="5"/>
        <v>NCG</v>
      </c>
      <c r="D54" s="39" t="str">
        <f t="shared" si="6"/>
        <v>pack</v>
      </c>
      <c r="E54" s="40">
        <f t="shared" si="7"/>
        <v>6354.85</v>
      </c>
      <c r="F54" s="41">
        <f t="shared" si="8"/>
        <v>105</v>
      </c>
      <c r="G54" s="41">
        <f t="shared" si="9"/>
        <v>41</v>
      </c>
      <c r="H54" s="41">
        <f t="shared" si="10"/>
        <v>-64</v>
      </c>
      <c r="I54" s="40">
        <f t="shared" si="11"/>
        <v>-406710.4</v>
      </c>
      <c r="J54" s="31" t="str">
        <f t="shared" si="12"/>
        <v>Penurunan IU</v>
      </c>
      <c r="K54" s="42"/>
      <c r="O54" s="86" t="s">
        <v>26</v>
      </c>
      <c r="P54" s="87" t="s">
        <v>11</v>
      </c>
      <c r="Q54" t="s">
        <v>412</v>
      </c>
      <c r="V54" s="4"/>
      <c r="X54" s="3" t="s">
        <v>59</v>
      </c>
      <c r="Y54" t="s">
        <v>60</v>
      </c>
      <c r="Z54" t="s">
        <v>41</v>
      </c>
      <c r="AA54" s="10">
        <v>22</v>
      </c>
      <c r="AB54" t="s">
        <v>5</v>
      </c>
      <c r="AC54" s="10">
        <v>7699.6311999999998</v>
      </c>
      <c r="AD54" s="4">
        <v>169391.88639999999</v>
      </c>
      <c r="AF54" s="20">
        <v>6</v>
      </c>
      <c r="AG54" s="18" t="s">
        <v>124</v>
      </c>
      <c r="AH54" s="18" t="s">
        <v>125</v>
      </c>
      <c r="AI54" s="18" t="s">
        <v>123</v>
      </c>
      <c r="AJ54" s="21">
        <v>35</v>
      </c>
      <c r="AK54" s="18" t="s">
        <v>5</v>
      </c>
      <c r="AL54" s="21">
        <v>5357.6408000000001</v>
      </c>
      <c r="AM54" s="19">
        <v>187517.42800000001</v>
      </c>
      <c r="AO54" s="20" t="s">
        <v>139</v>
      </c>
      <c r="AP54" s="18" t="s">
        <v>140</v>
      </c>
      <c r="AQ54" s="18" t="s">
        <v>123</v>
      </c>
      <c r="AR54" s="21">
        <v>4.2</v>
      </c>
      <c r="AS54" s="18" t="s">
        <v>5</v>
      </c>
      <c r="AT54" s="21">
        <v>42963.8554</v>
      </c>
      <c r="AU54" s="19">
        <v>180448.19268000001</v>
      </c>
      <c r="AW54" s="20" t="s">
        <v>139</v>
      </c>
      <c r="AX54" s="18" t="s">
        <v>140</v>
      </c>
      <c r="AY54" s="18" t="s">
        <v>123</v>
      </c>
      <c r="AZ54" s="21">
        <v>4.2</v>
      </c>
      <c r="BA54" s="18" t="s">
        <v>5</v>
      </c>
      <c r="BB54" s="21">
        <v>42963.8554</v>
      </c>
      <c r="BC54" s="19">
        <v>180448.19268000001</v>
      </c>
    </row>
    <row r="55" spans="1:55" x14ac:dyDescent="0.35">
      <c r="A55" s="38" t="str">
        <v>NCGK0007</v>
      </c>
      <c r="B55" s="31" t="str">
        <f t="shared" si="4"/>
        <v>GAS BUTANE PORTABLE PURITY 230G @24 CAN</v>
      </c>
      <c r="C55" s="31" t="str">
        <f t="shared" si="5"/>
        <v>NCG</v>
      </c>
      <c r="D55" s="39" t="str">
        <f t="shared" si="6"/>
        <v>can</v>
      </c>
      <c r="E55" s="40">
        <f t="shared" si="7"/>
        <v>12999.98</v>
      </c>
      <c r="F55" s="41">
        <f t="shared" si="8"/>
        <v>43</v>
      </c>
      <c r="G55" s="41">
        <f t="shared" si="9"/>
        <v>47</v>
      </c>
      <c r="H55" s="41">
        <f t="shared" si="10"/>
        <v>4</v>
      </c>
      <c r="I55" s="40">
        <f t="shared" si="11"/>
        <v>51999.92</v>
      </c>
      <c r="J55" s="31" t="str">
        <f t="shared" si="12"/>
        <v>Kenaikan IU</v>
      </c>
      <c r="K55" s="42"/>
      <c r="O55" s="86" t="s">
        <v>31</v>
      </c>
      <c r="P55" s="87" t="s">
        <v>11</v>
      </c>
      <c r="Q55" t="s">
        <v>32</v>
      </c>
      <c r="V55" s="4"/>
      <c r="X55" s="3" t="s">
        <v>61</v>
      </c>
      <c r="Y55" t="s">
        <v>62</v>
      </c>
      <c r="Z55" t="s">
        <v>41</v>
      </c>
      <c r="AA55">
        <v>7</v>
      </c>
      <c r="AB55" t="s">
        <v>5</v>
      </c>
      <c r="AC55">
        <v>16255.525799999998</v>
      </c>
      <c r="AD55" s="4">
        <v>113788.68060000001</v>
      </c>
      <c r="AF55" s="20">
        <v>7</v>
      </c>
      <c r="AG55" s="18" t="s">
        <v>128</v>
      </c>
      <c r="AH55" s="18" t="s">
        <v>129</v>
      </c>
      <c r="AI55" s="18" t="s">
        <v>123</v>
      </c>
      <c r="AJ55" s="21">
        <v>3.5</v>
      </c>
      <c r="AK55" s="18" t="s">
        <v>74</v>
      </c>
      <c r="AL55" s="21">
        <v>142066.77919999999</v>
      </c>
      <c r="AM55" s="19">
        <v>497233.72720000002</v>
      </c>
      <c r="AO55" s="20" t="s">
        <v>141</v>
      </c>
      <c r="AP55" s="18" t="s">
        <v>142</v>
      </c>
      <c r="AQ55" s="18" t="s">
        <v>123</v>
      </c>
      <c r="AR55" s="21">
        <v>19</v>
      </c>
      <c r="AS55" s="18" t="s">
        <v>5</v>
      </c>
      <c r="AT55" s="21">
        <v>42457.260800000004</v>
      </c>
      <c r="AU55" s="19">
        <v>806687.95519999997</v>
      </c>
      <c r="AW55" s="20" t="s">
        <v>141</v>
      </c>
      <c r="AX55" s="18" t="s">
        <v>142</v>
      </c>
      <c r="AY55" s="18" t="s">
        <v>123</v>
      </c>
      <c r="AZ55" s="21">
        <v>19</v>
      </c>
      <c r="BA55" s="18" t="s">
        <v>5</v>
      </c>
      <c r="BB55" s="21">
        <v>42457.260800000004</v>
      </c>
      <c r="BC55" s="19">
        <v>806687.95519999997</v>
      </c>
    </row>
    <row r="56" spans="1:55" x14ac:dyDescent="0.35">
      <c r="A56" s="38" t="str">
        <v>NCGK0008</v>
      </c>
      <c r="B56" s="31" t="str">
        <f t="shared" si="4"/>
        <v>PLASTIK PE 1/4 KG 10x20</v>
      </c>
      <c r="C56" s="31" t="str">
        <f t="shared" si="5"/>
        <v>NCG</v>
      </c>
      <c r="D56" s="39" t="str">
        <f t="shared" si="6"/>
        <v>pack</v>
      </c>
      <c r="E56" s="40">
        <f t="shared" si="7"/>
        <v>5620.12</v>
      </c>
      <c r="F56" s="41">
        <f t="shared" si="8"/>
        <v>71</v>
      </c>
      <c r="G56" s="41">
        <f t="shared" si="9"/>
        <v>45</v>
      </c>
      <c r="H56" s="41">
        <f t="shared" si="10"/>
        <v>-26</v>
      </c>
      <c r="I56" s="40">
        <f t="shared" si="11"/>
        <v>-146123.12</v>
      </c>
      <c r="J56" s="31" t="str">
        <f t="shared" si="12"/>
        <v>Penurunan IU</v>
      </c>
      <c r="K56" s="42"/>
      <c r="O56" s="86" t="s">
        <v>35</v>
      </c>
      <c r="P56" s="87" t="s">
        <v>11</v>
      </c>
      <c r="Q56" t="s">
        <v>413</v>
      </c>
      <c r="V56" s="4"/>
      <c r="X56" s="3" t="s">
        <v>115</v>
      </c>
      <c r="Y56" t="s">
        <v>116</v>
      </c>
      <c r="Z56" t="s">
        <v>117</v>
      </c>
      <c r="AA56" s="10">
        <v>1500</v>
      </c>
      <c r="AB56" t="s">
        <v>52</v>
      </c>
      <c r="AC56" s="10">
        <v>619.04729999999995</v>
      </c>
      <c r="AD56" s="4">
        <v>928570.95</v>
      </c>
      <c r="AF56" s="20">
        <v>8</v>
      </c>
      <c r="AG56" s="18" t="s">
        <v>130</v>
      </c>
      <c r="AH56" s="18" t="s">
        <v>131</v>
      </c>
      <c r="AI56" s="18" t="s">
        <v>123</v>
      </c>
      <c r="AJ56" s="21">
        <v>41</v>
      </c>
      <c r="AK56" s="18" t="s">
        <v>5</v>
      </c>
      <c r="AL56" s="21">
        <v>6354.8472000000002</v>
      </c>
      <c r="AM56" s="19">
        <v>260548.7352</v>
      </c>
      <c r="AO56" s="20" t="s">
        <v>145</v>
      </c>
      <c r="AP56" s="18" t="s">
        <v>146</v>
      </c>
      <c r="AQ56" s="18" t="s">
        <v>123</v>
      </c>
      <c r="AR56" s="21">
        <v>136</v>
      </c>
      <c r="AS56" s="18" t="s">
        <v>5</v>
      </c>
      <c r="AT56" s="21">
        <v>4604.1441999999997</v>
      </c>
      <c r="AU56" s="19">
        <v>626163.61120000004</v>
      </c>
      <c r="AW56" s="20" t="s">
        <v>145</v>
      </c>
      <c r="AX56" s="18" t="s">
        <v>146</v>
      </c>
      <c r="AY56" s="18" t="s">
        <v>123</v>
      </c>
      <c r="AZ56" s="21">
        <v>136</v>
      </c>
      <c r="BA56" s="18" t="s">
        <v>5</v>
      </c>
      <c r="BB56" s="21">
        <v>4604.1441999999997</v>
      </c>
      <c r="BC56" s="19">
        <v>626163.61120000004</v>
      </c>
    </row>
    <row r="57" spans="1:55" x14ac:dyDescent="0.35">
      <c r="A57" s="38" t="str">
        <v>NCGK0009</v>
      </c>
      <c r="B57" s="31" t="str">
        <f t="shared" si="4"/>
        <v>PLASTIK PE 10 KG 40 x 60</v>
      </c>
      <c r="C57" s="31" t="str">
        <f t="shared" si="5"/>
        <v>NCG</v>
      </c>
      <c r="D57" s="39" t="str">
        <f t="shared" si="6"/>
        <v>pack</v>
      </c>
      <c r="E57" s="40">
        <f t="shared" si="7"/>
        <v>16072.58</v>
      </c>
      <c r="F57" s="41">
        <f t="shared" si="8"/>
        <v>71</v>
      </c>
      <c r="G57" s="41">
        <f t="shared" si="9"/>
        <v>22</v>
      </c>
      <c r="H57" s="41">
        <f t="shared" si="10"/>
        <v>-49</v>
      </c>
      <c r="I57" s="40">
        <f t="shared" si="11"/>
        <v>-787556.42</v>
      </c>
      <c r="J57" s="31" t="str">
        <f t="shared" si="12"/>
        <v>Penurunan IU</v>
      </c>
      <c r="K57" s="42"/>
      <c r="O57" s="3"/>
      <c r="V57" s="4"/>
      <c r="X57" s="3" t="s">
        <v>318</v>
      </c>
      <c r="Y57" t="s">
        <v>319</v>
      </c>
      <c r="Z57" t="s">
        <v>117</v>
      </c>
      <c r="AA57" s="10">
        <v>50</v>
      </c>
      <c r="AB57" t="s">
        <v>20</v>
      </c>
      <c r="AC57" s="10">
        <v>800</v>
      </c>
      <c r="AD57" s="4">
        <v>40000</v>
      </c>
      <c r="AF57" s="20">
        <v>9</v>
      </c>
      <c r="AG57" s="18" t="s">
        <v>132</v>
      </c>
      <c r="AH57" s="18" t="s">
        <v>133</v>
      </c>
      <c r="AI57" s="18" t="s">
        <v>123</v>
      </c>
      <c r="AJ57" s="21">
        <v>47</v>
      </c>
      <c r="AK57" s="18" t="s">
        <v>134</v>
      </c>
      <c r="AL57" s="21">
        <v>12999.983899999999</v>
      </c>
      <c r="AM57" s="19">
        <v>610999.24329999997</v>
      </c>
      <c r="AO57" s="20" t="s">
        <v>147</v>
      </c>
      <c r="AP57" s="18" t="s">
        <v>148</v>
      </c>
      <c r="AQ57" s="18" t="s">
        <v>123</v>
      </c>
      <c r="AR57" s="21">
        <v>2.5</v>
      </c>
      <c r="AS57" s="18" t="s">
        <v>5</v>
      </c>
      <c r="AT57" s="21">
        <v>14976.3024</v>
      </c>
      <c r="AU57" s="19">
        <v>37440.756000000001</v>
      </c>
      <c r="AW57" s="20" t="s">
        <v>147</v>
      </c>
      <c r="AX57" s="18" t="s">
        <v>148</v>
      </c>
      <c r="AY57" s="18" t="s">
        <v>123</v>
      </c>
      <c r="AZ57" s="21">
        <v>2.5</v>
      </c>
      <c r="BA57" s="18" t="s">
        <v>5</v>
      </c>
      <c r="BB57" s="21">
        <v>14976.3024</v>
      </c>
      <c r="BC57" s="19">
        <v>37440.756000000001</v>
      </c>
    </row>
    <row r="58" spans="1:55" x14ac:dyDescent="0.35">
      <c r="A58" s="38" t="str">
        <v>NCGK0011</v>
      </c>
      <c r="B58" s="31" t="str">
        <f t="shared" si="4"/>
        <v>HAND GLOVES NITRILE SIZE M</v>
      </c>
      <c r="C58" s="31" t="str">
        <f t="shared" si="5"/>
        <v>NCG</v>
      </c>
      <c r="D58" s="39" t="str">
        <f t="shared" si="6"/>
        <v>pack</v>
      </c>
      <c r="E58" s="40">
        <f t="shared" si="7"/>
        <v>42963.86</v>
      </c>
      <c r="F58" s="41" t="str">
        <f t="shared" si="8"/>
        <v>0</v>
      </c>
      <c r="G58" s="41">
        <f t="shared" si="9"/>
        <v>4.2</v>
      </c>
      <c r="H58" s="41">
        <f t="shared" si="10"/>
        <v>4.2</v>
      </c>
      <c r="I58" s="40">
        <f t="shared" si="11"/>
        <v>180448.212</v>
      </c>
      <c r="J58" s="31" t="str">
        <f t="shared" si="12"/>
        <v>Kenaikan IU</v>
      </c>
      <c r="K58" s="42"/>
      <c r="O58" s="3" t="s">
        <v>42</v>
      </c>
      <c r="P58" t="s">
        <v>43</v>
      </c>
      <c r="Q58" t="s">
        <v>44</v>
      </c>
      <c r="R58" t="s">
        <v>45</v>
      </c>
      <c r="S58" t="s">
        <v>46</v>
      </c>
      <c r="T58" t="s">
        <v>47</v>
      </c>
      <c r="U58" t="s">
        <v>48</v>
      </c>
      <c r="V58" s="4" t="s">
        <v>49</v>
      </c>
      <c r="X58" s="3" t="s">
        <v>414</v>
      </c>
      <c r="Y58" t="s">
        <v>415</v>
      </c>
      <c r="Z58" t="s">
        <v>120</v>
      </c>
      <c r="AA58" s="10">
        <v>1</v>
      </c>
      <c r="AB58" t="s">
        <v>20</v>
      </c>
      <c r="AC58" s="10">
        <v>97500</v>
      </c>
      <c r="AD58" s="4">
        <v>97500</v>
      </c>
      <c r="AF58" s="20">
        <v>10</v>
      </c>
      <c r="AG58" s="18" t="s">
        <v>135</v>
      </c>
      <c r="AH58" s="18" t="s">
        <v>136</v>
      </c>
      <c r="AI58" s="18" t="s">
        <v>123</v>
      </c>
      <c r="AJ58" s="21">
        <v>45</v>
      </c>
      <c r="AK58" s="18" t="s">
        <v>5</v>
      </c>
      <c r="AL58" s="21">
        <v>5620.1221999999998</v>
      </c>
      <c r="AM58" s="19">
        <v>252905.49900000001</v>
      </c>
      <c r="AO58" s="20" t="s">
        <v>268</v>
      </c>
      <c r="AP58" s="18" t="s">
        <v>269</v>
      </c>
      <c r="AQ58" s="18" t="s">
        <v>151</v>
      </c>
      <c r="AR58" s="21">
        <v>2</v>
      </c>
      <c r="AS58" s="18" t="s">
        <v>87</v>
      </c>
      <c r="AT58" s="21">
        <v>5500</v>
      </c>
      <c r="AU58" s="19">
        <v>11000</v>
      </c>
      <c r="AW58" s="20" t="s">
        <v>268</v>
      </c>
      <c r="AX58" s="18" t="s">
        <v>269</v>
      </c>
      <c r="AY58" s="18" t="s">
        <v>151</v>
      </c>
      <c r="AZ58" s="21">
        <v>2</v>
      </c>
      <c r="BA58" s="18" t="s">
        <v>87</v>
      </c>
      <c r="BB58" s="21">
        <v>5500</v>
      </c>
      <c r="BC58" s="19">
        <v>11000</v>
      </c>
    </row>
    <row r="59" spans="1:55" x14ac:dyDescent="0.35">
      <c r="A59" s="38" t="str">
        <v>NCGK0012</v>
      </c>
      <c r="B59" s="31" t="str">
        <f t="shared" si="4"/>
        <v>HAND GLOVES NITRILE SIZE L</v>
      </c>
      <c r="C59" s="31" t="str">
        <f t="shared" si="5"/>
        <v>NCG</v>
      </c>
      <c r="D59" s="39" t="str">
        <f t="shared" si="6"/>
        <v>pack</v>
      </c>
      <c r="E59" s="40">
        <f t="shared" si="7"/>
        <v>42457.26</v>
      </c>
      <c r="F59" s="41">
        <f t="shared" si="8"/>
        <v>14</v>
      </c>
      <c r="G59" s="41">
        <f t="shared" si="9"/>
        <v>19</v>
      </c>
      <c r="H59" s="41">
        <f t="shared" si="10"/>
        <v>5</v>
      </c>
      <c r="I59" s="40">
        <f t="shared" si="11"/>
        <v>212286.30000000002</v>
      </c>
      <c r="J59" s="31" t="str">
        <f t="shared" si="12"/>
        <v>Kenaikan IU</v>
      </c>
      <c r="K59" s="42"/>
      <c r="O59" s="3">
        <v>1</v>
      </c>
      <c r="P59" t="s">
        <v>2</v>
      </c>
      <c r="Q59" t="s">
        <v>3</v>
      </c>
      <c r="R59" t="s">
        <v>4</v>
      </c>
      <c r="S59" s="10">
        <v>8</v>
      </c>
      <c r="T59" t="s">
        <v>5</v>
      </c>
      <c r="U59" s="10">
        <v>21004.1859</v>
      </c>
      <c r="V59" s="4">
        <v>168033.4872</v>
      </c>
      <c r="X59" s="3" t="s">
        <v>416</v>
      </c>
      <c r="Y59" t="s">
        <v>417</v>
      </c>
      <c r="Z59" t="s">
        <v>120</v>
      </c>
      <c r="AA59" s="10">
        <v>2</v>
      </c>
      <c r="AB59" t="s">
        <v>20</v>
      </c>
      <c r="AC59" s="10">
        <v>5037.5</v>
      </c>
      <c r="AD59" s="4">
        <v>10075</v>
      </c>
      <c r="AF59" s="20">
        <v>11</v>
      </c>
      <c r="AG59" s="18" t="s">
        <v>137</v>
      </c>
      <c r="AH59" s="18" t="s">
        <v>138</v>
      </c>
      <c r="AI59" s="18" t="s">
        <v>123</v>
      </c>
      <c r="AJ59" s="21">
        <v>22</v>
      </c>
      <c r="AK59" s="18" t="s">
        <v>5</v>
      </c>
      <c r="AL59" s="21">
        <v>16072.5843</v>
      </c>
      <c r="AM59" s="19">
        <v>353596.85460000002</v>
      </c>
      <c r="AO59" s="20" t="s">
        <v>154</v>
      </c>
      <c r="AP59" s="18" t="s">
        <v>155</v>
      </c>
      <c r="AQ59" s="18" t="s">
        <v>151</v>
      </c>
      <c r="AR59" s="21">
        <v>39</v>
      </c>
      <c r="AS59" s="18" t="s">
        <v>20</v>
      </c>
      <c r="AT59" s="21">
        <v>974.28210000000001</v>
      </c>
      <c r="AU59" s="19">
        <v>37997.001900000003</v>
      </c>
      <c r="AW59" s="20" t="s">
        <v>154</v>
      </c>
      <c r="AX59" s="18" t="s">
        <v>155</v>
      </c>
      <c r="AY59" s="18" t="s">
        <v>151</v>
      </c>
      <c r="AZ59" s="21">
        <v>39</v>
      </c>
      <c r="BA59" s="18" t="s">
        <v>20</v>
      </c>
      <c r="BB59" s="21">
        <v>974.28210000000001</v>
      </c>
      <c r="BC59" s="19">
        <v>37997.001900000003</v>
      </c>
    </row>
    <row r="60" spans="1:55" x14ac:dyDescent="0.35">
      <c r="A60" s="38" t="str">
        <v>NCGS0001</v>
      </c>
      <c r="B60" s="31" t="str">
        <f t="shared" si="4"/>
        <v>TISSUE COCKTAIL NAPKIN 11x11 (48 PACK)</v>
      </c>
      <c r="C60" s="31" t="str">
        <f t="shared" si="5"/>
        <v>NCG</v>
      </c>
      <c r="D60" s="39" t="str">
        <f t="shared" si="6"/>
        <v>pack</v>
      </c>
      <c r="E60" s="40">
        <f t="shared" si="7"/>
        <v>4604.1400000000003</v>
      </c>
      <c r="F60" s="41">
        <f t="shared" si="8"/>
        <v>301</v>
      </c>
      <c r="G60" s="41">
        <f t="shared" si="9"/>
        <v>136</v>
      </c>
      <c r="H60" s="41">
        <f t="shared" si="10"/>
        <v>-165</v>
      </c>
      <c r="I60" s="40">
        <f t="shared" si="11"/>
        <v>-759683.10000000009</v>
      </c>
      <c r="J60" s="31" t="str">
        <f t="shared" si="12"/>
        <v>Penurunan IU</v>
      </c>
      <c r="K60" s="42"/>
      <c r="O60" s="3">
        <v>2</v>
      </c>
      <c r="P60" t="s">
        <v>403</v>
      </c>
      <c r="Q60" t="s">
        <v>404</v>
      </c>
      <c r="R60" t="s">
        <v>4</v>
      </c>
      <c r="S60" s="10">
        <v>0.2</v>
      </c>
      <c r="T60" t="s">
        <v>9</v>
      </c>
      <c r="U60" s="10">
        <v>70569.027799999996</v>
      </c>
      <c r="V60" s="4">
        <v>14113.805560000001</v>
      </c>
      <c r="X60" s="3" t="s">
        <v>121</v>
      </c>
      <c r="Y60" t="s">
        <v>122</v>
      </c>
      <c r="Z60" t="s">
        <v>123</v>
      </c>
      <c r="AA60" s="10">
        <v>17</v>
      </c>
      <c r="AB60" t="s">
        <v>5</v>
      </c>
      <c r="AC60" s="10">
        <v>5000</v>
      </c>
      <c r="AD60" s="4">
        <v>85000</v>
      </c>
      <c r="AF60" s="20">
        <v>12</v>
      </c>
      <c r="AG60" s="18" t="s">
        <v>139</v>
      </c>
      <c r="AH60" s="18" t="s">
        <v>140</v>
      </c>
      <c r="AI60" s="18" t="s">
        <v>123</v>
      </c>
      <c r="AJ60" s="21">
        <v>4.2</v>
      </c>
      <c r="AK60" s="18" t="s">
        <v>5</v>
      </c>
      <c r="AL60" s="21">
        <v>42963.8554</v>
      </c>
      <c r="AM60" s="19">
        <v>180448.19268000001</v>
      </c>
      <c r="AO60" s="20" t="s">
        <v>464</v>
      </c>
      <c r="AP60" s="18" t="s">
        <v>465</v>
      </c>
      <c r="AQ60" s="18" t="s">
        <v>151</v>
      </c>
      <c r="AR60" s="21">
        <v>1</v>
      </c>
      <c r="AS60" s="18" t="s">
        <v>52</v>
      </c>
      <c r="AT60" s="21">
        <v>728437.5</v>
      </c>
      <c r="AU60" s="19">
        <v>728437.5</v>
      </c>
      <c r="AW60" s="20" t="s">
        <v>464</v>
      </c>
      <c r="AX60" s="18" t="s">
        <v>465</v>
      </c>
      <c r="AY60" s="18" t="s">
        <v>151</v>
      </c>
      <c r="AZ60" s="21">
        <v>1</v>
      </c>
      <c r="BA60" s="18" t="s">
        <v>52</v>
      </c>
      <c r="BB60" s="21">
        <v>728437.5</v>
      </c>
      <c r="BC60" s="19">
        <v>728437.5</v>
      </c>
    </row>
    <row r="61" spans="1:55" x14ac:dyDescent="0.35">
      <c r="A61" s="38" t="str">
        <v>NCGS0002</v>
      </c>
      <c r="B61" s="31" t="str">
        <f t="shared" si="4"/>
        <v>TUSUK GIGI ION @ 500 PCS</v>
      </c>
      <c r="C61" s="31" t="str">
        <f t="shared" si="5"/>
        <v>NCG</v>
      </c>
      <c r="D61" s="39" t="str">
        <f t="shared" si="6"/>
        <v>pack</v>
      </c>
      <c r="E61" s="40">
        <f t="shared" si="7"/>
        <v>14976.3</v>
      </c>
      <c r="F61" s="41">
        <f t="shared" si="8"/>
        <v>1.1000000000000001</v>
      </c>
      <c r="G61" s="41">
        <f t="shared" si="9"/>
        <v>2.5</v>
      </c>
      <c r="H61" s="41">
        <f t="shared" si="10"/>
        <v>1.4</v>
      </c>
      <c r="I61" s="40">
        <f t="shared" si="11"/>
        <v>20966.819999999996</v>
      </c>
      <c r="J61" s="31" t="str">
        <f t="shared" si="12"/>
        <v>Kenaikan IU</v>
      </c>
      <c r="K61" s="42"/>
      <c r="O61" s="3">
        <v>3</v>
      </c>
      <c r="P61" t="s">
        <v>18</v>
      </c>
      <c r="Q61" t="s">
        <v>19</v>
      </c>
      <c r="R61" t="s">
        <v>4</v>
      </c>
      <c r="S61" s="10">
        <v>0.75</v>
      </c>
      <c r="T61" t="s">
        <v>20</v>
      </c>
      <c r="U61" s="10">
        <v>151400</v>
      </c>
      <c r="V61" s="4">
        <v>113550</v>
      </c>
      <c r="X61" s="3" t="s">
        <v>124</v>
      </c>
      <c r="Y61" t="s">
        <v>125</v>
      </c>
      <c r="Z61" t="s">
        <v>123</v>
      </c>
      <c r="AA61" s="10">
        <v>24</v>
      </c>
      <c r="AB61" t="s">
        <v>5</v>
      </c>
      <c r="AC61" s="10">
        <v>5143.8289999999997</v>
      </c>
      <c r="AD61" s="4">
        <v>123451.89599999999</v>
      </c>
      <c r="AF61" s="20">
        <v>13</v>
      </c>
      <c r="AG61" s="18" t="s">
        <v>141</v>
      </c>
      <c r="AH61" s="18" t="s">
        <v>142</v>
      </c>
      <c r="AI61" s="18" t="s">
        <v>123</v>
      </c>
      <c r="AJ61" s="21">
        <v>19</v>
      </c>
      <c r="AK61" s="18" t="s">
        <v>5</v>
      </c>
      <c r="AL61" s="21">
        <v>42457.260800000004</v>
      </c>
      <c r="AM61" s="19">
        <v>806687.95519999997</v>
      </c>
      <c r="AO61" s="20" t="s">
        <v>156</v>
      </c>
      <c r="AP61" s="18" t="s">
        <v>157</v>
      </c>
      <c r="AQ61" s="18" t="s">
        <v>151</v>
      </c>
      <c r="AR61" s="21">
        <v>8</v>
      </c>
      <c r="AS61" s="18" t="s">
        <v>20</v>
      </c>
      <c r="AT61" s="21">
        <v>2199.8654999999999</v>
      </c>
      <c r="AU61" s="19">
        <v>17598.923999999999</v>
      </c>
      <c r="AW61" s="20" t="s">
        <v>156</v>
      </c>
      <c r="AX61" s="18" t="s">
        <v>157</v>
      </c>
      <c r="AY61" s="18" t="s">
        <v>151</v>
      </c>
      <c r="AZ61" s="21">
        <v>8</v>
      </c>
      <c r="BA61" s="18" t="s">
        <v>20</v>
      </c>
      <c r="BB61" s="21">
        <v>2199.8654999999999</v>
      </c>
      <c r="BC61" s="19">
        <v>17598.923999999999</v>
      </c>
    </row>
    <row r="62" spans="1:55" x14ac:dyDescent="0.35">
      <c r="A62" s="38" t="str">
        <v>OTH00060</v>
      </c>
      <c r="B62" s="31" t="str">
        <f t="shared" si="4"/>
        <v>BODREX</v>
      </c>
      <c r="C62" s="31" t="str">
        <f t="shared" si="5"/>
        <v>OTHERS</v>
      </c>
      <c r="D62" s="39" t="str">
        <f t="shared" si="6"/>
        <v>str</v>
      </c>
      <c r="E62" s="40">
        <f t="shared" si="7"/>
        <v>5500</v>
      </c>
      <c r="F62" s="41" t="str">
        <f t="shared" si="8"/>
        <v>0</v>
      </c>
      <c r="G62" s="41">
        <f t="shared" si="9"/>
        <v>2</v>
      </c>
      <c r="H62" s="41">
        <f t="shared" si="10"/>
        <v>2</v>
      </c>
      <c r="I62" s="40">
        <f t="shared" si="11"/>
        <v>11000</v>
      </c>
      <c r="J62" s="31" t="str">
        <f t="shared" si="12"/>
        <v>Kenaikan IU</v>
      </c>
      <c r="K62" s="42"/>
      <c r="O62" s="3">
        <v>4</v>
      </c>
      <c r="P62" t="s">
        <v>219</v>
      </c>
      <c r="Q62" t="s">
        <v>220</v>
      </c>
      <c r="R62" t="s">
        <v>4</v>
      </c>
      <c r="S62" s="10">
        <v>4.25</v>
      </c>
      <c r="T62" t="s">
        <v>25</v>
      </c>
      <c r="U62" s="10">
        <v>83266.199274999992</v>
      </c>
      <c r="V62" s="4">
        <v>353881.34691899997</v>
      </c>
      <c r="X62" s="3" t="s">
        <v>126</v>
      </c>
      <c r="Y62" t="s">
        <v>127</v>
      </c>
      <c r="Z62" t="s">
        <v>123</v>
      </c>
      <c r="AA62" s="10">
        <v>5</v>
      </c>
      <c r="AB62" t="s">
        <v>5</v>
      </c>
      <c r="AC62" s="10">
        <v>6565.1319000000003</v>
      </c>
      <c r="AD62" s="4">
        <v>32825.659500000002</v>
      </c>
      <c r="AF62" s="20">
        <v>14</v>
      </c>
      <c r="AG62" s="18" t="s">
        <v>145</v>
      </c>
      <c r="AH62" s="18" t="s">
        <v>146</v>
      </c>
      <c r="AI62" s="18" t="s">
        <v>123</v>
      </c>
      <c r="AJ62" s="21">
        <v>136</v>
      </c>
      <c r="AK62" s="18" t="s">
        <v>5</v>
      </c>
      <c r="AL62" s="21">
        <v>4604.1441999999997</v>
      </c>
      <c r="AM62" s="19">
        <v>626163.61120000004</v>
      </c>
      <c r="AO62" s="20" t="s">
        <v>272</v>
      </c>
      <c r="AP62" s="18" t="s">
        <v>273</v>
      </c>
      <c r="AQ62" s="18" t="s">
        <v>151</v>
      </c>
      <c r="AR62" s="21">
        <v>4</v>
      </c>
      <c r="AS62" s="18" t="s">
        <v>5</v>
      </c>
      <c r="AT62" s="21">
        <v>2534.5001000000002</v>
      </c>
      <c r="AU62" s="19">
        <v>10138.000400000001</v>
      </c>
      <c r="AW62" s="20" t="s">
        <v>272</v>
      </c>
      <c r="AX62" s="18" t="s">
        <v>273</v>
      </c>
      <c r="AY62" s="18" t="s">
        <v>151</v>
      </c>
      <c r="AZ62" s="21">
        <v>4</v>
      </c>
      <c r="BA62" s="18" t="s">
        <v>5</v>
      </c>
      <c r="BB62" s="21">
        <v>2534.5001000000002</v>
      </c>
      <c r="BC62" s="19">
        <v>10138.000400000001</v>
      </c>
    </row>
    <row r="63" spans="1:55" x14ac:dyDescent="0.35">
      <c r="A63" s="38" t="str">
        <v>OTH00064</v>
      </c>
      <c r="B63" s="31" t="str">
        <f t="shared" si="4"/>
        <v>LILIN MEJA / TEALIGHT</v>
      </c>
      <c r="C63" s="31" t="str">
        <f t="shared" si="5"/>
        <v>OTHERS</v>
      </c>
      <c r="D63" s="39" t="str">
        <f t="shared" si="6"/>
        <v>pcs</v>
      </c>
      <c r="E63" s="40">
        <f t="shared" si="7"/>
        <v>974.28</v>
      </c>
      <c r="F63" s="41">
        <f t="shared" si="8"/>
        <v>35</v>
      </c>
      <c r="G63" s="41">
        <f t="shared" si="9"/>
        <v>39</v>
      </c>
      <c r="H63" s="41">
        <f t="shared" si="10"/>
        <v>4</v>
      </c>
      <c r="I63" s="40">
        <f t="shared" si="11"/>
        <v>3897.12</v>
      </c>
      <c r="J63" s="31" t="str">
        <f t="shared" si="12"/>
        <v>Kenaikan IU</v>
      </c>
      <c r="K63" s="42"/>
      <c r="O63" s="3">
        <v>5</v>
      </c>
      <c r="P63" t="s">
        <v>221</v>
      </c>
      <c r="Q63" t="s">
        <v>222</v>
      </c>
      <c r="R63" t="s">
        <v>4</v>
      </c>
      <c r="S63" s="10">
        <v>3.25</v>
      </c>
      <c r="T63" t="s">
        <v>25</v>
      </c>
      <c r="U63" s="10">
        <v>101709.99100000002</v>
      </c>
      <c r="V63" s="4">
        <v>330557.47074999998</v>
      </c>
      <c r="X63" s="3" t="s">
        <v>128</v>
      </c>
      <c r="Y63" t="s">
        <v>129</v>
      </c>
      <c r="Z63" t="s">
        <v>123</v>
      </c>
      <c r="AA63" s="10">
        <v>8</v>
      </c>
      <c r="AB63" t="s">
        <v>74</v>
      </c>
      <c r="AC63" s="10">
        <v>142058.9792</v>
      </c>
      <c r="AD63" s="4">
        <v>1136471.8336</v>
      </c>
      <c r="AF63" s="20">
        <v>15</v>
      </c>
      <c r="AG63" s="18" t="s">
        <v>147</v>
      </c>
      <c r="AH63" s="18" t="s">
        <v>148</v>
      </c>
      <c r="AI63" s="18" t="s">
        <v>123</v>
      </c>
      <c r="AJ63" s="21">
        <v>2.5</v>
      </c>
      <c r="AK63" s="18" t="s">
        <v>5</v>
      </c>
      <c r="AL63" s="21">
        <v>14976.3024</v>
      </c>
      <c r="AM63" s="19">
        <v>37440.756000000001</v>
      </c>
      <c r="AO63" s="20" t="s">
        <v>423</v>
      </c>
      <c r="AP63" s="18" t="s">
        <v>424</v>
      </c>
      <c r="AQ63" s="18" t="s">
        <v>151</v>
      </c>
      <c r="AR63" s="21">
        <v>1</v>
      </c>
      <c r="AS63" s="18" t="s">
        <v>20</v>
      </c>
      <c r="AT63" s="21">
        <v>5902.8725999999997</v>
      </c>
      <c r="AU63" s="19">
        <v>5902.8725999999997</v>
      </c>
      <c r="AW63" s="20" t="s">
        <v>423</v>
      </c>
      <c r="AX63" s="18" t="s">
        <v>424</v>
      </c>
      <c r="AY63" s="18" t="s">
        <v>151</v>
      </c>
      <c r="AZ63" s="21">
        <v>1</v>
      </c>
      <c r="BA63" s="18" t="s">
        <v>20</v>
      </c>
      <c r="BB63" s="21">
        <v>5902.8725999999997</v>
      </c>
      <c r="BC63" s="19">
        <v>5902.8725999999997</v>
      </c>
    </row>
    <row r="64" spans="1:55" x14ac:dyDescent="0.35">
      <c r="A64" s="38" t="str">
        <v>OTH00070</v>
      </c>
      <c r="B64" s="31" t="str">
        <f t="shared" si="4"/>
        <v>STICKER FREEZER</v>
      </c>
      <c r="C64" s="31" t="str">
        <f t="shared" si="5"/>
        <v>OTHERS</v>
      </c>
      <c r="D64" s="39" t="str">
        <f t="shared" si="6"/>
        <v>lembar</v>
      </c>
      <c r="E64" s="40">
        <f t="shared" si="7"/>
        <v>728437.5</v>
      </c>
      <c r="F64" s="41" t="str">
        <f t="shared" si="8"/>
        <v>0</v>
      </c>
      <c r="G64" s="41">
        <f t="shared" si="9"/>
        <v>1</v>
      </c>
      <c r="H64" s="41">
        <f t="shared" si="10"/>
        <v>1</v>
      </c>
      <c r="I64" s="40">
        <f t="shared" si="11"/>
        <v>728437.5</v>
      </c>
      <c r="J64" s="31" t="str">
        <f t="shared" si="12"/>
        <v>Kenaikan IU</v>
      </c>
      <c r="K64" s="42"/>
      <c r="O64" s="3">
        <v>6</v>
      </c>
      <c r="P64" t="s">
        <v>23</v>
      </c>
      <c r="Q64" t="s">
        <v>24</v>
      </c>
      <c r="R64" t="s">
        <v>4</v>
      </c>
      <c r="S64" s="10">
        <v>9.06</v>
      </c>
      <c r="T64" t="s">
        <v>25</v>
      </c>
      <c r="U64" s="10">
        <v>17382.818299999999</v>
      </c>
      <c r="V64" s="4">
        <v>157488.33379800001</v>
      </c>
      <c r="X64" s="3" t="s">
        <v>130</v>
      </c>
      <c r="Y64" t="s">
        <v>131</v>
      </c>
      <c r="Z64" t="s">
        <v>123</v>
      </c>
      <c r="AA64" s="10">
        <v>105</v>
      </c>
      <c r="AB64" t="s">
        <v>5</v>
      </c>
      <c r="AC64" s="10">
        <v>6353.4645</v>
      </c>
      <c r="AD64" s="4">
        <v>667113.77249999996</v>
      </c>
      <c r="AF64" s="20">
        <v>16</v>
      </c>
      <c r="AG64" s="18" t="s">
        <v>268</v>
      </c>
      <c r="AH64" s="18" t="s">
        <v>269</v>
      </c>
      <c r="AI64" s="18" t="s">
        <v>151</v>
      </c>
      <c r="AJ64" s="21">
        <v>2</v>
      </c>
      <c r="AK64" s="18" t="s">
        <v>87</v>
      </c>
      <c r="AL64" s="21">
        <v>5500</v>
      </c>
      <c r="AM64" s="19">
        <v>11000</v>
      </c>
      <c r="AO64" s="20" t="s">
        <v>466</v>
      </c>
      <c r="AP64" s="18" t="s">
        <v>467</v>
      </c>
      <c r="AQ64" s="18" t="s">
        <v>151</v>
      </c>
      <c r="AR64" s="21">
        <v>5</v>
      </c>
      <c r="AS64" s="18" t="s">
        <v>20</v>
      </c>
      <c r="AT64" s="21">
        <v>13045.003999999999</v>
      </c>
      <c r="AU64" s="19">
        <v>65225.02</v>
      </c>
      <c r="AW64" s="20" t="s">
        <v>466</v>
      </c>
      <c r="AX64" s="18" t="s">
        <v>467</v>
      </c>
      <c r="AY64" s="18" t="s">
        <v>151</v>
      </c>
      <c r="AZ64" s="21">
        <v>5</v>
      </c>
      <c r="BA64" s="18" t="s">
        <v>20</v>
      </c>
      <c r="BB64" s="21">
        <v>13045.003999999999</v>
      </c>
      <c r="BC64" s="19">
        <v>65225.02</v>
      </c>
    </row>
    <row r="65" spans="1:55" x14ac:dyDescent="0.35">
      <c r="A65" s="38" t="str">
        <v>OTH00073</v>
      </c>
      <c r="B65" s="31" t="str">
        <f t="shared" si="4"/>
        <v>MASKER</v>
      </c>
      <c r="C65" s="31" t="str">
        <f t="shared" si="5"/>
        <v>OTHERS</v>
      </c>
      <c r="D65" s="39" t="str">
        <f t="shared" si="6"/>
        <v>pcs</v>
      </c>
      <c r="E65" s="40">
        <f t="shared" si="7"/>
        <v>2199.87</v>
      </c>
      <c r="F65" s="41">
        <f t="shared" si="8"/>
        <v>45</v>
      </c>
      <c r="G65" s="41">
        <f t="shared" si="9"/>
        <v>8</v>
      </c>
      <c r="H65" s="41">
        <f t="shared" si="10"/>
        <v>-37</v>
      </c>
      <c r="I65" s="40">
        <f t="shared" si="11"/>
        <v>-81395.19</v>
      </c>
      <c r="J65" s="31" t="str">
        <f t="shared" si="12"/>
        <v>Penurunan IU</v>
      </c>
      <c r="K65" s="42"/>
      <c r="O65" s="3">
        <v>7</v>
      </c>
      <c r="P65" t="s">
        <v>28</v>
      </c>
      <c r="Q65" t="s">
        <v>29</v>
      </c>
      <c r="R65" t="s">
        <v>4</v>
      </c>
      <c r="S65" s="10">
        <v>18.75</v>
      </c>
      <c r="T65" t="s">
        <v>30</v>
      </c>
      <c r="U65" s="10">
        <v>19755.481599999999</v>
      </c>
      <c r="V65" s="4">
        <v>370415.28</v>
      </c>
      <c r="X65" s="3" t="s">
        <v>132</v>
      </c>
      <c r="Y65" t="s">
        <v>133</v>
      </c>
      <c r="Z65" t="s">
        <v>123</v>
      </c>
      <c r="AA65" s="10">
        <v>43</v>
      </c>
      <c r="AB65" t="s">
        <v>134</v>
      </c>
      <c r="AC65" s="10">
        <v>12999.962799999998</v>
      </c>
      <c r="AD65" s="4">
        <v>558998.40040000004</v>
      </c>
      <c r="AF65" s="20">
        <v>17</v>
      </c>
      <c r="AG65" s="18" t="s">
        <v>154</v>
      </c>
      <c r="AH65" s="18" t="s">
        <v>155</v>
      </c>
      <c r="AI65" s="18" t="s">
        <v>151</v>
      </c>
      <c r="AJ65" s="21">
        <v>39</v>
      </c>
      <c r="AK65" s="18" t="s">
        <v>20</v>
      </c>
      <c r="AL65" s="21">
        <v>974.28210000000001</v>
      </c>
      <c r="AM65" s="19">
        <v>37997.001900000003</v>
      </c>
      <c r="AO65" s="20" t="s">
        <v>468</v>
      </c>
      <c r="AP65" s="18" t="s">
        <v>469</v>
      </c>
      <c r="AQ65" s="18" t="s">
        <v>151</v>
      </c>
      <c r="AR65" s="21">
        <v>3</v>
      </c>
      <c r="AS65" s="18" t="s">
        <v>20</v>
      </c>
      <c r="AT65" s="21">
        <v>793.9</v>
      </c>
      <c r="AU65" s="19">
        <v>2381.6999999999998</v>
      </c>
      <c r="AW65" s="20" t="s">
        <v>468</v>
      </c>
      <c r="AX65" s="18" t="s">
        <v>469</v>
      </c>
      <c r="AY65" s="18" t="s">
        <v>151</v>
      </c>
      <c r="AZ65" s="21">
        <v>3</v>
      </c>
      <c r="BA65" s="18" t="s">
        <v>20</v>
      </c>
      <c r="BB65" s="21">
        <v>793.9</v>
      </c>
      <c r="BC65" s="19">
        <v>2381.6999999999998</v>
      </c>
    </row>
    <row r="66" spans="1:55" x14ac:dyDescent="0.35">
      <c r="A66" s="38" t="str">
        <v>OTH00092</v>
      </c>
      <c r="B66" s="31" t="str">
        <f t="shared" si="4"/>
        <v>KABEL TIES 10 CM</v>
      </c>
      <c r="C66" s="31" t="str">
        <f t="shared" si="5"/>
        <v>OTHERS</v>
      </c>
      <c r="D66" s="39" t="str">
        <f t="shared" si="6"/>
        <v>pack</v>
      </c>
      <c r="E66" s="40">
        <f t="shared" si="7"/>
        <v>2534.5</v>
      </c>
      <c r="F66" s="41">
        <f t="shared" si="8"/>
        <v>1</v>
      </c>
      <c r="G66" s="41">
        <f t="shared" si="9"/>
        <v>4</v>
      </c>
      <c r="H66" s="41">
        <f t="shared" si="10"/>
        <v>3</v>
      </c>
      <c r="I66" s="40">
        <f t="shared" si="11"/>
        <v>7603.5</v>
      </c>
      <c r="J66" s="31" t="str">
        <f t="shared" si="12"/>
        <v>Kenaikan IU</v>
      </c>
      <c r="K66" s="42"/>
      <c r="O66" s="3">
        <v>8</v>
      </c>
      <c r="P66" t="s">
        <v>33</v>
      </c>
      <c r="Q66" t="s">
        <v>34</v>
      </c>
      <c r="R66" t="s">
        <v>4</v>
      </c>
      <c r="S66" s="10">
        <v>16.100000000000001</v>
      </c>
      <c r="T66" t="s">
        <v>30</v>
      </c>
      <c r="U66" s="10">
        <v>13000</v>
      </c>
      <c r="V66" s="4">
        <v>209300</v>
      </c>
      <c r="X66" s="3" t="s">
        <v>135</v>
      </c>
      <c r="Y66" t="s">
        <v>136</v>
      </c>
      <c r="Z66" t="s">
        <v>123</v>
      </c>
      <c r="AA66" s="10">
        <v>71</v>
      </c>
      <c r="AB66" t="s">
        <v>5</v>
      </c>
      <c r="AC66" s="10">
        <v>5450.1176999999998</v>
      </c>
      <c r="AD66" s="4">
        <v>386958.3567</v>
      </c>
      <c r="AF66" s="20">
        <v>18</v>
      </c>
      <c r="AG66" s="18" t="s">
        <v>464</v>
      </c>
      <c r="AH66" s="18" t="s">
        <v>465</v>
      </c>
      <c r="AI66" s="18" t="s">
        <v>151</v>
      </c>
      <c r="AJ66" s="21">
        <v>1</v>
      </c>
      <c r="AK66" s="18" t="s">
        <v>52</v>
      </c>
      <c r="AL66" s="21">
        <v>728437.5</v>
      </c>
      <c r="AM66" s="19">
        <v>728437.5</v>
      </c>
      <c r="AO66" s="20" t="s">
        <v>276</v>
      </c>
      <c r="AP66" s="18" t="s">
        <v>277</v>
      </c>
      <c r="AQ66" s="18" t="s">
        <v>151</v>
      </c>
      <c r="AR66" s="18">
        <v>12</v>
      </c>
      <c r="AS66" s="18" t="s">
        <v>52</v>
      </c>
      <c r="AT66" s="18">
        <v>1807.7</v>
      </c>
      <c r="AU66" s="19">
        <v>21692.400000000001</v>
      </c>
      <c r="AW66" s="20" t="s">
        <v>276</v>
      </c>
      <c r="AX66" s="18" t="s">
        <v>277</v>
      </c>
      <c r="AY66" s="18" t="s">
        <v>151</v>
      </c>
      <c r="AZ66" s="18">
        <v>12</v>
      </c>
      <c r="BA66" s="18" t="s">
        <v>52</v>
      </c>
      <c r="BB66" s="18">
        <v>1807.7</v>
      </c>
      <c r="BC66" s="19">
        <v>21692.400000000001</v>
      </c>
    </row>
    <row r="67" spans="1:55" x14ac:dyDescent="0.35">
      <c r="A67" s="38" t="str">
        <v>OTH00098</v>
      </c>
      <c r="B67" s="31" t="str">
        <f t="shared" si="4"/>
        <v>TEMPAT LILIN KRISTAL BENING</v>
      </c>
      <c r="C67" s="31" t="str">
        <f t="shared" si="5"/>
        <v>OTHERS</v>
      </c>
      <c r="D67" s="39" t="str">
        <f t="shared" si="6"/>
        <v>pcs</v>
      </c>
      <c r="E67" s="40">
        <f t="shared" si="7"/>
        <v>5902.87</v>
      </c>
      <c r="F67" s="41">
        <f t="shared" si="8"/>
        <v>3</v>
      </c>
      <c r="G67" s="41">
        <f t="shared" si="9"/>
        <v>1</v>
      </c>
      <c r="H67" s="41">
        <f t="shared" si="10"/>
        <v>-2</v>
      </c>
      <c r="I67" s="40">
        <f t="shared" si="11"/>
        <v>-11805.74</v>
      </c>
      <c r="J67" s="31" t="str">
        <f t="shared" si="12"/>
        <v>Penurunan IU</v>
      </c>
      <c r="K67" s="42"/>
      <c r="O67" s="3">
        <v>9</v>
      </c>
      <c r="P67" t="s">
        <v>39</v>
      </c>
      <c r="Q67" t="s">
        <v>40</v>
      </c>
      <c r="R67" t="s">
        <v>41</v>
      </c>
      <c r="S67" s="10">
        <v>5</v>
      </c>
      <c r="T67" t="s">
        <v>20</v>
      </c>
      <c r="U67" s="10">
        <v>7203.9754846153846</v>
      </c>
      <c r="V67" s="4">
        <v>36019.877422999998</v>
      </c>
      <c r="X67" s="3" t="s">
        <v>137</v>
      </c>
      <c r="Y67" t="s">
        <v>138</v>
      </c>
      <c r="Z67" t="s">
        <v>123</v>
      </c>
      <c r="AA67" s="10">
        <v>71</v>
      </c>
      <c r="AB67" t="s">
        <v>5</v>
      </c>
      <c r="AC67" s="10">
        <v>16042.388499999999</v>
      </c>
      <c r="AD67" s="4">
        <v>1139009.5834999999</v>
      </c>
      <c r="AF67" s="20">
        <v>19</v>
      </c>
      <c r="AG67" s="18" t="s">
        <v>156</v>
      </c>
      <c r="AH67" s="18" t="s">
        <v>157</v>
      </c>
      <c r="AI67" s="18" t="s">
        <v>151</v>
      </c>
      <c r="AJ67" s="21">
        <v>8</v>
      </c>
      <c r="AK67" s="18" t="s">
        <v>20</v>
      </c>
      <c r="AL67" s="21">
        <v>2199.8654999999999</v>
      </c>
      <c r="AM67" s="19">
        <v>17598.923999999999</v>
      </c>
      <c r="AO67" s="20" t="s">
        <v>2</v>
      </c>
      <c r="AP67" s="18" t="s">
        <v>3</v>
      </c>
      <c r="AQ67" s="18" t="s">
        <v>4</v>
      </c>
      <c r="AR67" s="21">
        <v>6</v>
      </c>
      <c r="AS67" s="18" t="s">
        <v>5</v>
      </c>
      <c r="AT67" s="21">
        <v>21000</v>
      </c>
      <c r="AU67" s="19">
        <v>126000</v>
      </c>
      <c r="AW67" s="20" t="s">
        <v>2</v>
      </c>
      <c r="AX67" s="18" t="s">
        <v>3</v>
      </c>
      <c r="AY67" s="18" t="s">
        <v>4</v>
      </c>
      <c r="AZ67" s="21">
        <v>6</v>
      </c>
      <c r="BA67" s="18" t="s">
        <v>5</v>
      </c>
      <c r="BB67" s="21">
        <v>21000</v>
      </c>
      <c r="BC67" s="19">
        <v>126000</v>
      </c>
    </row>
    <row r="68" spans="1:55" x14ac:dyDescent="0.35">
      <c r="A68" s="38" t="str">
        <v>OTH00101</v>
      </c>
      <c r="B68" s="31" t="str">
        <f t="shared" si="4"/>
        <v>TATAKAN INDUCTION/TATAKAN KUALI</v>
      </c>
      <c r="C68" s="31" t="str">
        <f t="shared" si="5"/>
        <v>OTHERS</v>
      </c>
      <c r="D68" s="39" t="str">
        <f t="shared" si="6"/>
        <v>pcs</v>
      </c>
      <c r="E68" s="40">
        <f t="shared" si="7"/>
        <v>13045</v>
      </c>
      <c r="F68" s="41" t="str">
        <f t="shared" si="8"/>
        <v>0</v>
      </c>
      <c r="G68" s="41">
        <f t="shared" si="9"/>
        <v>5</v>
      </c>
      <c r="H68" s="41">
        <f t="shared" si="10"/>
        <v>5</v>
      </c>
      <c r="I68" s="40">
        <f t="shared" si="11"/>
        <v>65225</v>
      </c>
      <c r="J68" s="31" t="str">
        <f t="shared" si="12"/>
        <v>Kenaikan IU</v>
      </c>
      <c r="K68" s="42"/>
      <c r="O68" s="3">
        <v>10</v>
      </c>
      <c r="P68" t="s">
        <v>304</v>
      </c>
      <c r="Q68" t="s">
        <v>305</v>
      </c>
      <c r="R68" t="s">
        <v>41</v>
      </c>
      <c r="S68" s="10">
        <v>2</v>
      </c>
      <c r="T68" t="s">
        <v>20</v>
      </c>
      <c r="U68" s="10">
        <v>7216.670000000001</v>
      </c>
      <c r="V68" s="4">
        <v>14433.34</v>
      </c>
      <c r="X68" s="3" t="s">
        <v>141</v>
      </c>
      <c r="Y68" t="s">
        <v>142</v>
      </c>
      <c r="Z68" t="s">
        <v>123</v>
      </c>
      <c r="AA68" s="10">
        <v>14</v>
      </c>
      <c r="AB68" t="s">
        <v>5</v>
      </c>
      <c r="AC68" s="10">
        <v>41808.887900000002</v>
      </c>
      <c r="AD68" s="4">
        <v>585324.43059999996</v>
      </c>
      <c r="AF68" s="20">
        <v>20</v>
      </c>
      <c r="AG68" s="18" t="s">
        <v>272</v>
      </c>
      <c r="AH68" s="18" t="s">
        <v>273</v>
      </c>
      <c r="AI68" s="18" t="s">
        <v>151</v>
      </c>
      <c r="AJ68" s="21">
        <v>4</v>
      </c>
      <c r="AK68" s="18" t="s">
        <v>5</v>
      </c>
      <c r="AL68" s="21">
        <v>2534.5001000000002</v>
      </c>
      <c r="AM68" s="19">
        <v>10138.000400000001</v>
      </c>
      <c r="AO68" s="20" t="s">
        <v>7</v>
      </c>
      <c r="AP68" s="18" t="s">
        <v>8</v>
      </c>
      <c r="AQ68" s="18" t="s">
        <v>4</v>
      </c>
      <c r="AR68" s="21">
        <v>0.2</v>
      </c>
      <c r="AS68" s="18" t="s">
        <v>9</v>
      </c>
      <c r="AT68" s="21">
        <v>133200</v>
      </c>
      <c r="AU68" s="19">
        <v>26640</v>
      </c>
      <c r="AW68" s="20" t="s">
        <v>7</v>
      </c>
      <c r="AX68" s="18" t="s">
        <v>8</v>
      </c>
      <c r="AY68" s="18" t="s">
        <v>4</v>
      </c>
      <c r="AZ68" s="21">
        <v>0.2</v>
      </c>
      <c r="BA68" s="18" t="s">
        <v>9</v>
      </c>
      <c r="BB68" s="21">
        <v>133200</v>
      </c>
      <c r="BC68" s="19">
        <v>26640</v>
      </c>
    </row>
    <row r="69" spans="1:55" x14ac:dyDescent="0.35">
      <c r="A69" s="38" t="str">
        <v>OTH00190</v>
      </c>
      <c r="B69" s="31" t="str">
        <f t="shared" si="4"/>
        <v>SUMBU LILIN PELAMPUNG SERAT KAYU</v>
      </c>
      <c r="C69" s="31" t="str">
        <f t="shared" si="5"/>
        <v>OTHERS</v>
      </c>
      <c r="D69" s="39" t="str">
        <f t="shared" si="6"/>
        <v>pcs</v>
      </c>
      <c r="E69" s="40">
        <f t="shared" si="7"/>
        <v>793.9</v>
      </c>
      <c r="F69" s="41" t="str">
        <f t="shared" si="8"/>
        <v>0</v>
      </c>
      <c r="G69" s="41">
        <f t="shared" si="9"/>
        <v>3</v>
      </c>
      <c r="H69" s="41">
        <f t="shared" si="10"/>
        <v>3</v>
      </c>
      <c r="I69" s="40">
        <f t="shared" si="11"/>
        <v>2381.6999999999998</v>
      </c>
      <c r="J69" s="31" t="str">
        <f t="shared" si="12"/>
        <v>Kenaikan IU</v>
      </c>
      <c r="K69" s="42"/>
      <c r="O69" s="3">
        <v>11</v>
      </c>
      <c r="P69" t="s">
        <v>50</v>
      </c>
      <c r="Q69" t="s">
        <v>51</v>
      </c>
      <c r="R69" t="s">
        <v>41</v>
      </c>
      <c r="S69" s="10">
        <v>10</v>
      </c>
      <c r="T69" t="s">
        <v>52</v>
      </c>
      <c r="U69" s="10">
        <v>20499.949199999999</v>
      </c>
      <c r="V69" s="4">
        <v>204999.492</v>
      </c>
      <c r="X69" s="3" t="s">
        <v>145</v>
      </c>
      <c r="Y69" t="s">
        <v>146</v>
      </c>
      <c r="Z69" t="s">
        <v>123</v>
      </c>
      <c r="AA69" s="10">
        <v>301</v>
      </c>
      <c r="AB69" t="s">
        <v>5</v>
      </c>
      <c r="AC69" s="10">
        <v>4604.1441999999997</v>
      </c>
      <c r="AD69" s="4">
        <v>1385847.4042</v>
      </c>
      <c r="AF69" s="20">
        <v>21</v>
      </c>
      <c r="AG69" s="18" t="s">
        <v>423</v>
      </c>
      <c r="AH69" s="18" t="s">
        <v>424</v>
      </c>
      <c r="AI69" s="18" t="s">
        <v>151</v>
      </c>
      <c r="AJ69" s="21">
        <v>1</v>
      </c>
      <c r="AK69" s="18" t="s">
        <v>20</v>
      </c>
      <c r="AL69" s="21">
        <v>5902.8725999999997</v>
      </c>
      <c r="AM69" s="19">
        <v>5902.8725999999997</v>
      </c>
      <c r="AO69" s="20" t="s">
        <v>13</v>
      </c>
      <c r="AP69" s="18" t="s">
        <v>14</v>
      </c>
      <c r="AQ69" s="18" t="s">
        <v>4</v>
      </c>
      <c r="AR69" s="21">
        <v>1</v>
      </c>
      <c r="AS69" s="18" t="s">
        <v>15</v>
      </c>
      <c r="AT69" s="21">
        <v>77700</v>
      </c>
      <c r="AU69" s="19">
        <v>77700</v>
      </c>
      <c r="AW69" s="20" t="s">
        <v>13</v>
      </c>
      <c r="AX69" s="18" t="s">
        <v>14</v>
      </c>
      <c r="AY69" s="18" t="s">
        <v>4</v>
      </c>
      <c r="AZ69" s="21">
        <v>1</v>
      </c>
      <c r="BA69" s="18" t="s">
        <v>15</v>
      </c>
      <c r="BB69" s="21">
        <v>77700</v>
      </c>
      <c r="BC69" s="19">
        <v>77700</v>
      </c>
    </row>
    <row r="70" spans="1:55" x14ac:dyDescent="0.35">
      <c r="A70" s="38" t="str">
        <v>OTH00208</v>
      </c>
      <c r="B70" s="31" t="str">
        <f t="shared" si="4"/>
        <v>STICKER PIPI MERAH PUTIH</v>
      </c>
      <c r="C70" s="31" t="str">
        <f t="shared" si="5"/>
        <v>OTHERS</v>
      </c>
      <c r="D70" s="39" t="str">
        <f t="shared" si="6"/>
        <v>lembar</v>
      </c>
      <c r="E70" s="40">
        <f t="shared" si="7"/>
        <v>1807.7</v>
      </c>
      <c r="F70" s="41" t="str">
        <f t="shared" si="8"/>
        <v>0</v>
      </c>
      <c r="G70" s="41">
        <f t="shared" si="9"/>
        <v>12</v>
      </c>
      <c r="H70" s="41">
        <f t="shared" si="10"/>
        <v>12</v>
      </c>
      <c r="I70" s="40">
        <f t="shared" si="11"/>
        <v>21692.400000000001</v>
      </c>
      <c r="J70" s="31" t="str">
        <f t="shared" si="12"/>
        <v>Kenaikan IU</v>
      </c>
      <c r="K70" s="42"/>
      <c r="O70" s="3">
        <v>12</v>
      </c>
      <c r="P70" t="s">
        <v>405</v>
      </c>
      <c r="Q70" t="s">
        <v>406</v>
      </c>
      <c r="R70" t="s">
        <v>41</v>
      </c>
      <c r="S70" s="10">
        <v>2</v>
      </c>
      <c r="T70" t="s">
        <v>20</v>
      </c>
      <c r="U70" s="10">
        <v>7216.670000000001</v>
      </c>
      <c r="V70" s="4">
        <v>14433.34</v>
      </c>
      <c r="X70" s="3" t="s">
        <v>147</v>
      </c>
      <c r="Y70" t="s">
        <v>148</v>
      </c>
      <c r="Z70" t="s">
        <v>123</v>
      </c>
      <c r="AA70" s="10">
        <v>1.1000000000000001</v>
      </c>
      <c r="AB70" t="s">
        <v>5</v>
      </c>
      <c r="AC70" s="10">
        <v>14952.604799999999</v>
      </c>
      <c r="AD70" s="4">
        <v>16447.865280000002</v>
      </c>
      <c r="AF70" s="20">
        <v>22</v>
      </c>
      <c r="AG70" s="18" t="s">
        <v>466</v>
      </c>
      <c r="AH70" s="18" t="s">
        <v>467</v>
      </c>
      <c r="AI70" s="18" t="s">
        <v>151</v>
      </c>
      <c r="AJ70" s="21">
        <v>5</v>
      </c>
      <c r="AK70" s="18" t="s">
        <v>20</v>
      </c>
      <c r="AL70" s="21">
        <v>13045.003999999999</v>
      </c>
      <c r="AM70" s="19">
        <v>65225.02</v>
      </c>
      <c r="AO70" s="20" t="s">
        <v>18</v>
      </c>
      <c r="AP70" s="18" t="s">
        <v>19</v>
      </c>
      <c r="AQ70" s="18" t="s">
        <v>4</v>
      </c>
      <c r="AR70" s="21">
        <v>0.25</v>
      </c>
      <c r="AS70" s="18" t="s">
        <v>20</v>
      </c>
      <c r="AT70" s="21">
        <v>151400</v>
      </c>
      <c r="AU70" s="19">
        <v>37850</v>
      </c>
      <c r="AW70" s="20" t="s">
        <v>18</v>
      </c>
      <c r="AX70" s="18" t="s">
        <v>19</v>
      </c>
      <c r="AY70" s="18" t="s">
        <v>4</v>
      </c>
      <c r="AZ70" s="21">
        <v>0.25</v>
      </c>
      <c r="BA70" s="18" t="s">
        <v>20</v>
      </c>
      <c r="BB70" s="21">
        <v>151400</v>
      </c>
      <c r="BC70" s="19">
        <v>37850</v>
      </c>
    </row>
    <row r="71" spans="1:55" x14ac:dyDescent="0.35">
      <c r="A71" s="38" t="str">
        <v>CECM00013</v>
      </c>
      <c r="B71" s="31" t="str">
        <f t="shared" si="4"/>
        <v>DAIA 800 GR</v>
      </c>
      <c r="C71" s="31" t="str">
        <f t="shared" si="5"/>
        <v>CLEANING CHEMICAL</v>
      </c>
      <c r="D71" s="39" t="str">
        <f t="shared" si="6"/>
        <v>pack</v>
      </c>
      <c r="E71" s="40">
        <f t="shared" si="7"/>
        <v>21000</v>
      </c>
      <c r="F71" s="41">
        <f t="shared" si="8"/>
        <v>8</v>
      </c>
      <c r="G71" s="41">
        <f t="shared" si="9"/>
        <v>6</v>
      </c>
      <c r="H71" s="41">
        <f t="shared" si="10"/>
        <v>-2</v>
      </c>
      <c r="I71" s="40">
        <f t="shared" si="11"/>
        <v>-42000</v>
      </c>
      <c r="J71" s="31" t="str">
        <f t="shared" si="12"/>
        <v>Penurunan IU</v>
      </c>
      <c r="K71" s="42"/>
      <c r="O71" s="3">
        <v>13</v>
      </c>
      <c r="P71" t="s">
        <v>306</v>
      </c>
      <c r="Q71" t="s">
        <v>307</v>
      </c>
      <c r="R71" t="s">
        <v>41</v>
      </c>
      <c r="S71" s="10">
        <v>8</v>
      </c>
      <c r="T71" t="s">
        <v>20</v>
      </c>
      <c r="U71" s="10">
        <v>7216.670000000001</v>
      </c>
      <c r="V71" s="4">
        <v>57733.36</v>
      </c>
      <c r="X71" s="3" t="s">
        <v>418</v>
      </c>
      <c r="Y71" t="s">
        <v>419</v>
      </c>
      <c r="Z71" t="s">
        <v>151</v>
      </c>
      <c r="AA71" s="10">
        <v>3</v>
      </c>
      <c r="AB71" t="s">
        <v>420</v>
      </c>
      <c r="AC71" s="10">
        <v>5207.9854999999998</v>
      </c>
      <c r="AD71" s="4">
        <v>15623.9565</v>
      </c>
      <c r="AF71" s="20">
        <v>23</v>
      </c>
      <c r="AG71" s="18" t="s">
        <v>468</v>
      </c>
      <c r="AH71" s="18" t="s">
        <v>469</v>
      </c>
      <c r="AI71" s="18" t="s">
        <v>151</v>
      </c>
      <c r="AJ71" s="21">
        <v>3</v>
      </c>
      <c r="AK71" s="18" t="s">
        <v>20</v>
      </c>
      <c r="AL71" s="21">
        <v>793.9</v>
      </c>
      <c r="AM71" s="19">
        <v>2381.6999999999998</v>
      </c>
      <c r="AO71" s="20" t="s">
        <v>219</v>
      </c>
      <c r="AP71" s="18" t="s">
        <v>220</v>
      </c>
      <c r="AQ71" s="18" t="s">
        <v>4</v>
      </c>
      <c r="AR71" s="21">
        <v>0.75</v>
      </c>
      <c r="AS71" s="18" t="s">
        <v>25</v>
      </c>
      <c r="AT71" s="21">
        <v>83266.199274999992</v>
      </c>
      <c r="AU71" s="19">
        <v>62449.649455999999</v>
      </c>
      <c r="AW71" s="20" t="s">
        <v>219</v>
      </c>
      <c r="AX71" s="18" t="s">
        <v>220</v>
      </c>
      <c r="AY71" s="18" t="s">
        <v>4</v>
      </c>
      <c r="AZ71" s="21">
        <v>0.75</v>
      </c>
      <c r="BA71" s="18" t="s">
        <v>25</v>
      </c>
      <c r="BB71" s="21">
        <v>83266.199274999992</v>
      </c>
      <c r="BC71" s="19">
        <v>62449.649455999999</v>
      </c>
    </row>
    <row r="72" spans="1:55" x14ac:dyDescent="0.35">
      <c r="A72" s="38" t="str">
        <v>CECM0006</v>
      </c>
      <c r="B72" s="31" t="str">
        <f t="shared" si="4"/>
        <v>XYZ GREASE CLEANER 5 LTR</v>
      </c>
      <c r="C72" s="31" t="str">
        <f t="shared" si="5"/>
        <v>CLEANING CHEMICAL</v>
      </c>
      <c r="D72" s="39" t="str">
        <f t="shared" si="6"/>
        <v>gln</v>
      </c>
      <c r="E72" s="40">
        <f t="shared" si="7"/>
        <v>133200</v>
      </c>
      <c r="F72" s="41" t="str">
        <f t="shared" si="8"/>
        <v>0</v>
      </c>
      <c r="G72" s="41">
        <f t="shared" si="9"/>
        <v>0.2</v>
      </c>
      <c r="H72" s="41">
        <f t="shared" si="10"/>
        <v>0.2</v>
      </c>
      <c r="I72" s="40">
        <f t="shared" si="11"/>
        <v>26640</v>
      </c>
      <c r="J72" s="31" t="str">
        <f t="shared" si="12"/>
        <v>Kenaikan IU</v>
      </c>
      <c r="K72" s="42"/>
      <c r="O72" s="3">
        <v>14</v>
      </c>
      <c r="P72" t="s">
        <v>53</v>
      </c>
      <c r="Q72" t="s">
        <v>54</v>
      </c>
      <c r="R72" t="s">
        <v>41</v>
      </c>
      <c r="S72" s="10">
        <v>16</v>
      </c>
      <c r="T72" t="s">
        <v>20</v>
      </c>
      <c r="U72" s="10">
        <v>2989.4576000000002</v>
      </c>
      <c r="V72" s="4">
        <v>47831.321600000003</v>
      </c>
      <c r="X72" s="3" t="s">
        <v>265</v>
      </c>
      <c r="Y72" t="s">
        <v>266</v>
      </c>
      <c r="Z72" t="s">
        <v>151</v>
      </c>
      <c r="AA72" s="10">
        <v>1</v>
      </c>
      <c r="AB72" t="s">
        <v>267</v>
      </c>
      <c r="AC72" s="10">
        <v>30738.475428571437</v>
      </c>
      <c r="AD72" s="4">
        <v>30738.475428999998</v>
      </c>
      <c r="AF72" s="20">
        <v>24</v>
      </c>
      <c r="AG72" s="18" t="s">
        <v>276</v>
      </c>
      <c r="AH72" s="18" t="s">
        <v>277</v>
      </c>
      <c r="AI72" s="18" t="s">
        <v>151</v>
      </c>
      <c r="AJ72" s="18">
        <v>12</v>
      </c>
      <c r="AK72" s="18" t="s">
        <v>52</v>
      </c>
      <c r="AL72" s="18">
        <v>1807.7</v>
      </c>
      <c r="AM72" s="19">
        <v>21692.400000000001</v>
      </c>
      <c r="AO72" s="20" t="s">
        <v>221</v>
      </c>
      <c r="AP72" s="18" t="s">
        <v>222</v>
      </c>
      <c r="AQ72" s="18" t="s">
        <v>4</v>
      </c>
      <c r="AR72" s="21">
        <v>0.75</v>
      </c>
      <c r="AS72" s="18" t="s">
        <v>25</v>
      </c>
      <c r="AT72" s="21">
        <v>101709.99100000002</v>
      </c>
      <c r="AU72" s="19">
        <v>76282.49325</v>
      </c>
      <c r="AW72" s="20" t="s">
        <v>221</v>
      </c>
      <c r="AX72" s="18" t="s">
        <v>222</v>
      </c>
      <c r="AY72" s="18" t="s">
        <v>4</v>
      </c>
      <c r="AZ72" s="21">
        <v>0.75</v>
      </c>
      <c r="BA72" s="18" t="s">
        <v>25</v>
      </c>
      <c r="BB72" s="21">
        <v>101709.99100000002</v>
      </c>
      <c r="BC72" s="19">
        <v>76282.49325</v>
      </c>
    </row>
    <row r="73" spans="1:55" ht="15" thickBot="1" x14ac:dyDescent="0.4">
      <c r="A73" s="38" t="str">
        <v>CECM0008</v>
      </c>
      <c r="B73" s="31" t="str">
        <f t="shared" si="4"/>
        <v>XYZ ANTI BACTERIAL HANDSOAP 5 L</v>
      </c>
      <c r="C73" s="31" t="str">
        <f t="shared" si="5"/>
        <v>CLEANING CHEMICAL</v>
      </c>
      <c r="D73" s="39" t="str">
        <f t="shared" si="6"/>
        <v>jerrycan</v>
      </c>
      <c r="E73" s="40">
        <f t="shared" si="7"/>
        <v>77700</v>
      </c>
      <c r="F73" s="41" t="str">
        <f t="shared" si="8"/>
        <v>0</v>
      </c>
      <c r="G73" s="41">
        <f t="shared" si="9"/>
        <v>1</v>
      </c>
      <c r="H73" s="41">
        <f t="shared" si="10"/>
        <v>1</v>
      </c>
      <c r="I73" s="40">
        <f t="shared" si="11"/>
        <v>77700</v>
      </c>
      <c r="J73" s="31" t="str">
        <f t="shared" si="12"/>
        <v>Kenaikan IU</v>
      </c>
      <c r="K73" s="42"/>
      <c r="O73" s="3">
        <v>15</v>
      </c>
      <c r="P73" t="s">
        <v>407</v>
      </c>
      <c r="Q73" t="s">
        <v>408</v>
      </c>
      <c r="R73" t="s">
        <v>41</v>
      </c>
      <c r="S73" s="10">
        <v>2</v>
      </c>
      <c r="T73" t="s">
        <v>267</v>
      </c>
      <c r="U73" s="10">
        <v>39519.871599999999</v>
      </c>
      <c r="V73" s="4">
        <v>79039.743199999997</v>
      </c>
      <c r="X73" s="3" t="s">
        <v>421</v>
      </c>
      <c r="Y73" t="s">
        <v>422</v>
      </c>
      <c r="Z73" t="s">
        <v>151</v>
      </c>
      <c r="AA73" s="10">
        <v>1</v>
      </c>
      <c r="AB73" t="s">
        <v>20</v>
      </c>
      <c r="AC73" s="10">
        <v>24500</v>
      </c>
      <c r="AD73" s="4">
        <v>24500</v>
      </c>
      <c r="AF73" s="22" t="s">
        <v>223</v>
      </c>
      <c r="AG73" s="23" t="s">
        <v>223</v>
      </c>
      <c r="AH73" s="23" t="s">
        <v>223</v>
      </c>
      <c r="AI73" s="23" t="s">
        <v>223</v>
      </c>
      <c r="AJ73" s="23" t="s">
        <v>223</v>
      </c>
      <c r="AK73" s="23" t="s">
        <v>223</v>
      </c>
      <c r="AL73" s="23" t="s">
        <v>224</v>
      </c>
      <c r="AM73" s="24">
        <v>5825724.7062800005</v>
      </c>
      <c r="AO73" s="20" t="s">
        <v>23</v>
      </c>
      <c r="AP73" s="18" t="s">
        <v>24</v>
      </c>
      <c r="AQ73" s="18" t="s">
        <v>4</v>
      </c>
      <c r="AR73" s="21">
        <v>23.8</v>
      </c>
      <c r="AS73" s="18" t="s">
        <v>25</v>
      </c>
      <c r="AT73" s="21">
        <v>17719.5877</v>
      </c>
      <c r="AU73" s="19">
        <v>421726.18725999998</v>
      </c>
      <c r="AW73" s="20" t="s">
        <v>23</v>
      </c>
      <c r="AX73" s="18" t="s">
        <v>24</v>
      </c>
      <c r="AY73" s="18" t="s">
        <v>4</v>
      </c>
      <c r="AZ73" s="21">
        <v>23.8</v>
      </c>
      <c r="BA73" s="18" t="s">
        <v>25</v>
      </c>
      <c r="BB73" s="21">
        <v>17719.5877</v>
      </c>
      <c r="BC73" s="19">
        <v>421726.18725999998</v>
      </c>
    </row>
    <row r="74" spans="1:55" x14ac:dyDescent="0.35">
      <c r="A74" s="38" t="str">
        <v>CECM0009</v>
      </c>
      <c r="B74" s="31" t="str">
        <f t="shared" si="4"/>
        <v>HAND SANITIZER 5 L</v>
      </c>
      <c r="C74" s="31" t="str">
        <f t="shared" si="5"/>
        <v>CLEANING CHEMICAL</v>
      </c>
      <c r="D74" s="39" t="str">
        <f t="shared" si="6"/>
        <v>pcs</v>
      </c>
      <c r="E74" s="40">
        <f t="shared" si="7"/>
        <v>151400</v>
      </c>
      <c r="F74" s="41">
        <f t="shared" si="8"/>
        <v>0.75</v>
      </c>
      <c r="G74" s="41">
        <f t="shared" si="9"/>
        <v>0.25</v>
      </c>
      <c r="H74" s="41">
        <f t="shared" si="10"/>
        <v>-0.5</v>
      </c>
      <c r="I74" s="40">
        <f t="shared" si="11"/>
        <v>-75700</v>
      </c>
      <c r="J74" s="31" t="str">
        <f t="shared" si="12"/>
        <v>Penurunan IU</v>
      </c>
      <c r="K74" s="42"/>
      <c r="O74" s="3">
        <v>16</v>
      </c>
      <c r="P74" t="s">
        <v>410</v>
      </c>
      <c r="Q74" t="s">
        <v>411</v>
      </c>
      <c r="R74" t="s">
        <v>41</v>
      </c>
      <c r="S74" s="10">
        <v>1</v>
      </c>
      <c r="T74" t="s">
        <v>20</v>
      </c>
      <c r="U74" s="10">
        <v>9832.4984999999997</v>
      </c>
      <c r="V74" s="4">
        <v>9832.4984999999997</v>
      </c>
      <c r="X74" s="3" t="s">
        <v>154</v>
      </c>
      <c r="Y74" t="s">
        <v>155</v>
      </c>
      <c r="Z74" t="s">
        <v>151</v>
      </c>
      <c r="AA74" s="10">
        <v>35</v>
      </c>
      <c r="AB74" t="s">
        <v>20</v>
      </c>
      <c r="AC74" s="10">
        <v>973.31829047619101</v>
      </c>
      <c r="AD74" s="4">
        <v>34066.140166999998</v>
      </c>
      <c r="AO74" s="20" t="s">
        <v>28</v>
      </c>
      <c r="AP74" s="18" t="s">
        <v>29</v>
      </c>
      <c r="AQ74" s="18" t="s">
        <v>4</v>
      </c>
      <c r="AR74" s="21">
        <v>23.05</v>
      </c>
      <c r="AS74" s="18" t="s">
        <v>30</v>
      </c>
      <c r="AT74" s="21">
        <v>19759.784800000001</v>
      </c>
      <c r="AU74" s="19">
        <v>455463.03963999997</v>
      </c>
      <c r="AW74" s="20" t="s">
        <v>28</v>
      </c>
      <c r="AX74" s="18" t="s">
        <v>29</v>
      </c>
      <c r="AY74" s="18" t="s">
        <v>4</v>
      </c>
      <c r="AZ74" s="21">
        <v>23.05</v>
      </c>
      <c r="BA74" s="18" t="s">
        <v>30</v>
      </c>
      <c r="BB74" s="21">
        <v>19759.784800000001</v>
      </c>
      <c r="BC74" s="19">
        <v>455463.03963999997</v>
      </c>
    </row>
    <row r="75" spans="1:55" ht="15" thickBot="1" x14ac:dyDescent="0.4">
      <c r="A75" s="38" t="str">
        <v>CECM0010</v>
      </c>
      <c r="B75" s="31" t="str">
        <f t="shared" si="4"/>
        <v>SUMA CRYSTAL 5 L</v>
      </c>
      <c r="C75" s="31" t="str">
        <f t="shared" si="5"/>
        <v>CLEANING CHEMICAL</v>
      </c>
      <c r="D75" s="39" t="str">
        <f t="shared" si="6"/>
        <v>ltr</v>
      </c>
      <c r="E75" s="40">
        <f t="shared" si="7"/>
        <v>83266.2</v>
      </c>
      <c r="F75" s="41">
        <f t="shared" si="8"/>
        <v>4.25</v>
      </c>
      <c r="G75" s="41">
        <f t="shared" si="9"/>
        <v>0.75</v>
      </c>
      <c r="H75" s="41">
        <f t="shared" si="10"/>
        <v>-3.5</v>
      </c>
      <c r="I75" s="40">
        <f t="shared" si="11"/>
        <v>-291431.7</v>
      </c>
      <c r="J75" s="31" t="str">
        <f t="shared" si="12"/>
        <v>Penurunan IU</v>
      </c>
      <c r="K75" s="42"/>
      <c r="O75" s="3">
        <v>17</v>
      </c>
      <c r="P75" t="s">
        <v>310</v>
      </c>
      <c r="Q75" t="s">
        <v>311</v>
      </c>
      <c r="R75" t="s">
        <v>41</v>
      </c>
      <c r="S75" s="10">
        <v>1</v>
      </c>
      <c r="T75" t="s">
        <v>20</v>
      </c>
      <c r="U75" s="10">
        <v>8959.6154000000006</v>
      </c>
      <c r="V75" s="4">
        <v>8959.6154000000006</v>
      </c>
      <c r="X75" s="3" t="s">
        <v>156</v>
      </c>
      <c r="Y75" t="s">
        <v>157</v>
      </c>
      <c r="Z75" t="s">
        <v>151</v>
      </c>
      <c r="AA75" s="10">
        <v>45</v>
      </c>
      <c r="AB75" t="s">
        <v>20</v>
      </c>
      <c r="AC75" s="10">
        <v>2199.8654999999999</v>
      </c>
      <c r="AD75" s="4">
        <v>98993.947499999995</v>
      </c>
      <c r="AO75" s="20" t="s">
        <v>33</v>
      </c>
      <c r="AP75" s="18" t="s">
        <v>34</v>
      </c>
      <c r="AQ75" s="18" t="s">
        <v>4</v>
      </c>
      <c r="AR75" s="21">
        <v>15.2</v>
      </c>
      <c r="AS75" s="18" t="s">
        <v>30</v>
      </c>
      <c r="AT75" s="21">
        <v>13000</v>
      </c>
      <c r="AU75" s="19">
        <v>197600</v>
      </c>
      <c r="AW75" s="20" t="s">
        <v>33</v>
      </c>
      <c r="AX75" s="18" t="s">
        <v>34</v>
      </c>
      <c r="AY75" s="18" t="s">
        <v>4</v>
      </c>
      <c r="AZ75" s="21">
        <v>15.2</v>
      </c>
      <c r="BA75" s="18" t="s">
        <v>30</v>
      </c>
      <c r="BB75" s="21">
        <v>13000</v>
      </c>
      <c r="BC75" s="19">
        <v>197600</v>
      </c>
    </row>
    <row r="76" spans="1:55" x14ac:dyDescent="0.35">
      <c r="A76" s="38" t="str">
        <v>CECM0011</v>
      </c>
      <c r="B76" s="31" t="str">
        <f t="shared" si="4"/>
        <v>SUMA NOVA 5 L</v>
      </c>
      <c r="C76" s="31" t="str">
        <f t="shared" si="5"/>
        <v>CLEANING CHEMICAL</v>
      </c>
      <c r="D76" s="39" t="str">
        <f t="shared" si="6"/>
        <v>ltr</v>
      </c>
      <c r="E76" s="40">
        <f t="shared" si="7"/>
        <v>101709.99</v>
      </c>
      <c r="F76" s="41">
        <f t="shared" si="8"/>
        <v>3.25</v>
      </c>
      <c r="G76" s="41">
        <f t="shared" si="9"/>
        <v>0.75</v>
      </c>
      <c r="H76" s="41">
        <f t="shared" si="10"/>
        <v>-2.5</v>
      </c>
      <c r="I76" s="40">
        <f t="shared" si="11"/>
        <v>-254274.97500000001</v>
      </c>
      <c r="J76" s="31" t="str">
        <f t="shared" si="12"/>
        <v>Penurunan IU</v>
      </c>
      <c r="K76" s="42"/>
      <c r="O76" s="3">
        <v>18</v>
      </c>
      <c r="P76" t="s">
        <v>57</v>
      </c>
      <c r="Q76" t="s">
        <v>58</v>
      </c>
      <c r="R76" t="s">
        <v>41</v>
      </c>
      <c r="S76" s="10">
        <v>2</v>
      </c>
      <c r="T76" t="s">
        <v>5</v>
      </c>
      <c r="U76" s="10">
        <v>7697.2136</v>
      </c>
      <c r="V76" s="4">
        <v>15394.4272</v>
      </c>
      <c r="X76" s="3" t="s">
        <v>272</v>
      </c>
      <c r="Y76" t="s">
        <v>273</v>
      </c>
      <c r="Z76" t="s">
        <v>151</v>
      </c>
      <c r="AA76" s="10">
        <v>1</v>
      </c>
      <c r="AB76" t="s">
        <v>5</v>
      </c>
      <c r="AC76" s="10">
        <v>2767</v>
      </c>
      <c r="AD76" s="4">
        <v>2767</v>
      </c>
      <c r="AF76" s="84" t="s">
        <v>0</v>
      </c>
      <c r="AG76" s="85"/>
      <c r="AH76" s="85"/>
      <c r="AI76" s="85"/>
      <c r="AJ76" s="85"/>
      <c r="AK76" s="16"/>
      <c r="AL76" s="16"/>
      <c r="AM76" s="17"/>
      <c r="AO76" s="20" t="s">
        <v>50</v>
      </c>
      <c r="AP76" s="18" t="s">
        <v>51</v>
      </c>
      <c r="AQ76" s="18" t="s">
        <v>41</v>
      </c>
      <c r="AR76" s="21">
        <v>14</v>
      </c>
      <c r="AS76" s="18" t="s">
        <v>52</v>
      </c>
      <c r="AT76" s="21">
        <v>20499.989799999999</v>
      </c>
      <c r="AU76" s="19">
        <v>286999.85720000003</v>
      </c>
      <c r="AW76" s="20" t="s">
        <v>50</v>
      </c>
      <c r="AX76" s="18" t="s">
        <v>51</v>
      </c>
      <c r="AY76" s="18" t="s">
        <v>41</v>
      </c>
      <c r="AZ76" s="21">
        <v>14</v>
      </c>
      <c r="BA76" s="18" t="s">
        <v>52</v>
      </c>
      <c r="BB76" s="21">
        <v>20499.989799999999</v>
      </c>
      <c r="BC76" s="19">
        <v>286999.85720000003</v>
      </c>
    </row>
    <row r="77" spans="1:55" x14ac:dyDescent="0.35">
      <c r="A77" s="38" t="str">
        <v>CECM0012</v>
      </c>
      <c r="B77" s="31" t="str">
        <f t="shared" si="4"/>
        <v>NOBLA LIQUID 20 L</v>
      </c>
      <c r="C77" s="31" t="str">
        <f t="shared" si="5"/>
        <v>CLEANING CHEMICAL</v>
      </c>
      <c r="D77" s="39" t="str">
        <f t="shared" si="6"/>
        <v>ltr</v>
      </c>
      <c r="E77" s="40">
        <f t="shared" si="7"/>
        <v>17719.59</v>
      </c>
      <c r="F77" s="41">
        <f t="shared" si="8"/>
        <v>9.06</v>
      </c>
      <c r="G77" s="41">
        <f t="shared" si="9"/>
        <v>23.8</v>
      </c>
      <c r="H77" s="41">
        <f t="shared" si="10"/>
        <v>14.74</v>
      </c>
      <c r="I77" s="40">
        <f t="shared" si="11"/>
        <v>261186.75659999999</v>
      </c>
      <c r="J77" s="31" t="str">
        <f t="shared" si="12"/>
        <v>Kenaikan IU</v>
      </c>
      <c r="K77" s="42"/>
      <c r="O77" s="3">
        <v>19</v>
      </c>
      <c r="P77" t="s">
        <v>59</v>
      </c>
      <c r="Q77" t="s">
        <v>60</v>
      </c>
      <c r="R77" t="s">
        <v>41</v>
      </c>
      <c r="S77" s="10">
        <v>22</v>
      </c>
      <c r="T77" t="s">
        <v>5</v>
      </c>
      <c r="U77" s="10">
        <v>7699.6311999999998</v>
      </c>
      <c r="V77" s="4">
        <v>169391.88639999999</v>
      </c>
      <c r="X77" s="3" t="s">
        <v>423</v>
      </c>
      <c r="Y77" t="s">
        <v>424</v>
      </c>
      <c r="Z77" t="s">
        <v>151</v>
      </c>
      <c r="AA77" s="10">
        <v>3</v>
      </c>
      <c r="AB77" t="s">
        <v>20</v>
      </c>
      <c r="AC77" s="10">
        <v>5902.8725999999997</v>
      </c>
      <c r="AD77" s="4">
        <v>17708.6178</v>
      </c>
      <c r="AF77" s="82" t="s">
        <v>1</v>
      </c>
      <c r="AG77" s="83"/>
      <c r="AH77" s="83"/>
      <c r="AI77" s="83"/>
      <c r="AJ77" s="83"/>
      <c r="AK77" s="18"/>
      <c r="AL77" s="18"/>
      <c r="AM77" s="19"/>
      <c r="AO77" s="20" t="s">
        <v>453</v>
      </c>
      <c r="AP77" s="18" t="s">
        <v>454</v>
      </c>
      <c r="AQ77" s="18" t="s">
        <v>41</v>
      </c>
      <c r="AR77" s="21">
        <v>3</v>
      </c>
      <c r="AS77" s="18" t="s">
        <v>267</v>
      </c>
      <c r="AT77" s="21">
        <v>17628.0769</v>
      </c>
      <c r="AU77" s="19">
        <v>52884.2307</v>
      </c>
      <c r="AW77" s="20" t="s">
        <v>453</v>
      </c>
      <c r="AX77" s="18" t="s">
        <v>454</v>
      </c>
      <c r="AY77" s="18" t="s">
        <v>41</v>
      </c>
      <c r="AZ77" s="21">
        <v>3</v>
      </c>
      <c r="BA77" s="18" t="s">
        <v>267</v>
      </c>
      <c r="BB77" s="21">
        <v>17628.0769</v>
      </c>
      <c r="BC77" s="19">
        <v>52884.2307</v>
      </c>
    </row>
    <row r="78" spans="1:55" x14ac:dyDescent="0.35">
      <c r="A78" s="38" t="str">
        <v>CECM0014</v>
      </c>
      <c r="B78" s="31" t="str">
        <f t="shared" ref="B78:B123" si="13">_xlfn.XLOOKUP(A78, AW$9:AW$307, AX$9:AX$307, "", 0)</f>
        <v>XYZ KARBOL LEMONGRASS 5 L</v>
      </c>
      <c r="C78" s="31" t="str">
        <f t="shared" ref="C78:C123" si="14">_xlfn.XLOOKUP(A78, AW$9:AW$307, AY$9:AY$307, "", 0)</f>
        <v>CLEANING CHEMICAL</v>
      </c>
      <c r="D78" s="39" t="str">
        <f t="shared" ref="D78:D123" si="15">_xlfn.XLOOKUP(A78, AW$9:AW$307, BA$9:BA$307, "", 0)</f>
        <v>liter</v>
      </c>
      <c r="E78" s="40">
        <f t="shared" ref="E78:E123" si="16">ROUND(_xlfn.XLOOKUP(A78, AW$9:AW$307, BB$9:BB$307, "", 0),2)</f>
        <v>19759.78</v>
      </c>
      <c r="F78" s="41">
        <f t="shared" ref="F78:F123" si="17">_xlfn.XLOOKUP(A78, X$10:X$307, AA$10:AA$307, "0", 0)</f>
        <v>18.75</v>
      </c>
      <c r="G78" s="41">
        <f t="shared" ref="G78:G123" si="18">_xlfn.XLOOKUP(A78, AO$9:AO$307, AR$9:AR$307, "0", 0)</f>
        <v>23.05</v>
      </c>
      <c r="H78" s="41">
        <f t="shared" ref="H78:H123" si="19">G78-F78</f>
        <v>4.3000000000000007</v>
      </c>
      <c r="I78" s="40">
        <f t="shared" ref="I78:I123" si="20">H78*E78</f>
        <v>84967.054000000004</v>
      </c>
      <c r="J78" s="31" t="str">
        <f t="shared" ref="J78:J123" si="21">CHOOSE(SIGN(G78 - F78) + 2, "Penurunan IU", "Tidak Ada Perubahan", "Kenaikan IU")</f>
        <v>Kenaikan IU</v>
      </c>
      <c r="K78" s="42"/>
      <c r="O78" s="3">
        <v>20</v>
      </c>
      <c r="P78" t="s">
        <v>61</v>
      </c>
      <c r="Q78" t="s">
        <v>62</v>
      </c>
      <c r="R78" t="s">
        <v>41</v>
      </c>
      <c r="S78">
        <v>7</v>
      </c>
      <c r="T78" t="s">
        <v>5</v>
      </c>
      <c r="U78">
        <v>16255.525799999998</v>
      </c>
      <c r="V78" s="4">
        <v>113788.68060000001</v>
      </c>
      <c r="X78" s="3" t="s">
        <v>161</v>
      </c>
      <c r="Y78" t="s">
        <v>162</v>
      </c>
      <c r="Z78" t="s">
        <v>151</v>
      </c>
      <c r="AA78">
        <v>2</v>
      </c>
      <c r="AB78" t="s">
        <v>5</v>
      </c>
      <c r="AC78">
        <v>3733.34</v>
      </c>
      <c r="AD78" s="4">
        <v>7466.68</v>
      </c>
      <c r="AF78" s="20"/>
      <c r="AG78" s="18"/>
      <c r="AH78" s="18"/>
      <c r="AI78" s="18"/>
      <c r="AJ78" s="18"/>
      <c r="AK78" s="18"/>
      <c r="AL78" s="18"/>
      <c r="AM78" s="19"/>
      <c r="AO78" s="20" t="s">
        <v>455</v>
      </c>
      <c r="AP78" s="18" t="s">
        <v>456</v>
      </c>
      <c r="AQ78" s="18" t="s">
        <v>41</v>
      </c>
      <c r="AR78" s="21">
        <v>1</v>
      </c>
      <c r="AS78" s="18" t="s">
        <v>20</v>
      </c>
      <c r="AT78" s="21">
        <v>38050.583400000003</v>
      </c>
      <c r="AU78" s="19">
        <v>38050.583400000003</v>
      </c>
      <c r="AW78" s="20" t="s">
        <v>455</v>
      </c>
      <c r="AX78" s="18" t="s">
        <v>456</v>
      </c>
      <c r="AY78" s="18" t="s">
        <v>41</v>
      </c>
      <c r="AZ78" s="21">
        <v>1</v>
      </c>
      <c r="BA78" s="18" t="s">
        <v>20</v>
      </c>
      <c r="BB78" s="21">
        <v>38050.583400000003</v>
      </c>
      <c r="BC78" s="19">
        <v>38050.583400000003</v>
      </c>
    </row>
    <row r="79" spans="1:55" ht="15" thickBot="1" x14ac:dyDescent="0.4">
      <c r="A79" s="38" t="str">
        <v>CECM0018</v>
      </c>
      <c r="B79" s="31" t="str">
        <f t="shared" si="13"/>
        <v>XYZ GENERAL CLEANER  (CUCI PIRING LIME)</v>
      </c>
      <c r="C79" s="31" t="str">
        <f t="shared" si="14"/>
        <v>CLEANING CHEMICAL</v>
      </c>
      <c r="D79" s="39" t="str">
        <f t="shared" si="15"/>
        <v>liter</v>
      </c>
      <c r="E79" s="40">
        <f t="shared" si="16"/>
        <v>13000</v>
      </c>
      <c r="F79" s="41">
        <f t="shared" si="17"/>
        <v>16.100000000000001</v>
      </c>
      <c r="G79" s="41">
        <f t="shared" si="18"/>
        <v>15.2</v>
      </c>
      <c r="H79" s="41">
        <f t="shared" si="19"/>
        <v>-0.90000000000000213</v>
      </c>
      <c r="I79" s="40">
        <f t="shared" si="20"/>
        <v>-11700.000000000027</v>
      </c>
      <c r="J79" s="31" t="str">
        <f t="shared" si="21"/>
        <v>Penurunan IU</v>
      </c>
      <c r="K79" s="42"/>
      <c r="O79" s="11" t="s">
        <v>223</v>
      </c>
      <c r="P79" s="12" t="s">
        <v>223</v>
      </c>
      <c r="Q79" s="12" t="s">
        <v>223</v>
      </c>
      <c r="R79" s="12" t="s">
        <v>223</v>
      </c>
      <c r="S79" s="12" t="s">
        <v>223</v>
      </c>
      <c r="T79" s="12" t="s">
        <v>223</v>
      </c>
      <c r="U79" s="12" t="s">
        <v>224</v>
      </c>
      <c r="V79" s="13">
        <v>2489197.3065500008</v>
      </c>
      <c r="X79" s="3" t="s">
        <v>284</v>
      </c>
      <c r="Y79" t="s">
        <v>285</v>
      </c>
      <c r="Z79" t="s">
        <v>165</v>
      </c>
      <c r="AA79" s="10">
        <v>10</v>
      </c>
      <c r="AB79" t="s">
        <v>20</v>
      </c>
      <c r="AC79" s="10">
        <v>6905.6575182481756</v>
      </c>
      <c r="AD79" s="4">
        <v>69056.575182</v>
      </c>
      <c r="AF79" s="82" t="s">
        <v>10</v>
      </c>
      <c r="AG79" s="83" t="s">
        <v>11</v>
      </c>
      <c r="AH79" s="18" t="s">
        <v>471</v>
      </c>
      <c r="AI79" s="18"/>
      <c r="AJ79" s="18"/>
      <c r="AK79" s="18"/>
      <c r="AL79" s="18"/>
      <c r="AM79" s="19"/>
      <c r="AO79" s="20" t="s">
        <v>57</v>
      </c>
      <c r="AP79" s="18" t="s">
        <v>58</v>
      </c>
      <c r="AQ79" s="18" t="s">
        <v>41</v>
      </c>
      <c r="AR79" s="21">
        <v>11</v>
      </c>
      <c r="AS79" s="18" t="s">
        <v>5</v>
      </c>
      <c r="AT79" s="21">
        <v>7697.2136</v>
      </c>
      <c r="AU79" s="19">
        <v>84669.349600000001</v>
      </c>
      <c r="AW79" s="20" t="s">
        <v>57</v>
      </c>
      <c r="AX79" s="18" t="s">
        <v>58</v>
      </c>
      <c r="AY79" s="18" t="s">
        <v>41</v>
      </c>
      <c r="AZ79" s="21">
        <v>11</v>
      </c>
      <c r="BA79" s="18" t="s">
        <v>5</v>
      </c>
      <c r="BB79" s="21">
        <v>7697.2136</v>
      </c>
      <c r="BC79" s="19">
        <v>84669.349600000001</v>
      </c>
    </row>
    <row r="80" spans="1:55" ht="15.5" thickTop="1" thickBot="1" x14ac:dyDescent="0.4">
      <c r="A80" s="38" t="str">
        <v>CETS00028</v>
      </c>
      <c r="B80" s="31" t="str">
        <f t="shared" si="13"/>
        <v>GLUE PAD</v>
      </c>
      <c r="C80" s="31" t="str">
        <f t="shared" si="14"/>
        <v>CLEANING TOOLS AND SUPPLIES</v>
      </c>
      <c r="D80" s="39" t="str">
        <f t="shared" si="15"/>
        <v>lembar</v>
      </c>
      <c r="E80" s="40">
        <f t="shared" si="16"/>
        <v>20499.990000000002</v>
      </c>
      <c r="F80" s="41">
        <f t="shared" si="17"/>
        <v>10</v>
      </c>
      <c r="G80" s="41">
        <f t="shared" si="18"/>
        <v>14</v>
      </c>
      <c r="H80" s="41">
        <f t="shared" si="19"/>
        <v>4</v>
      </c>
      <c r="I80" s="40">
        <f t="shared" si="20"/>
        <v>81999.960000000006</v>
      </c>
      <c r="J80" s="31" t="str">
        <f t="shared" si="21"/>
        <v>Kenaikan IU</v>
      </c>
      <c r="K80" s="42"/>
      <c r="X80" s="3" t="s">
        <v>329</v>
      </c>
      <c r="Y80" t="s">
        <v>330</v>
      </c>
      <c r="Z80" t="s">
        <v>165</v>
      </c>
      <c r="AA80" s="10">
        <v>14</v>
      </c>
      <c r="AB80" t="s">
        <v>20</v>
      </c>
      <c r="AC80" s="10">
        <v>14740.575999999999</v>
      </c>
      <c r="AD80" s="4">
        <v>206368.06400000001</v>
      </c>
      <c r="AF80" s="82" t="s">
        <v>16</v>
      </c>
      <c r="AG80" s="83" t="s">
        <v>11</v>
      </c>
      <c r="AH80" s="18" t="s">
        <v>211</v>
      </c>
      <c r="AI80" s="18"/>
      <c r="AJ80" s="18"/>
      <c r="AK80" s="18"/>
      <c r="AL80" s="18"/>
      <c r="AM80" s="19"/>
      <c r="AO80" s="20" t="s">
        <v>59</v>
      </c>
      <c r="AP80" s="18" t="s">
        <v>60</v>
      </c>
      <c r="AQ80" s="18" t="s">
        <v>41</v>
      </c>
      <c r="AR80" s="21">
        <v>19</v>
      </c>
      <c r="AS80" s="18" t="s">
        <v>5</v>
      </c>
      <c r="AT80" s="21">
        <v>7699.8361000000004</v>
      </c>
      <c r="AU80" s="19">
        <v>146296.88589999999</v>
      </c>
      <c r="AW80" s="20" t="s">
        <v>59</v>
      </c>
      <c r="AX80" s="18" t="s">
        <v>60</v>
      </c>
      <c r="AY80" s="18" t="s">
        <v>41</v>
      </c>
      <c r="AZ80" s="21">
        <v>19</v>
      </c>
      <c r="BA80" s="18" t="s">
        <v>5</v>
      </c>
      <c r="BB80" s="21">
        <v>7699.8361000000004</v>
      </c>
      <c r="BC80" s="19">
        <v>146296.88589999999</v>
      </c>
    </row>
    <row r="81" spans="1:55" ht="15.5" thickTop="1" thickBot="1" x14ac:dyDescent="0.4">
      <c r="A81" s="38" t="str">
        <v>CETS0009</v>
      </c>
      <c r="B81" s="31" t="str">
        <f t="shared" si="13"/>
        <v>REFIL KAIN PEL/REFIL MOP PEL OBOR</v>
      </c>
      <c r="C81" s="31" t="str">
        <f t="shared" si="14"/>
        <v>CLEANING TOOLS AND SUPPLIES</v>
      </c>
      <c r="D81" s="39" t="str">
        <f t="shared" si="15"/>
        <v>unit</v>
      </c>
      <c r="E81" s="40">
        <f t="shared" si="16"/>
        <v>17628.080000000002</v>
      </c>
      <c r="F81" s="41" t="str">
        <f t="shared" si="17"/>
        <v>0</v>
      </c>
      <c r="G81" s="41">
        <f t="shared" si="18"/>
        <v>3</v>
      </c>
      <c r="H81" s="41">
        <f t="shared" si="19"/>
        <v>3</v>
      </c>
      <c r="I81" s="40">
        <f t="shared" si="20"/>
        <v>52884.240000000005</v>
      </c>
      <c r="J81" s="31" t="str">
        <f t="shared" si="21"/>
        <v>Kenaikan IU</v>
      </c>
      <c r="K81" s="42"/>
      <c r="O81" s="88" t="s">
        <v>0</v>
      </c>
      <c r="P81" s="89"/>
      <c r="Q81" s="89"/>
      <c r="R81" s="89"/>
      <c r="S81" s="89"/>
      <c r="T81" s="1"/>
      <c r="U81" s="1"/>
      <c r="V81" s="2"/>
      <c r="X81" s="3" t="s">
        <v>425</v>
      </c>
      <c r="Y81" t="s">
        <v>426</v>
      </c>
      <c r="Z81" t="s">
        <v>165</v>
      </c>
      <c r="AA81" s="10">
        <v>1</v>
      </c>
      <c r="AB81" t="s">
        <v>20</v>
      </c>
      <c r="AC81" s="10">
        <v>15572.883333330001</v>
      </c>
      <c r="AD81" s="4">
        <v>15572.883333</v>
      </c>
      <c r="AF81" s="82" t="s">
        <v>21</v>
      </c>
      <c r="AG81" s="83" t="s">
        <v>11</v>
      </c>
      <c r="AH81" s="18" t="s">
        <v>390</v>
      </c>
      <c r="AI81" s="18"/>
      <c r="AJ81" s="18"/>
      <c r="AK81" s="18"/>
      <c r="AL81" s="18"/>
      <c r="AM81" s="19"/>
      <c r="AO81" s="22" t="s">
        <v>61</v>
      </c>
      <c r="AP81" s="23" t="s">
        <v>62</v>
      </c>
      <c r="AQ81" s="23" t="s">
        <v>41</v>
      </c>
      <c r="AR81" s="23">
        <v>3</v>
      </c>
      <c r="AS81" s="23" t="s">
        <v>5</v>
      </c>
      <c r="AT81" s="23">
        <v>15592.268899999999</v>
      </c>
      <c r="AU81" s="24">
        <v>46776.806700000001</v>
      </c>
      <c r="AW81" s="22" t="s">
        <v>61</v>
      </c>
      <c r="AX81" s="23" t="s">
        <v>62</v>
      </c>
      <c r="AY81" s="23" t="s">
        <v>41</v>
      </c>
      <c r="AZ81" s="23">
        <v>3</v>
      </c>
      <c r="BA81" s="23" t="s">
        <v>5</v>
      </c>
      <c r="BB81" s="23">
        <v>15592.268899999999</v>
      </c>
      <c r="BC81" s="24">
        <v>46776.806700000001</v>
      </c>
    </row>
    <row r="82" spans="1:55" ht="15" thickTop="1" x14ac:dyDescent="0.35">
      <c r="A82" s="38" t="str">
        <v>CETS0011</v>
      </c>
      <c r="B82" s="31" t="str">
        <f t="shared" si="13"/>
        <v>KANEBO</v>
      </c>
      <c r="C82" s="31" t="str">
        <f t="shared" si="14"/>
        <v>CLEANING TOOLS AND SUPPLIES</v>
      </c>
      <c r="D82" s="39" t="str">
        <f t="shared" si="15"/>
        <v>pcs</v>
      </c>
      <c r="E82" s="40">
        <f t="shared" si="16"/>
        <v>38050.58</v>
      </c>
      <c r="F82" s="41" t="str">
        <f t="shared" si="17"/>
        <v>0</v>
      </c>
      <c r="G82" s="41">
        <f t="shared" si="18"/>
        <v>1</v>
      </c>
      <c r="H82" s="41">
        <f t="shared" si="19"/>
        <v>1</v>
      </c>
      <c r="I82" s="40">
        <f t="shared" si="20"/>
        <v>38050.58</v>
      </c>
      <c r="J82" s="31" t="str">
        <f t="shared" si="21"/>
        <v>Kenaikan IU</v>
      </c>
      <c r="K82" s="42"/>
      <c r="O82" s="86" t="s">
        <v>1</v>
      </c>
      <c r="P82" s="87"/>
      <c r="Q82" s="87"/>
      <c r="R82" s="87"/>
      <c r="S82" s="87"/>
      <c r="V82" s="4"/>
      <c r="X82" s="3" t="s">
        <v>427</v>
      </c>
      <c r="Y82" t="s">
        <v>428</v>
      </c>
      <c r="Z82" t="s">
        <v>165</v>
      </c>
      <c r="AA82" s="10">
        <v>2</v>
      </c>
      <c r="AB82" t="s">
        <v>20</v>
      </c>
      <c r="AC82" s="10">
        <v>22602.166700000002</v>
      </c>
      <c r="AD82" s="4">
        <v>45204.333400000003</v>
      </c>
      <c r="AF82" s="82" t="s">
        <v>26</v>
      </c>
      <c r="AG82" s="83" t="s">
        <v>11</v>
      </c>
      <c r="AH82" s="18" t="s">
        <v>472</v>
      </c>
      <c r="AI82" s="18"/>
      <c r="AJ82" s="18"/>
      <c r="AK82" s="18"/>
      <c r="AL82" s="18"/>
      <c r="AM82" s="19"/>
      <c r="AW82" s="7" t="s">
        <v>65</v>
      </c>
      <c r="AX82" s="1" t="s">
        <v>66</v>
      </c>
      <c r="AY82" s="1" t="s">
        <v>67</v>
      </c>
      <c r="AZ82" s="8">
        <v>16</v>
      </c>
      <c r="BA82" s="1" t="s">
        <v>20</v>
      </c>
      <c r="BB82" s="8">
        <v>320</v>
      </c>
      <c r="BC82" s="2">
        <v>5120</v>
      </c>
    </row>
    <row r="83" spans="1:55" x14ac:dyDescent="0.35">
      <c r="A83" s="38" t="str">
        <v>CETS0025</v>
      </c>
      <c r="B83" s="31" t="str">
        <f t="shared" si="13"/>
        <v>PLASTIK SAMPAH 60 x 100 (10 LEMBAR)</v>
      </c>
      <c r="C83" s="31" t="str">
        <f t="shared" si="14"/>
        <v>CLEANING TOOLS AND SUPPLIES</v>
      </c>
      <c r="D83" s="39" t="str">
        <f t="shared" si="15"/>
        <v>pack</v>
      </c>
      <c r="E83" s="40">
        <f t="shared" si="16"/>
        <v>7697.21</v>
      </c>
      <c r="F83" s="41">
        <f t="shared" si="17"/>
        <v>2</v>
      </c>
      <c r="G83" s="41">
        <f t="shared" si="18"/>
        <v>11</v>
      </c>
      <c r="H83" s="41">
        <f t="shared" si="19"/>
        <v>9</v>
      </c>
      <c r="I83" s="40">
        <f t="shared" si="20"/>
        <v>69274.89</v>
      </c>
      <c r="J83" s="31" t="str">
        <f t="shared" si="21"/>
        <v>Kenaikan IU</v>
      </c>
      <c r="K83" s="42"/>
      <c r="O83" s="3"/>
      <c r="V83" s="4"/>
      <c r="X83" s="3" t="s">
        <v>286</v>
      </c>
      <c r="Y83" t="s">
        <v>287</v>
      </c>
      <c r="Z83" t="s">
        <v>165</v>
      </c>
      <c r="AA83" s="10">
        <v>4</v>
      </c>
      <c r="AB83" t="s">
        <v>20</v>
      </c>
      <c r="AC83" s="10">
        <v>42823.120199999998</v>
      </c>
      <c r="AD83" s="4">
        <v>171292.48079999999</v>
      </c>
      <c r="AF83" s="82" t="s">
        <v>31</v>
      </c>
      <c r="AG83" s="83" t="s">
        <v>11</v>
      </c>
      <c r="AH83" s="18" t="s">
        <v>198</v>
      </c>
      <c r="AI83" s="18"/>
      <c r="AJ83" s="18"/>
      <c r="AK83" s="18"/>
      <c r="AL83" s="18"/>
      <c r="AM83" s="19"/>
      <c r="AW83" s="3" t="s">
        <v>355</v>
      </c>
      <c r="AX83" t="s">
        <v>356</v>
      </c>
      <c r="AY83" t="s">
        <v>67</v>
      </c>
      <c r="AZ83" s="10">
        <v>1</v>
      </c>
      <c r="BA83" t="s">
        <v>160</v>
      </c>
      <c r="BB83" s="10">
        <v>4041.6667000000002</v>
      </c>
      <c r="BC83" s="4">
        <v>4041.6667000000002</v>
      </c>
    </row>
    <row r="84" spans="1:55" x14ac:dyDescent="0.35">
      <c r="A84" s="38" t="str">
        <v>CETS0026</v>
      </c>
      <c r="B84" s="31" t="str">
        <f t="shared" si="13"/>
        <v>PLASTIK SAMPAH 90 x 120 (5 LEMBAR)</v>
      </c>
      <c r="C84" s="31" t="str">
        <f t="shared" si="14"/>
        <v>CLEANING TOOLS AND SUPPLIES</v>
      </c>
      <c r="D84" s="39" t="str">
        <f t="shared" si="15"/>
        <v>pack</v>
      </c>
      <c r="E84" s="40">
        <f t="shared" si="16"/>
        <v>7699.84</v>
      </c>
      <c r="F84" s="41">
        <f t="shared" si="17"/>
        <v>22</v>
      </c>
      <c r="G84" s="41">
        <f t="shared" si="18"/>
        <v>19</v>
      </c>
      <c r="H84" s="41">
        <f t="shared" si="19"/>
        <v>-3</v>
      </c>
      <c r="I84" s="40">
        <f t="shared" si="20"/>
        <v>-23099.52</v>
      </c>
      <c r="J84" s="31" t="str">
        <f t="shared" si="21"/>
        <v>Penurunan IU</v>
      </c>
      <c r="K84" s="42"/>
      <c r="O84" s="86" t="s">
        <v>10</v>
      </c>
      <c r="P84" s="87" t="s">
        <v>11</v>
      </c>
      <c r="Q84" t="s">
        <v>429</v>
      </c>
      <c r="V84" s="4"/>
      <c r="X84" s="3" t="s">
        <v>173</v>
      </c>
      <c r="Y84" t="s">
        <v>174</v>
      </c>
      <c r="Z84" t="s">
        <v>165</v>
      </c>
      <c r="AA84" s="10">
        <v>1</v>
      </c>
      <c r="AB84" t="s">
        <v>20</v>
      </c>
      <c r="AC84" s="10">
        <v>16724.9169</v>
      </c>
      <c r="AD84" s="4">
        <v>16724.9169</v>
      </c>
      <c r="AF84" s="82" t="s">
        <v>35</v>
      </c>
      <c r="AG84" s="83" t="s">
        <v>11</v>
      </c>
      <c r="AH84" s="18" t="s">
        <v>473</v>
      </c>
      <c r="AI84" s="18"/>
      <c r="AJ84" s="18"/>
      <c r="AK84" s="18"/>
      <c r="AL84" s="18"/>
      <c r="AM84" s="19"/>
      <c r="AW84" s="3" t="s">
        <v>386</v>
      </c>
      <c r="AX84" t="s">
        <v>387</v>
      </c>
      <c r="AY84" t="s">
        <v>67</v>
      </c>
      <c r="AZ84" s="10">
        <v>0.1</v>
      </c>
      <c r="BA84" t="s">
        <v>5</v>
      </c>
      <c r="BB84" s="10">
        <v>8500</v>
      </c>
      <c r="BC84" s="4">
        <v>850</v>
      </c>
    </row>
    <row r="85" spans="1:55" x14ac:dyDescent="0.35">
      <c r="A85" s="38" t="str">
        <v>CETS0027</v>
      </c>
      <c r="B85" s="31" t="str">
        <f t="shared" si="13"/>
        <v>PLASTIK KRESEK HITAM 35 (Utk Tong Sampah)</v>
      </c>
      <c r="C85" s="31" t="str">
        <f t="shared" si="14"/>
        <v>CLEANING TOOLS AND SUPPLIES</v>
      </c>
      <c r="D85" s="39" t="str">
        <f t="shared" si="15"/>
        <v>pack</v>
      </c>
      <c r="E85" s="40">
        <f t="shared" si="16"/>
        <v>15592.27</v>
      </c>
      <c r="F85" s="41">
        <f t="shared" si="17"/>
        <v>7</v>
      </c>
      <c r="G85" s="41">
        <f t="shared" si="18"/>
        <v>3</v>
      </c>
      <c r="H85" s="41">
        <f t="shared" si="19"/>
        <v>-4</v>
      </c>
      <c r="I85" s="40">
        <f t="shared" si="20"/>
        <v>-62369.08</v>
      </c>
      <c r="J85" s="31" t="str">
        <f t="shared" si="21"/>
        <v>Penurunan IU</v>
      </c>
      <c r="K85" s="42"/>
      <c r="O85" s="86" t="s">
        <v>16</v>
      </c>
      <c r="P85" s="87" t="s">
        <v>11</v>
      </c>
      <c r="Q85" t="s">
        <v>17</v>
      </c>
      <c r="V85" s="4"/>
      <c r="X85" s="3" t="s">
        <v>290</v>
      </c>
      <c r="Y85" t="s">
        <v>291</v>
      </c>
      <c r="Z85" t="s">
        <v>165</v>
      </c>
      <c r="AA85" s="10">
        <v>1</v>
      </c>
      <c r="AB85" t="s">
        <v>20</v>
      </c>
      <c r="AC85" s="10">
        <v>14903.923100000002</v>
      </c>
      <c r="AD85" s="4">
        <v>14903.9231</v>
      </c>
      <c r="AF85" s="20"/>
      <c r="AG85" s="18"/>
      <c r="AH85" s="18"/>
      <c r="AI85" s="18"/>
      <c r="AJ85" s="18"/>
      <c r="AK85" s="18"/>
      <c r="AL85" s="18"/>
      <c r="AM85" s="19"/>
      <c r="AW85" s="3" t="s">
        <v>388</v>
      </c>
      <c r="AX85" t="s">
        <v>389</v>
      </c>
      <c r="AY85" t="s">
        <v>67</v>
      </c>
      <c r="AZ85" s="10">
        <v>17</v>
      </c>
      <c r="BA85" t="s">
        <v>20</v>
      </c>
      <c r="BB85" s="10">
        <v>2639</v>
      </c>
      <c r="BC85" s="4">
        <v>44863</v>
      </c>
    </row>
    <row r="86" spans="1:55" x14ac:dyDescent="0.35">
      <c r="A86" s="38" t="str">
        <v>STA00011</v>
      </c>
      <c r="B86" s="31" t="str">
        <f t="shared" si="13"/>
        <v>BINDER CLIP 111</v>
      </c>
      <c r="C86" s="31" t="str">
        <f t="shared" si="14"/>
        <v>STATIONARY AND OFFICE SUPPLIES</v>
      </c>
      <c r="D86" s="39" t="str">
        <f t="shared" si="15"/>
        <v>box</v>
      </c>
      <c r="E86" s="40">
        <f t="shared" si="16"/>
        <v>4041.67</v>
      </c>
      <c r="F86" s="41">
        <f t="shared" si="17"/>
        <v>1</v>
      </c>
      <c r="G86" s="41" t="str">
        <f t="shared" si="18"/>
        <v>0</v>
      </c>
      <c r="H86" s="41">
        <f t="shared" si="19"/>
        <v>-1</v>
      </c>
      <c r="I86" s="40">
        <f t="shared" si="20"/>
        <v>-4041.67</v>
      </c>
      <c r="J86" s="31" t="str">
        <f t="shared" si="21"/>
        <v>Penurunan IU</v>
      </c>
      <c r="K86" s="42"/>
      <c r="O86" s="86" t="s">
        <v>21</v>
      </c>
      <c r="P86" s="87" t="s">
        <v>11</v>
      </c>
      <c r="Q86" t="s">
        <v>390</v>
      </c>
      <c r="V86" s="4"/>
      <c r="X86" s="3" t="s">
        <v>178</v>
      </c>
      <c r="Y86" t="s">
        <v>179</v>
      </c>
      <c r="Z86" t="s">
        <v>165</v>
      </c>
      <c r="AA86" s="10">
        <v>3</v>
      </c>
      <c r="AB86" t="s">
        <v>20</v>
      </c>
      <c r="AC86" s="10">
        <v>10621.666666650639</v>
      </c>
      <c r="AD86" s="4">
        <v>31865</v>
      </c>
      <c r="AF86" s="20" t="s">
        <v>42</v>
      </c>
      <c r="AG86" s="18" t="s">
        <v>43</v>
      </c>
      <c r="AH86" s="18" t="s">
        <v>44</v>
      </c>
      <c r="AI86" s="18" t="s">
        <v>45</v>
      </c>
      <c r="AJ86" s="18" t="s">
        <v>46</v>
      </c>
      <c r="AK86" s="18" t="s">
        <v>47</v>
      </c>
      <c r="AL86" s="18" t="s">
        <v>48</v>
      </c>
      <c r="AM86" s="19" t="s">
        <v>49</v>
      </c>
      <c r="AW86" s="3" t="s">
        <v>72</v>
      </c>
      <c r="AX86" t="s">
        <v>73</v>
      </c>
      <c r="AY86" t="s">
        <v>67</v>
      </c>
      <c r="AZ86" s="10">
        <v>6</v>
      </c>
      <c r="BA86" t="s">
        <v>74</v>
      </c>
      <c r="BB86" s="10">
        <v>3000.8757999999998</v>
      </c>
      <c r="BC86" s="4">
        <v>18005.254799999999</v>
      </c>
    </row>
    <row r="87" spans="1:55" x14ac:dyDescent="0.35">
      <c r="A87" s="38" t="str">
        <v>STA00032</v>
      </c>
      <c r="B87" s="31" t="str">
        <f t="shared" si="13"/>
        <v>SPIDOL SNOWMAN (NON PERMANENT)</v>
      </c>
      <c r="C87" s="31" t="str">
        <f t="shared" si="14"/>
        <v>STATIONARY AND OFFICE SUPPLIES</v>
      </c>
      <c r="D87" s="39" t="str">
        <f t="shared" si="15"/>
        <v>pcs</v>
      </c>
      <c r="E87" s="40">
        <f t="shared" si="16"/>
        <v>6500</v>
      </c>
      <c r="F87" s="41">
        <f t="shared" si="17"/>
        <v>1</v>
      </c>
      <c r="G87" s="41" t="str">
        <f t="shared" si="18"/>
        <v>0</v>
      </c>
      <c r="H87" s="41">
        <f t="shared" si="19"/>
        <v>-1</v>
      </c>
      <c r="I87" s="40">
        <f t="shared" si="20"/>
        <v>-6500</v>
      </c>
      <c r="J87" s="31" t="str">
        <f t="shared" si="21"/>
        <v>Penurunan IU</v>
      </c>
      <c r="K87" s="42"/>
      <c r="O87" s="86" t="s">
        <v>26</v>
      </c>
      <c r="P87" s="87" t="s">
        <v>11</v>
      </c>
      <c r="Q87" t="s">
        <v>430</v>
      </c>
      <c r="V87" s="4"/>
      <c r="X87" s="3" t="s">
        <v>431</v>
      </c>
      <c r="Y87" t="s">
        <v>432</v>
      </c>
      <c r="Z87" t="s">
        <v>165</v>
      </c>
      <c r="AA87" s="10">
        <v>4</v>
      </c>
      <c r="AB87" t="s">
        <v>20</v>
      </c>
      <c r="AC87" s="10">
        <v>26800</v>
      </c>
      <c r="AD87" s="4">
        <v>107200</v>
      </c>
      <c r="AF87" s="20">
        <v>1</v>
      </c>
      <c r="AG87" s="18" t="s">
        <v>329</v>
      </c>
      <c r="AH87" s="18" t="s">
        <v>330</v>
      </c>
      <c r="AI87" s="18" t="s">
        <v>165</v>
      </c>
      <c r="AJ87" s="21">
        <v>4</v>
      </c>
      <c r="AK87" s="18" t="s">
        <v>20</v>
      </c>
      <c r="AL87" s="21">
        <v>14740.575999999999</v>
      </c>
      <c r="AM87" s="19">
        <v>58962.303999999996</v>
      </c>
      <c r="AW87" s="3" t="s">
        <v>75</v>
      </c>
      <c r="AX87" t="s">
        <v>76</v>
      </c>
      <c r="AY87" t="s">
        <v>67</v>
      </c>
      <c r="AZ87" s="10">
        <v>2</v>
      </c>
      <c r="BA87" t="s">
        <v>74</v>
      </c>
      <c r="BB87" s="10">
        <v>6000</v>
      </c>
      <c r="BC87" s="4">
        <v>12000</v>
      </c>
    </row>
    <row r="88" spans="1:55" x14ac:dyDescent="0.35">
      <c r="A88" s="38" t="str">
        <v>STA00034</v>
      </c>
      <c r="B88" s="31" t="str">
        <f t="shared" si="13"/>
        <v>LAKBAN HITAM</v>
      </c>
      <c r="C88" s="31" t="str">
        <f t="shared" si="14"/>
        <v>STATIONARY AND OFFICE SUPPLIES</v>
      </c>
      <c r="D88" s="39" t="str">
        <f t="shared" si="15"/>
        <v>pcs</v>
      </c>
      <c r="E88" s="40">
        <f t="shared" si="16"/>
        <v>12500</v>
      </c>
      <c r="F88" s="41">
        <f t="shared" si="17"/>
        <v>1</v>
      </c>
      <c r="G88" s="41" t="str">
        <f t="shared" si="18"/>
        <v>0</v>
      </c>
      <c r="H88" s="41">
        <f t="shared" si="19"/>
        <v>-1</v>
      </c>
      <c r="I88" s="40">
        <f t="shared" si="20"/>
        <v>-12500</v>
      </c>
      <c r="J88" s="31" t="str">
        <f t="shared" si="21"/>
        <v>Penurunan IU</v>
      </c>
      <c r="K88" s="42"/>
      <c r="O88" s="86" t="s">
        <v>31</v>
      </c>
      <c r="P88" s="87" t="s">
        <v>11</v>
      </c>
      <c r="Q88" t="s">
        <v>186</v>
      </c>
      <c r="V88" s="4"/>
      <c r="X88" s="3" t="s">
        <v>433</v>
      </c>
      <c r="Y88" t="s">
        <v>434</v>
      </c>
      <c r="Z88" t="s">
        <v>165</v>
      </c>
      <c r="AA88" s="10">
        <v>10</v>
      </c>
      <c r="AB88" t="s">
        <v>20</v>
      </c>
      <c r="AC88" s="10">
        <v>3982.280000000002</v>
      </c>
      <c r="AD88" s="4">
        <v>39822.800000000003</v>
      </c>
      <c r="AF88" s="20">
        <v>2</v>
      </c>
      <c r="AG88" s="18" t="s">
        <v>173</v>
      </c>
      <c r="AH88" s="18" t="s">
        <v>174</v>
      </c>
      <c r="AI88" s="18" t="s">
        <v>165</v>
      </c>
      <c r="AJ88" s="21">
        <v>2</v>
      </c>
      <c r="AK88" s="18" t="s">
        <v>20</v>
      </c>
      <c r="AL88" s="21">
        <v>16724.9169</v>
      </c>
      <c r="AM88" s="19">
        <v>33449.8338</v>
      </c>
      <c r="AW88" s="3" t="s">
        <v>77</v>
      </c>
      <c r="AX88" t="s">
        <v>78</v>
      </c>
      <c r="AY88" t="s">
        <v>67</v>
      </c>
      <c r="AZ88" s="10">
        <v>1</v>
      </c>
      <c r="BA88" t="s">
        <v>20</v>
      </c>
      <c r="BB88" s="10">
        <v>6500</v>
      </c>
      <c r="BC88" s="4">
        <v>6500</v>
      </c>
    </row>
    <row r="89" spans="1:55" x14ac:dyDescent="0.35">
      <c r="A89" s="38" t="str">
        <v>STA00042</v>
      </c>
      <c r="B89" s="31" t="str">
        <f t="shared" si="13"/>
        <v>KARET GELANG</v>
      </c>
      <c r="C89" s="31" t="str">
        <f t="shared" si="14"/>
        <v>STATIONARY AND OFFICE SUPPLIES</v>
      </c>
      <c r="D89" s="39" t="str">
        <f t="shared" si="15"/>
        <v>pack</v>
      </c>
      <c r="E89" s="40">
        <f t="shared" si="16"/>
        <v>31625</v>
      </c>
      <c r="F89" s="41">
        <f t="shared" si="17"/>
        <v>1</v>
      </c>
      <c r="G89" s="41" t="str">
        <f t="shared" si="18"/>
        <v>0</v>
      </c>
      <c r="H89" s="41">
        <f t="shared" si="19"/>
        <v>-1</v>
      </c>
      <c r="I89" s="40">
        <f t="shared" si="20"/>
        <v>-31625</v>
      </c>
      <c r="J89" s="31" t="str">
        <f t="shared" si="21"/>
        <v>Penurunan IU</v>
      </c>
      <c r="K89" s="42"/>
      <c r="O89" s="86" t="s">
        <v>35</v>
      </c>
      <c r="P89" s="87" t="s">
        <v>11</v>
      </c>
      <c r="Q89" t="s">
        <v>435</v>
      </c>
      <c r="V89" s="4"/>
      <c r="X89" s="3" t="s">
        <v>294</v>
      </c>
      <c r="Y89" t="s">
        <v>295</v>
      </c>
      <c r="Z89" t="s">
        <v>165</v>
      </c>
      <c r="AA89" s="10">
        <v>4</v>
      </c>
      <c r="AB89" t="s">
        <v>20</v>
      </c>
      <c r="AC89" s="10">
        <v>16712.906800000001</v>
      </c>
      <c r="AD89" s="4">
        <v>66851.627200000003</v>
      </c>
      <c r="AF89" s="20">
        <v>3</v>
      </c>
      <c r="AG89" s="18" t="s">
        <v>176</v>
      </c>
      <c r="AH89" s="18" t="s">
        <v>177</v>
      </c>
      <c r="AI89" s="18" t="s">
        <v>165</v>
      </c>
      <c r="AJ89" s="21">
        <v>1</v>
      </c>
      <c r="AK89" s="18" t="s">
        <v>20</v>
      </c>
      <c r="AL89" s="21">
        <v>12716.837525423731</v>
      </c>
      <c r="AM89" s="19">
        <v>12716.837525000001</v>
      </c>
      <c r="AW89" s="3" t="s">
        <v>393</v>
      </c>
      <c r="AX89" t="s">
        <v>394</v>
      </c>
      <c r="AY89" t="s">
        <v>67</v>
      </c>
      <c r="AZ89" s="10">
        <v>1</v>
      </c>
      <c r="BA89" t="s">
        <v>20</v>
      </c>
      <c r="BB89" s="10">
        <v>12500</v>
      </c>
      <c r="BC89" s="4">
        <v>12500</v>
      </c>
    </row>
    <row r="90" spans="1:55" x14ac:dyDescent="0.35">
      <c r="A90" s="38" t="str">
        <v>STA00046</v>
      </c>
      <c r="B90" s="31" t="str">
        <f t="shared" si="13"/>
        <v>ALKOHOL</v>
      </c>
      <c r="C90" s="31" t="str">
        <f t="shared" si="14"/>
        <v>STATIONARY AND OFFICE SUPPLIES</v>
      </c>
      <c r="D90" s="39" t="str">
        <f t="shared" si="15"/>
        <v>btl</v>
      </c>
      <c r="E90" s="40">
        <f t="shared" si="16"/>
        <v>6000</v>
      </c>
      <c r="F90" s="41">
        <f t="shared" si="17"/>
        <v>1</v>
      </c>
      <c r="G90" s="41" t="str">
        <f t="shared" si="18"/>
        <v>0</v>
      </c>
      <c r="H90" s="41">
        <f t="shared" si="19"/>
        <v>-1</v>
      </c>
      <c r="I90" s="40">
        <f t="shared" si="20"/>
        <v>-6000</v>
      </c>
      <c r="J90" s="31" t="str">
        <f t="shared" si="21"/>
        <v>Penurunan IU</v>
      </c>
      <c r="K90" s="42"/>
      <c r="O90" s="3"/>
      <c r="V90" s="4"/>
      <c r="X90" s="3" t="s">
        <v>436</v>
      </c>
      <c r="Y90" t="s">
        <v>437</v>
      </c>
      <c r="Z90" t="s">
        <v>165</v>
      </c>
      <c r="AA90" s="10">
        <v>2</v>
      </c>
      <c r="AB90" t="s">
        <v>5</v>
      </c>
      <c r="AC90" s="10">
        <v>6000</v>
      </c>
      <c r="AD90" s="4">
        <v>12000</v>
      </c>
      <c r="AF90" s="20">
        <v>4</v>
      </c>
      <c r="AG90" s="18" t="s">
        <v>433</v>
      </c>
      <c r="AH90" s="18" t="s">
        <v>434</v>
      </c>
      <c r="AI90" s="18" t="s">
        <v>165</v>
      </c>
      <c r="AJ90" s="21">
        <v>9</v>
      </c>
      <c r="AK90" s="18" t="s">
        <v>20</v>
      </c>
      <c r="AL90" s="21">
        <v>3982.280000000002</v>
      </c>
      <c r="AM90" s="19">
        <v>35840.519999999997</v>
      </c>
      <c r="AW90" s="3" t="s">
        <v>357</v>
      </c>
      <c r="AX90" t="s">
        <v>358</v>
      </c>
      <c r="AY90" t="s">
        <v>67</v>
      </c>
      <c r="AZ90" s="10">
        <v>1</v>
      </c>
      <c r="BA90" t="s">
        <v>5</v>
      </c>
      <c r="BB90" s="10">
        <v>31625</v>
      </c>
      <c r="BC90" s="4">
        <v>31625</v>
      </c>
    </row>
    <row r="91" spans="1:55" x14ac:dyDescent="0.35">
      <c r="A91" s="38" t="str">
        <v>STA00073</v>
      </c>
      <c r="B91" s="31" t="str">
        <f t="shared" si="13"/>
        <v>PAPER CLIP NO.3</v>
      </c>
      <c r="C91" s="31" t="str">
        <f t="shared" si="14"/>
        <v>STATIONARY AND OFFICE SUPPLIES</v>
      </c>
      <c r="D91" s="39" t="str">
        <f t="shared" si="15"/>
        <v>pack</v>
      </c>
      <c r="E91" s="40">
        <f t="shared" si="16"/>
        <v>1750</v>
      </c>
      <c r="F91" s="41">
        <f t="shared" si="17"/>
        <v>2</v>
      </c>
      <c r="G91" s="41" t="str">
        <f t="shared" si="18"/>
        <v>0</v>
      </c>
      <c r="H91" s="41">
        <f t="shared" si="19"/>
        <v>-2</v>
      </c>
      <c r="I91" s="40">
        <f t="shared" si="20"/>
        <v>-3500</v>
      </c>
      <c r="J91" s="31" t="str">
        <f t="shared" si="21"/>
        <v>Penurunan IU</v>
      </c>
      <c r="K91" s="42"/>
      <c r="O91" s="3" t="s">
        <v>42</v>
      </c>
      <c r="P91" t="s">
        <v>43</v>
      </c>
      <c r="Q91" t="s">
        <v>44</v>
      </c>
      <c r="R91" t="s">
        <v>45</v>
      </c>
      <c r="S91" t="s">
        <v>46</v>
      </c>
      <c r="T91" t="s">
        <v>47</v>
      </c>
      <c r="U91" t="s">
        <v>48</v>
      </c>
      <c r="V91" s="4" t="s">
        <v>49</v>
      </c>
      <c r="X91" s="3" t="s">
        <v>184</v>
      </c>
      <c r="Y91" t="s">
        <v>185</v>
      </c>
      <c r="Z91" t="s">
        <v>182</v>
      </c>
      <c r="AA91" s="10">
        <v>3</v>
      </c>
      <c r="AB91" t="s">
        <v>20</v>
      </c>
      <c r="AC91" s="10">
        <v>1570.2313999999999</v>
      </c>
      <c r="AD91" s="4">
        <v>4710.6941999999999</v>
      </c>
      <c r="AF91" s="20">
        <v>5</v>
      </c>
      <c r="AG91" s="18" t="s">
        <v>294</v>
      </c>
      <c r="AH91" s="18" t="s">
        <v>295</v>
      </c>
      <c r="AI91" s="18" t="s">
        <v>165</v>
      </c>
      <c r="AJ91" s="21">
        <v>3</v>
      </c>
      <c r="AK91" s="18" t="s">
        <v>20</v>
      </c>
      <c r="AL91" s="21">
        <v>16712.906800000001</v>
      </c>
      <c r="AM91" s="19">
        <v>50138.720399999998</v>
      </c>
      <c r="AW91" s="3" t="s">
        <v>395</v>
      </c>
      <c r="AX91" t="s">
        <v>396</v>
      </c>
      <c r="AY91" t="s">
        <v>67</v>
      </c>
      <c r="AZ91" s="10">
        <v>1</v>
      </c>
      <c r="BA91" t="s">
        <v>216</v>
      </c>
      <c r="BB91" s="10">
        <v>6000</v>
      </c>
      <c r="BC91" s="4">
        <v>6000</v>
      </c>
    </row>
    <row r="92" spans="1:55" x14ac:dyDescent="0.35">
      <c r="A92" s="38" t="str">
        <v>STA00108</v>
      </c>
      <c r="B92" s="31" t="str">
        <f t="shared" si="13"/>
        <v>SERUTAN</v>
      </c>
      <c r="C92" s="31" t="str">
        <f t="shared" si="14"/>
        <v>STATIONARY AND OFFICE SUPPLIES</v>
      </c>
      <c r="D92" s="39" t="str">
        <f t="shared" si="15"/>
        <v>pcs</v>
      </c>
      <c r="E92" s="40">
        <f t="shared" si="16"/>
        <v>3083.33</v>
      </c>
      <c r="F92" s="41">
        <f t="shared" si="17"/>
        <v>1</v>
      </c>
      <c r="G92" s="41" t="str">
        <f t="shared" si="18"/>
        <v>0</v>
      </c>
      <c r="H92" s="41">
        <f t="shared" si="19"/>
        <v>-1</v>
      </c>
      <c r="I92" s="40">
        <f t="shared" si="20"/>
        <v>-3083.33</v>
      </c>
      <c r="J92" s="31" t="str">
        <f t="shared" si="21"/>
        <v>Penurunan IU</v>
      </c>
      <c r="K92" s="42"/>
      <c r="O92" s="3">
        <v>1</v>
      </c>
      <c r="P92" t="s">
        <v>115</v>
      </c>
      <c r="Q92" t="s">
        <v>116</v>
      </c>
      <c r="R92" t="s">
        <v>117</v>
      </c>
      <c r="S92" s="10">
        <v>1500</v>
      </c>
      <c r="T92" t="s">
        <v>52</v>
      </c>
      <c r="U92" s="10">
        <v>619.04729999999995</v>
      </c>
      <c r="V92" s="4">
        <v>928570.95</v>
      </c>
      <c r="X92" s="3" t="s">
        <v>187</v>
      </c>
      <c r="Y92" t="s">
        <v>188</v>
      </c>
      <c r="Z92" t="s">
        <v>182</v>
      </c>
      <c r="AA92" s="10">
        <v>24</v>
      </c>
      <c r="AB92" t="s">
        <v>20</v>
      </c>
      <c r="AC92" s="10">
        <v>3391.7220000000002</v>
      </c>
      <c r="AD92" s="4">
        <v>81401.327999999994</v>
      </c>
      <c r="AF92" s="20">
        <v>6</v>
      </c>
      <c r="AG92" s="18" t="s">
        <v>184</v>
      </c>
      <c r="AH92" s="18" t="s">
        <v>185</v>
      </c>
      <c r="AI92" s="18" t="s">
        <v>182</v>
      </c>
      <c r="AJ92" s="21">
        <v>9</v>
      </c>
      <c r="AK92" s="18" t="s">
        <v>20</v>
      </c>
      <c r="AL92" s="21">
        <v>1570.2313999999999</v>
      </c>
      <c r="AM92" s="19">
        <v>14132.0826</v>
      </c>
      <c r="AW92" s="3" t="s">
        <v>238</v>
      </c>
      <c r="AX92" t="s">
        <v>239</v>
      </c>
      <c r="AY92" t="s">
        <v>67</v>
      </c>
      <c r="AZ92" s="10">
        <v>0.3</v>
      </c>
      <c r="BA92" t="s">
        <v>74</v>
      </c>
      <c r="BB92" s="10">
        <v>13500</v>
      </c>
      <c r="BC92" s="4">
        <v>4050</v>
      </c>
    </row>
    <row r="93" spans="1:55" x14ac:dyDescent="0.35">
      <c r="A93" s="38" t="str">
        <v>STA00131</v>
      </c>
      <c r="B93" s="31" t="str">
        <f t="shared" si="13"/>
        <v>LABEL HARGA K DRINK</v>
      </c>
      <c r="C93" s="31" t="str">
        <f t="shared" si="14"/>
        <v>STATIONARY AND OFFICE SUPPLIES</v>
      </c>
      <c r="D93" s="39" t="str">
        <f t="shared" si="15"/>
        <v>lembar</v>
      </c>
      <c r="E93" s="40">
        <f t="shared" si="16"/>
        <v>3235.35</v>
      </c>
      <c r="F93" s="41">
        <f t="shared" si="17"/>
        <v>1</v>
      </c>
      <c r="G93" s="41" t="str">
        <f t="shared" si="18"/>
        <v>0</v>
      </c>
      <c r="H93" s="41">
        <f t="shared" si="19"/>
        <v>-1</v>
      </c>
      <c r="I93" s="40">
        <f t="shared" si="20"/>
        <v>-3235.35</v>
      </c>
      <c r="J93" s="31" t="str">
        <f t="shared" si="21"/>
        <v>Penurunan IU</v>
      </c>
      <c r="K93" s="42"/>
      <c r="O93" s="3">
        <v>2</v>
      </c>
      <c r="P93" t="s">
        <v>318</v>
      </c>
      <c r="Q93" t="s">
        <v>319</v>
      </c>
      <c r="R93" t="s">
        <v>117</v>
      </c>
      <c r="S93" s="10">
        <v>50</v>
      </c>
      <c r="T93" t="s">
        <v>20</v>
      </c>
      <c r="U93" s="10">
        <v>800</v>
      </c>
      <c r="V93" s="4">
        <v>40000</v>
      </c>
      <c r="X93" s="3" t="s">
        <v>438</v>
      </c>
      <c r="Y93" t="s">
        <v>439</v>
      </c>
      <c r="Z93" t="s">
        <v>182</v>
      </c>
      <c r="AA93" s="10">
        <v>2</v>
      </c>
      <c r="AB93" t="s">
        <v>20</v>
      </c>
      <c r="AC93" s="10">
        <v>11046.529399999999</v>
      </c>
      <c r="AD93" s="4">
        <v>22093.058799999999</v>
      </c>
      <c r="AF93" s="20">
        <v>7</v>
      </c>
      <c r="AG93" s="18" t="s">
        <v>440</v>
      </c>
      <c r="AH93" s="18" t="s">
        <v>441</v>
      </c>
      <c r="AI93" s="18" t="s">
        <v>182</v>
      </c>
      <c r="AJ93" s="21">
        <v>1</v>
      </c>
      <c r="AK93" s="18" t="s">
        <v>20</v>
      </c>
      <c r="AL93" s="21">
        <v>36939.68571428</v>
      </c>
      <c r="AM93" s="19">
        <v>36939.685713999999</v>
      </c>
      <c r="AW93" s="3" t="s">
        <v>83</v>
      </c>
      <c r="AX93" t="s">
        <v>84</v>
      </c>
      <c r="AY93" t="s">
        <v>67</v>
      </c>
      <c r="AZ93" s="10">
        <v>1</v>
      </c>
      <c r="BA93" t="s">
        <v>20</v>
      </c>
      <c r="BB93" s="10">
        <v>7250</v>
      </c>
      <c r="BC93" s="4">
        <v>7250</v>
      </c>
    </row>
    <row r="94" spans="1:55" x14ac:dyDescent="0.35">
      <c r="A94" s="38" t="str">
        <v>STA00170</v>
      </c>
      <c r="B94" s="31" t="str">
        <f t="shared" si="13"/>
        <v>STICKER BUKU MENU</v>
      </c>
      <c r="C94" s="31" t="str">
        <f t="shared" si="14"/>
        <v>STATIONARY AND OFFICE SUPPLIES</v>
      </c>
      <c r="D94" s="39" t="str">
        <f t="shared" si="15"/>
        <v>pcs</v>
      </c>
      <c r="E94" s="40">
        <f t="shared" si="16"/>
        <v>3578.68</v>
      </c>
      <c r="F94" s="41">
        <f t="shared" si="17"/>
        <v>2</v>
      </c>
      <c r="G94" s="41" t="str">
        <f t="shared" si="18"/>
        <v>0</v>
      </c>
      <c r="H94" s="41">
        <f t="shared" si="19"/>
        <v>-2</v>
      </c>
      <c r="I94" s="40">
        <f t="shared" si="20"/>
        <v>-7157.36</v>
      </c>
      <c r="J94" s="31" t="str">
        <f t="shared" si="21"/>
        <v>Penurunan IU</v>
      </c>
      <c r="K94" s="42"/>
      <c r="O94" s="3">
        <v>3</v>
      </c>
      <c r="P94" t="s">
        <v>414</v>
      </c>
      <c r="Q94" t="s">
        <v>415</v>
      </c>
      <c r="R94" t="s">
        <v>120</v>
      </c>
      <c r="S94" s="10">
        <v>1</v>
      </c>
      <c r="T94" t="s">
        <v>20</v>
      </c>
      <c r="U94" s="10">
        <v>97500</v>
      </c>
      <c r="V94" s="4">
        <v>97500</v>
      </c>
      <c r="X94" s="3" t="s">
        <v>440</v>
      </c>
      <c r="Y94" t="s">
        <v>441</v>
      </c>
      <c r="Z94" t="s">
        <v>182</v>
      </c>
      <c r="AA94" s="10">
        <v>1</v>
      </c>
      <c r="AB94" t="s">
        <v>20</v>
      </c>
      <c r="AC94" s="10">
        <v>36939.68571428</v>
      </c>
      <c r="AD94" s="4">
        <v>36939.685713999999</v>
      </c>
      <c r="AF94" s="20">
        <v>8</v>
      </c>
      <c r="AG94" s="18" t="s">
        <v>474</v>
      </c>
      <c r="AH94" s="18" t="s">
        <v>475</v>
      </c>
      <c r="AI94" s="18" t="s">
        <v>192</v>
      </c>
      <c r="AJ94" s="21">
        <v>3</v>
      </c>
      <c r="AK94" s="18" t="s">
        <v>20</v>
      </c>
      <c r="AL94" s="21">
        <v>8750</v>
      </c>
      <c r="AM94" s="19">
        <v>26250</v>
      </c>
      <c r="AW94" s="3" t="s">
        <v>85</v>
      </c>
      <c r="AX94" t="s">
        <v>86</v>
      </c>
      <c r="AY94" t="s">
        <v>67</v>
      </c>
      <c r="AZ94" s="10">
        <v>1.3</v>
      </c>
      <c r="BA94" t="s">
        <v>87</v>
      </c>
      <c r="BB94" s="10">
        <v>18500</v>
      </c>
      <c r="BC94" s="4">
        <v>24050</v>
      </c>
    </row>
    <row r="95" spans="1:55" x14ac:dyDescent="0.35">
      <c r="A95" s="38" t="str">
        <v>CECM0007</v>
      </c>
      <c r="B95" s="31" t="str">
        <f t="shared" si="13"/>
        <v>XYZ DISINFEKTAN 5 LTR</v>
      </c>
      <c r="C95" s="31" t="str">
        <f t="shared" si="14"/>
        <v>CLEANING CHEMICAL</v>
      </c>
      <c r="D95" s="39" t="str">
        <f t="shared" si="15"/>
        <v>gln</v>
      </c>
      <c r="E95" s="40">
        <f t="shared" si="16"/>
        <v>70569.03</v>
      </c>
      <c r="F95" s="41">
        <f t="shared" si="17"/>
        <v>0.2</v>
      </c>
      <c r="G95" s="41" t="str">
        <f t="shared" si="18"/>
        <v>0</v>
      </c>
      <c r="H95" s="41">
        <f t="shared" si="19"/>
        <v>-0.2</v>
      </c>
      <c r="I95" s="40">
        <f t="shared" si="20"/>
        <v>-14113.806</v>
      </c>
      <c r="J95" s="31" t="str">
        <f t="shared" si="21"/>
        <v>Penurunan IU</v>
      </c>
      <c r="K95" s="42"/>
      <c r="O95" s="3">
        <v>4</v>
      </c>
      <c r="P95" t="s">
        <v>416</v>
      </c>
      <c r="Q95" t="s">
        <v>417</v>
      </c>
      <c r="R95" t="s">
        <v>120</v>
      </c>
      <c r="S95" s="10">
        <v>2</v>
      </c>
      <c r="T95" t="s">
        <v>20</v>
      </c>
      <c r="U95" s="10">
        <v>5037.5</v>
      </c>
      <c r="V95" s="4">
        <v>10075</v>
      </c>
      <c r="X95" s="3" t="s">
        <v>383</v>
      </c>
      <c r="Y95" t="s">
        <v>384</v>
      </c>
      <c r="Z95" t="s">
        <v>182</v>
      </c>
      <c r="AA95" s="10">
        <v>1</v>
      </c>
      <c r="AB95" t="s">
        <v>20</v>
      </c>
      <c r="AC95" s="10">
        <v>15130.630624271844</v>
      </c>
      <c r="AD95" s="4">
        <v>15130.630623999999</v>
      </c>
      <c r="AF95" s="20">
        <v>9</v>
      </c>
      <c r="AG95" s="18" t="s">
        <v>442</v>
      </c>
      <c r="AH95" s="18" t="s">
        <v>443</v>
      </c>
      <c r="AI95" s="18" t="s">
        <v>192</v>
      </c>
      <c r="AJ95" s="21">
        <v>3</v>
      </c>
      <c r="AK95" s="18" t="s">
        <v>20</v>
      </c>
      <c r="AL95" s="21">
        <v>18480</v>
      </c>
      <c r="AM95" s="19">
        <v>55440</v>
      </c>
      <c r="AW95" s="3" t="s">
        <v>242</v>
      </c>
      <c r="AX95" t="s">
        <v>243</v>
      </c>
      <c r="AY95" t="s">
        <v>67</v>
      </c>
      <c r="AZ95" s="10">
        <v>1</v>
      </c>
      <c r="BA95" t="s">
        <v>87</v>
      </c>
      <c r="BB95" s="10">
        <v>14500</v>
      </c>
      <c r="BC95" s="4">
        <v>14500</v>
      </c>
    </row>
    <row r="96" spans="1:55" x14ac:dyDescent="0.35">
      <c r="A96" s="38" t="str">
        <v>CETS0001</v>
      </c>
      <c r="B96" s="31" t="str">
        <f t="shared" si="13"/>
        <v>TOWEL ANJOLY BIRU-KECIL</v>
      </c>
      <c r="C96" s="31" t="str">
        <f t="shared" si="14"/>
        <v>CLEANING TOOLS AND SUPPLIES</v>
      </c>
      <c r="D96" s="39" t="str">
        <f t="shared" si="15"/>
        <v>pcs</v>
      </c>
      <c r="E96" s="40">
        <f t="shared" si="16"/>
        <v>7203.98</v>
      </c>
      <c r="F96" s="41">
        <f t="shared" si="17"/>
        <v>5</v>
      </c>
      <c r="G96" s="41" t="str">
        <f t="shared" si="18"/>
        <v>0</v>
      </c>
      <c r="H96" s="41">
        <f t="shared" si="19"/>
        <v>-5</v>
      </c>
      <c r="I96" s="40">
        <f t="shared" si="20"/>
        <v>-36019.899999999994</v>
      </c>
      <c r="J96" s="31" t="str">
        <f t="shared" si="21"/>
        <v>Penurunan IU</v>
      </c>
      <c r="K96" s="42"/>
      <c r="O96" s="3">
        <v>5</v>
      </c>
      <c r="P96" t="s">
        <v>121</v>
      </c>
      <c r="Q96" t="s">
        <v>122</v>
      </c>
      <c r="R96" t="s">
        <v>123</v>
      </c>
      <c r="S96" s="10">
        <v>17</v>
      </c>
      <c r="T96" t="s">
        <v>5</v>
      </c>
      <c r="U96" s="10">
        <v>5000</v>
      </c>
      <c r="V96" s="4">
        <v>85000</v>
      </c>
      <c r="X96" s="3" t="s">
        <v>190</v>
      </c>
      <c r="Y96" t="s">
        <v>191</v>
      </c>
      <c r="Z96" t="s">
        <v>192</v>
      </c>
      <c r="AA96" s="10">
        <v>3</v>
      </c>
      <c r="AB96" t="s">
        <v>20</v>
      </c>
      <c r="AC96" s="10">
        <v>138088.24113714285</v>
      </c>
      <c r="AD96" s="4">
        <v>414264.72341099998</v>
      </c>
      <c r="AF96" s="20">
        <v>10</v>
      </c>
      <c r="AG96" s="18" t="s">
        <v>333</v>
      </c>
      <c r="AH96" s="18" t="s">
        <v>334</v>
      </c>
      <c r="AI96" s="18" t="s">
        <v>192</v>
      </c>
      <c r="AJ96" s="18">
        <v>10</v>
      </c>
      <c r="AK96" s="18" t="s">
        <v>20</v>
      </c>
      <c r="AL96" s="18">
        <v>3666.67</v>
      </c>
      <c r="AM96" s="19">
        <v>36666.699999999997</v>
      </c>
      <c r="AW96" s="3" t="s">
        <v>246</v>
      </c>
      <c r="AX96" t="s">
        <v>247</v>
      </c>
      <c r="AY96" t="s">
        <v>67</v>
      </c>
      <c r="AZ96" s="10">
        <v>0.5</v>
      </c>
      <c r="BA96" t="s">
        <v>5</v>
      </c>
      <c r="BB96" s="10">
        <v>1400</v>
      </c>
      <c r="BC96" s="4">
        <v>700</v>
      </c>
    </row>
    <row r="97" spans="1:55" ht="15" thickBot="1" x14ac:dyDescent="0.4">
      <c r="A97" s="38" t="str">
        <v>CETS0002</v>
      </c>
      <c r="B97" s="31" t="str">
        <f t="shared" si="13"/>
        <v>TOWEL ANJOLY MERAH-KECIL</v>
      </c>
      <c r="C97" s="31" t="str">
        <f t="shared" si="14"/>
        <v>CLEANING TOOLS AND SUPPLIES</v>
      </c>
      <c r="D97" s="39" t="str">
        <f t="shared" si="15"/>
        <v>pcs</v>
      </c>
      <c r="E97" s="40">
        <f t="shared" si="16"/>
        <v>7216.67</v>
      </c>
      <c r="F97" s="41">
        <f t="shared" si="17"/>
        <v>2</v>
      </c>
      <c r="G97" s="41" t="str">
        <f t="shared" si="18"/>
        <v>0</v>
      </c>
      <c r="H97" s="41">
        <f t="shared" si="19"/>
        <v>-2</v>
      </c>
      <c r="I97" s="40">
        <f t="shared" si="20"/>
        <v>-14433.34</v>
      </c>
      <c r="J97" s="31" t="str">
        <f t="shared" si="21"/>
        <v>Penurunan IU</v>
      </c>
      <c r="K97" s="42"/>
      <c r="O97" s="3">
        <v>6</v>
      </c>
      <c r="P97" t="s">
        <v>124</v>
      </c>
      <c r="Q97" t="s">
        <v>125</v>
      </c>
      <c r="R97" t="s">
        <v>123</v>
      </c>
      <c r="S97" s="10">
        <v>24</v>
      </c>
      <c r="T97" t="s">
        <v>5</v>
      </c>
      <c r="U97" s="10">
        <v>5143.8289999999997</v>
      </c>
      <c r="V97" s="4">
        <v>123451.89599999999</v>
      </c>
      <c r="X97" s="3" t="s">
        <v>442</v>
      </c>
      <c r="Y97" t="s">
        <v>443</v>
      </c>
      <c r="Z97" t="s">
        <v>192</v>
      </c>
      <c r="AA97">
        <v>4</v>
      </c>
      <c r="AB97" t="s">
        <v>20</v>
      </c>
      <c r="AC97">
        <v>18480</v>
      </c>
      <c r="AD97" s="4">
        <v>73920</v>
      </c>
      <c r="AF97" s="22" t="s">
        <v>223</v>
      </c>
      <c r="AG97" s="23" t="s">
        <v>223</v>
      </c>
      <c r="AH97" s="23" t="s">
        <v>223</v>
      </c>
      <c r="AI97" s="23" t="s">
        <v>223</v>
      </c>
      <c r="AJ97" s="23" t="s">
        <v>223</v>
      </c>
      <c r="AK97" s="23" t="s">
        <v>223</v>
      </c>
      <c r="AL97" s="23" t="s">
        <v>224</v>
      </c>
      <c r="AM97" s="24">
        <v>360536.68403900001</v>
      </c>
      <c r="AW97" s="3" t="s">
        <v>88</v>
      </c>
      <c r="AX97" t="s">
        <v>89</v>
      </c>
      <c r="AY97" t="s">
        <v>67</v>
      </c>
      <c r="AZ97" s="10">
        <v>2</v>
      </c>
      <c r="BA97" t="s">
        <v>5</v>
      </c>
      <c r="BB97" s="10">
        <v>1750</v>
      </c>
      <c r="BC97" s="4">
        <v>3500</v>
      </c>
    </row>
    <row r="98" spans="1:55" x14ac:dyDescent="0.35">
      <c r="A98" s="38" t="str">
        <v>CETS0003</v>
      </c>
      <c r="B98" s="31" t="str">
        <f t="shared" si="13"/>
        <v>TOWEL ANJOLY COKLAT-KECIL</v>
      </c>
      <c r="C98" s="31" t="str">
        <f t="shared" si="14"/>
        <v>CLEANING TOOLS AND SUPPLIES</v>
      </c>
      <c r="D98" s="39" t="str">
        <f t="shared" si="15"/>
        <v>pcs</v>
      </c>
      <c r="E98" s="40">
        <f t="shared" si="16"/>
        <v>7216.67</v>
      </c>
      <c r="F98" s="41">
        <f t="shared" si="17"/>
        <v>2</v>
      </c>
      <c r="G98" s="41" t="str">
        <f t="shared" si="18"/>
        <v>0</v>
      </c>
      <c r="H98" s="41">
        <f t="shared" si="19"/>
        <v>-2</v>
      </c>
      <c r="I98" s="40">
        <f t="shared" si="20"/>
        <v>-14433.34</v>
      </c>
      <c r="J98" s="31" t="str">
        <f t="shared" si="21"/>
        <v>Penurunan IU</v>
      </c>
      <c r="K98" s="42"/>
      <c r="O98" s="3">
        <v>7</v>
      </c>
      <c r="P98" t="s">
        <v>126</v>
      </c>
      <c r="Q98" t="s">
        <v>127</v>
      </c>
      <c r="R98" t="s">
        <v>123</v>
      </c>
      <c r="S98" s="10">
        <v>5</v>
      </c>
      <c r="T98" t="s">
        <v>5</v>
      </c>
      <c r="U98" s="10">
        <v>6565.1319000000003</v>
      </c>
      <c r="V98" s="4">
        <v>32825.659500000002</v>
      </c>
      <c r="X98" s="3" t="s">
        <v>184</v>
      </c>
      <c r="Y98" t="s">
        <v>185</v>
      </c>
      <c r="Z98" t="s">
        <v>182</v>
      </c>
      <c r="AA98" s="10">
        <v>18</v>
      </c>
      <c r="AB98" t="s">
        <v>20</v>
      </c>
      <c r="AC98" s="10">
        <v>1570.2313999999999</v>
      </c>
      <c r="AD98" s="4">
        <v>28264.165199999999</v>
      </c>
      <c r="AW98" s="3" t="s">
        <v>327</v>
      </c>
      <c r="AX98" t="s">
        <v>328</v>
      </c>
      <c r="AY98" t="s">
        <v>67</v>
      </c>
      <c r="AZ98" s="10">
        <v>5</v>
      </c>
      <c r="BA98" t="s">
        <v>5</v>
      </c>
      <c r="BB98" s="10">
        <v>6250</v>
      </c>
      <c r="BC98" s="4">
        <v>31250</v>
      </c>
    </row>
    <row r="99" spans="1:55" ht="15" thickBot="1" x14ac:dyDescent="0.4">
      <c r="A99" s="38" t="str">
        <v>CETS0004</v>
      </c>
      <c r="B99" s="31" t="str">
        <f t="shared" si="13"/>
        <v>TOWEL ANJOLY HITAM-KECIL</v>
      </c>
      <c r="C99" s="31" t="str">
        <f t="shared" si="14"/>
        <v>CLEANING TOOLS AND SUPPLIES</v>
      </c>
      <c r="D99" s="39" t="str">
        <f t="shared" si="15"/>
        <v>pcs</v>
      </c>
      <c r="E99" s="40">
        <f t="shared" si="16"/>
        <v>7216.67</v>
      </c>
      <c r="F99" s="41">
        <f t="shared" si="17"/>
        <v>8</v>
      </c>
      <c r="G99" s="41" t="str">
        <f t="shared" si="18"/>
        <v>0</v>
      </c>
      <c r="H99" s="41">
        <f t="shared" si="19"/>
        <v>-8</v>
      </c>
      <c r="I99" s="40">
        <f t="shared" si="20"/>
        <v>-57733.36</v>
      </c>
      <c r="J99" s="31" t="str">
        <f t="shared" si="21"/>
        <v>Penurunan IU</v>
      </c>
      <c r="K99" s="42"/>
      <c r="O99" s="3">
        <v>8</v>
      </c>
      <c r="P99" t="s">
        <v>128</v>
      </c>
      <c r="Q99" t="s">
        <v>129</v>
      </c>
      <c r="R99" t="s">
        <v>123</v>
      </c>
      <c r="S99" s="10">
        <v>8</v>
      </c>
      <c r="T99" t="s">
        <v>74</v>
      </c>
      <c r="U99" s="10">
        <v>142058.9792</v>
      </c>
      <c r="V99" s="4">
        <v>1136471.8336</v>
      </c>
      <c r="X99" s="11" t="s">
        <v>190</v>
      </c>
      <c r="Y99" s="12" t="s">
        <v>191</v>
      </c>
      <c r="Z99" s="12" t="s">
        <v>192</v>
      </c>
      <c r="AA99" s="12">
        <v>4</v>
      </c>
      <c r="AB99" s="12" t="s">
        <v>20</v>
      </c>
      <c r="AC99" s="12">
        <v>138088.24113714285</v>
      </c>
      <c r="AD99" s="13">
        <v>552352.96454900003</v>
      </c>
      <c r="AW99" s="3" t="s">
        <v>90</v>
      </c>
      <c r="AX99" t="s">
        <v>91</v>
      </c>
      <c r="AY99" t="s">
        <v>67</v>
      </c>
      <c r="AZ99" s="10">
        <v>3</v>
      </c>
      <c r="BA99" t="s">
        <v>5</v>
      </c>
      <c r="BB99" s="10">
        <v>6214.4396999999999</v>
      </c>
      <c r="BC99" s="4">
        <v>18643.319100000001</v>
      </c>
    </row>
    <row r="100" spans="1:55" ht="15" thickTop="1" x14ac:dyDescent="0.35">
      <c r="A100" s="38" t="str">
        <v>CETS0006</v>
      </c>
      <c r="B100" s="31" t="str">
        <f t="shared" si="13"/>
        <v>SPONGE BUSA</v>
      </c>
      <c r="C100" s="31" t="str">
        <f t="shared" si="14"/>
        <v>CLEANING TOOLS AND SUPPLIES</v>
      </c>
      <c r="D100" s="39" t="str">
        <f t="shared" si="15"/>
        <v>pcs</v>
      </c>
      <c r="E100" s="40">
        <f t="shared" si="16"/>
        <v>2989.46</v>
      </c>
      <c r="F100" s="41">
        <f t="shared" si="17"/>
        <v>16</v>
      </c>
      <c r="G100" s="41" t="str">
        <f t="shared" si="18"/>
        <v>0</v>
      </c>
      <c r="H100" s="41">
        <f t="shared" si="19"/>
        <v>-16</v>
      </c>
      <c r="I100" s="40">
        <f t="shared" si="20"/>
        <v>-47831.360000000001</v>
      </c>
      <c r="J100" s="31" t="str">
        <f t="shared" si="21"/>
        <v>Penurunan IU</v>
      </c>
      <c r="K100" s="42"/>
      <c r="O100" s="3">
        <v>9</v>
      </c>
      <c r="P100" t="s">
        <v>130</v>
      </c>
      <c r="Q100" t="s">
        <v>131</v>
      </c>
      <c r="R100" t="s">
        <v>123</v>
      </c>
      <c r="S100" s="10">
        <v>105</v>
      </c>
      <c r="T100" t="s">
        <v>5</v>
      </c>
      <c r="U100" s="10">
        <v>6353.4645</v>
      </c>
      <c r="V100" s="4">
        <v>667113.77249999996</v>
      </c>
      <c r="AF100" s="84" t="s">
        <v>0</v>
      </c>
      <c r="AG100" s="85"/>
      <c r="AH100" s="85"/>
      <c r="AI100" s="85"/>
      <c r="AJ100" s="85"/>
      <c r="AK100" s="16"/>
      <c r="AL100" s="16"/>
      <c r="AM100" s="17"/>
      <c r="AW100" s="3" t="s">
        <v>92</v>
      </c>
      <c r="AX100" t="s">
        <v>93</v>
      </c>
      <c r="AY100" t="s">
        <v>67</v>
      </c>
      <c r="AZ100" s="10">
        <v>43</v>
      </c>
      <c r="BA100" t="s">
        <v>94</v>
      </c>
      <c r="BB100" s="10">
        <v>11800.1908</v>
      </c>
      <c r="BC100" s="4">
        <v>507408.20439999999</v>
      </c>
    </row>
    <row r="101" spans="1:55" x14ac:dyDescent="0.35">
      <c r="A101" s="38" t="str">
        <v>CETS0010</v>
      </c>
      <c r="B101" s="31" t="str">
        <f t="shared" si="13"/>
        <v>SAPU 8517KW</v>
      </c>
      <c r="C101" s="31" t="str">
        <f t="shared" si="14"/>
        <v>CLEANING TOOLS AND SUPPLIES</v>
      </c>
      <c r="D101" s="39" t="str">
        <f t="shared" si="15"/>
        <v>unit</v>
      </c>
      <c r="E101" s="40">
        <f t="shared" si="16"/>
        <v>39519.870000000003</v>
      </c>
      <c r="F101" s="41">
        <f t="shared" si="17"/>
        <v>2</v>
      </c>
      <c r="G101" s="41" t="str">
        <f t="shared" si="18"/>
        <v>0</v>
      </c>
      <c r="H101" s="41">
        <f t="shared" si="19"/>
        <v>-2</v>
      </c>
      <c r="I101" s="40">
        <f t="shared" si="20"/>
        <v>-79039.740000000005</v>
      </c>
      <c r="J101" s="31" t="str">
        <f t="shared" si="21"/>
        <v>Penurunan IU</v>
      </c>
      <c r="K101" s="42"/>
      <c r="O101" s="3">
        <v>10</v>
      </c>
      <c r="P101" t="s">
        <v>132</v>
      </c>
      <c r="Q101" t="s">
        <v>133</v>
      </c>
      <c r="R101" t="s">
        <v>123</v>
      </c>
      <c r="S101" s="10">
        <v>43</v>
      </c>
      <c r="T101" t="s">
        <v>134</v>
      </c>
      <c r="U101" s="10">
        <v>12999.962799999998</v>
      </c>
      <c r="V101" s="4">
        <v>558998.40040000004</v>
      </c>
      <c r="AF101" s="82" t="s">
        <v>1</v>
      </c>
      <c r="AG101" s="83"/>
      <c r="AH101" s="83"/>
      <c r="AI101" s="83"/>
      <c r="AJ101" s="83"/>
      <c r="AK101" s="18"/>
      <c r="AL101" s="18"/>
      <c r="AM101" s="19"/>
      <c r="AW101" s="3" t="s">
        <v>361</v>
      </c>
      <c r="AX101" t="s">
        <v>362</v>
      </c>
      <c r="AY101" t="s">
        <v>67</v>
      </c>
      <c r="AZ101" s="10">
        <v>2</v>
      </c>
      <c r="BA101" t="s">
        <v>363</v>
      </c>
      <c r="BB101" s="10">
        <v>60</v>
      </c>
      <c r="BC101" s="4">
        <v>120</v>
      </c>
    </row>
    <row r="102" spans="1:55" x14ac:dyDescent="0.35">
      <c r="A102" s="38" t="str">
        <v>CETS0018</v>
      </c>
      <c r="B102" s="31" t="str">
        <f t="shared" si="13"/>
        <v>LAP MICRO 40 X 40 320 GSM ORANGE</v>
      </c>
      <c r="C102" s="31" t="str">
        <f t="shared" si="14"/>
        <v>CLEANING TOOLS AND SUPPLIES</v>
      </c>
      <c r="D102" s="39" t="str">
        <f t="shared" si="15"/>
        <v>pcs</v>
      </c>
      <c r="E102" s="40">
        <f t="shared" si="16"/>
        <v>9832.5</v>
      </c>
      <c r="F102" s="41">
        <f t="shared" si="17"/>
        <v>1</v>
      </c>
      <c r="G102" s="41" t="str">
        <f t="shared" si="18"/>
        <v>0</v>
      </c>
      <c r="H102" s="41">
        <f t="shared" si="19"/>
        <v>-1</v>
      </c>
      <c r="I102" s="40">
        <f t="shared" si="20"/>
        <v>-9832.5</v>
      </c>
      <c r="J102" s="31" t="str">
        <f t="shared" si="21"/>
        <v>Penurunan IU</v>
      </c>
      <c r="K102" s="42"/>
      <c r="O102" s="3">
        <v>11</v>
      </c>
      <c r="P102" t="s">
        <v>135</v>
      </c>
      <c r="Q102" t="s">
        <v>136</v>
      </c>
      <c r="R102" t="s">
        <v>123</v>
      </c>
      <c r="S102" s="10">
        <v>71</v>
      </c>
      <c r="T102" t="s">
        <v>5</v>
      </c>
      <c r="U102" s="10">
        <v>5450.1176999999998</v>
      </c>
      <c r="V102" s="4">
        <v>386958.3567</v>
      </c>
      <c r="AF102" s="20"/>
      <c r="AG102" s="18"/>
      <c r="AH102" s="18"/>
      <c r="AI102" s="18"/>
      <c r="AJ102" s="18"/>
      <c r="AK102" s="18"/>
      <c r="AL102" s="18"/>
      <c r="AM102" s="19"/>
      <c r="AW102" s="3" t="s">
        <v>397</v>
      </c>
      <c r="AX102" t="s">
        <v>398</v>
      </c>
      <c r="AY102" t="s">
        <v>67</v>
      </c>
      <c r="AZ102" s="10">
        <v>1</v>
      </c>
      <c r="BA102" t="s">
        <v>20</v>
      </c>
      <c r="BB102" s="10">
        <v>3083.3332999999998</v>
      </c>
      <c r="BC102" s="4">
        <v>3083.3332999999998</v>
      </c>
    </row>
    <row r="103" spans="1:55" x14ac:dyDescent="0.35">
      <c r="A103" s="38" t="str">
        <v>CETS0021</v>
      </c>
      <c r="B103" s="31" t="str">
        <f t="shared" si="13"/>
        <v>LAP MICRO 40 X 40 320 GSM BIRU MUDA</v>
      </c>
      <c r="C103" s="31" t="str">
        <f t="shared" si="14"/>
        <v>CLEANING TOOLS AND SUPPLIES</v>
      </c>
      <c r="D103" s="39" t="str">
        <f t="shared" si="15"/>
        <v>pcs</v>
      </c>
      <c r="E103" s="40">
        <f t="shared" si="16"/>
        <v>8959.6200000000008</v>
      </c>
      <c r="F103" s="41">
        <f t="shared" si="17"/>
        <v>1</v>
      </c>
      <c r="G103" s="41" t="str">
        <f t="shared" si="18"/>
        <v>0</v>
      </c>
      <c r="H103" s="41">
        <f t="shared" si="19"/>
        <v>-1</v>
      </c>
      <c r="I103" s="40">
        <f t="shared" si="20"/>
        <v>-8959.6200000000008</v>
      </c>
      <c r="J103" s="31" t="str">
        <f t="shared" si="21"/>
        <v>Penurunan IU</v>
      </c>
      <c r="K103" s="42"/>
      <c r="O103" s="3">
        <v>12</v>
      </c>
      <c r="P103" t="s">
        <v>137</v>
      </c>
      <c r="Q103" t="s">
        <v>138</v>
      </c>
      <c r="R103" t="s">
        <v>123</v>
      </c>
      <c r="S103" s="10">
        <v>71</v>
      </c>
      <c r="T103" t="s">
        <v>5</v>
      </c>
      <c r="U103" s="10">
        <v>16042.388499999999</v>
      </c>
      <c r="V103" s="4">
        <v>1139009.5834999999</v>
      </c>
      <c r="AF103" s="82" t="s">
        <v>10</v>
      </c>
      <c r="AG103" s="83" t="s">
        <v>11</v>
      </c>
      <c r="AH103" s="18" t="s">
        <v>476</v>
      </c>
      <c r="AI103" s="18"/>
      <c r="AJ103" s="18"/>
      <c r="AK103" s="18"/>
      <c r="AL103" s="18"/>
      <c r="AM103" s="19"/>
      <c r="AW103" s="3" t="s">
        <v>107</v>
      </c>
      <c r="AX103" t="s">
        <v>108</v>
      </c>
      <c r="AY103" t="s">
        <v>67</v>
      </c>
      <c r="AZ103" s="10">
        <v>2</v>
      </c>
      <c r="BA103" t="s">
        <v>5</v>
      </c>
      <c r="BB103" s="10">
        <v>16250</v>
      </c>
      <c r="BC103" s="4">
        <v>32500</v>
      </c>
    </row>
    <row r="104" spans="1:55" x14ac:dyDescent="0.35">
      <c r="A104" s="38" t="str">
        <v>MKT00051</v>
      </c>
      <c r="B104" s="31" t="str">
        <f t="shared" si="13"/>
        <v>VOUCHER FREE RAPOKKI CHADOL</v>
      </c>
      <c r="C104" s="31" t="str">
        <f t="shared" si="14"/>
        <v>MARKETING</v>
      </c>
      <c r="D104" s="39" t="str">
        <f t="shared" si="15"/>
        <v>pcs</v>
      </c>
      <c r="E104" s="40">
        <f t="shared" si="16"/>
        <v>800</v>
      </c>
      <c r="F104" s="41">
        <f t="shared" si="17"/>
        <v>50</v>
      </c>
      <c r="G104" s="41" t="str">
        <f t="shared" si="18"/>
        <v>0</v>
      </c>
      <c r="H104" s="41">
        <f t="shared" si="19"/>
        <v>-50</v>
      </c>
      <c r="I104" s="40">
        <f t="shared" si="20"/>
        <v>-40000</v>
      </c>
      <c r="J104" s="31" t="str">
        <f t="shared" si="21"/>
        <v>Penurunan IU</v>
      </c>
      <c r="K104" s="42"/>
      <c r="O104" s="3">
        <v>13</v>
      </c>
      <c r="P104" t="s">
        <v>141</v>
      </c>
      <c r="Q104" t="s">
        <v>142</v>
      </c>
      <c r="R104" t="s">
        <v>123</v>
      </c>
      <c r="S104" s="10">
        <v>14</v>
      </c>
      <c r="T104" t="s">
        <v>5</v>
      </c>
      <c r="U104" s="10">
        <v>41808.887900000002</v>
      </c>
      <c r="V104" s="4">
        <v>585324.43059999996</v>
      </c>
      <c r="AF104" s="82" t="s">
        <v>16</v>
      </c>
      <c r="AG104" s="83" t="s">
        <v>11</v>
      </c>
      <c r="AH104" s="18" t="s">
        <v>211</v>
      </c>
      <c r="AI104" s="18"/>
      <c r="AJ104" s="18"/>
      <c r="AK104" s="18"/>
      <c r="AL104" s="18"/>
      <c r="AM104" s="19"/>
      <c r="AW104" s="3" t="s">
        <v>364</v>
      </c>
      <c r="AX104" t="s">
        <v>365</v>
      </c>
      <c r="AY104" t="s">
        <v>67</v>
      </c>
      <c r="AZ104" s="10">
        <v>2.9</v>
      </c>
      <c r="BA104" t="s">
        <v>52</v>
      </c>
      <c r="BB104" s="10">
        <v>20336.163199999999</v>
      </c>
      <c r="BC104" s="4">
        <v>58974.87328</v>
      </c>
    </row>
    <row r="105" spans="1:55" x14ac:dyDescent="0.35">
      <c r="A105" s="38" t="str">
        <v>MRP00030</v>
      </c>
      <c r="B105" s="31" t="str">
        <f t="shared" si="13"/>
        <v>PP SEDIMENT FILTER CARTRIDGE 5 MIKRON 20 INCH D10,7CM</v>
      </c>
      <c r="C105" s="31" t="str">
        <f t="shared" si="14"/>
        <v>IT GA AND MRP STOCK</v>
      </c>
      <c r="D105" s="39" t="str">
        <f t="shared" si="15"/>
        <v>pcs</v>
      </c>
      <c r="E105" s="40">
        <f t="shared" si="16"/>
        <v>97500</v>
      </c>
      <c r="F105" s="41">
        <f t="shared" si="17"/>
        <v>1</v>
      </c>
      <c r="G105" s="41" t="str">
        <f t="shared" si="18"/>
        <v>0</v>
      </c>
      <c r="H105" s="41">
        <f t="shared" si="19"/>
        <v>-1</v>
      </c>
      <c r="I105" s="40">
        <f t="shared" si="20"/>
        <v>-97500</v>
      </c>
      <c r="J105" s="31" t="str">
        <f t="shared" si="21"/>
        <v>Penurunan IU</v>
      </c>
      <c r="K105" s="42"/>
      <c r="O105" s="3">
        <v>14</v>
      </c>
      <c r="P105" t="s">
        <v>145</v>
      </c>
      <c r="Q105" t="s">
        <v>146</v>
      </c>
      <c r="R105" t="s">
        <v>123</v>
      </c>
      <c r="S105" s="10">
        <v>301</v>
      </c>
      <c r="T105" t="s">
        <v>5</v>
      </c>
      <c r="U105" s="10">
        <v>4604.1441999999997</v>
      </c>
      <c r="V105" s="4">
        <v>1385847.4042</v>
      </c>
      <c r="AF105" s="82" t="s">
        <v>21</v>
      </c>
      <c r="AG105" s="83" t="s">
        <v>11</v>
      </c>
      <c r="AH105" s="18" t="s">
        <v>390</v>
      </c>
      <c r="AI105" s="18"/>
      <c r="AJ105" s="18"/>
      <c r="AK105" s="18"/>
      <c r="AL105" s="18"/>
      <c r="AM105" s="19"/>
      <c r="AW105" s="3" t="s">
        <v>258</v>
      </c>
      <c r="AX105" t="s">
        <v>259</v>
      </c>
      <c r="AY105" t="s">
        <v>67</v>
      </c>
      <c r="AZ105" s="10">
        <v>0.5</v>
      </c>
      <c r="BA105" t="s">
        <v>5</v>
      </c>
      <c r="BB105" s="10">
        <v>24500</v>
      </c>
      <c r="BC105" s="4">
        <v>12250</v>
      </c>
    </row>
    <row r="106" spans="1:55" x14ac:dyDescent="0.35">
      <c r="A106" s="38" t="str">
        <v>MRP00079</v>
      </c>
      <c r="B106" s="31" t="str">
        <f t="shared" si="13"/>
        <v>RODA TROLLY</v>
      </c>
      <c r="C106" s="31" t="str">
        <f t="shared" si="14"/>
        <v>IT GA AND MRP STOCK</v>
      </c>
      <c r="D106" s="39" t="str">
        <f t="shared" si="15"/>
        <v>pcs</v>
      </c>
      <c r="E106" s="40">
        <f t="shared" si="16"/>
        <v>5037.5</v>
      </c>
      <c r="F106" s="41">
        <f t="shared" si="17"/>
        <v>2</v>
      </c>
      <c r="G106" s="41" t="str">
        <f t="shared" si="18"/>
        <v>0</v>
      </c>
      <c r="H106" s="41">
        <f t="shared" si="19"/>
        <v>-2</v>
      </c>
      <c r="I106" s="40">
        <f t="shared" si="20"/>
        <v>-10075</v>
      </c>
      <c r="J106" s="31" t="str">
        <f t="shared" si="21"/>
        <v>Penurunan IU</v>
      </c>
      <c r="K106" s="42"/>
      <c r="O106" s="3">
        <v>15</v>
      </c>
      <c r="P106" t="s">
        <v>147</v>
      </c>
      <c r="Q106" t="s">
        <v>148</v>
      </c>
      <c r="R106" t="s">
        <v>123</v>
      </c>
      <c r="S106" s="10">
        <v>1.1000000000000001</v>
      </c>
      <c r="T106" t="s">
        <v>5</v>
      </c>
      <c r="U106" s="10">
        <v>14952.604799999999</v>
      </c>
      <c r="V106" s="4">
        <v>16447.865280000002</v>
      </c>
      <c r="AF106" s="82" t="s">
        <v>26</v>
      </c>
      <c r="AG106" s="83" t="s">
        <v>11</v>
      </c>
      <c r="AH106" s="18" t="s">
        <v>477</v>
      </c>
      <c r="AI106" s="18"/>
      <c r="AJ106" s="18"/>
      <c r="AK106" s="18"/>
      <c r="AL106" s="18"/>
      <c r="AM106" s="19"/>
      <c r="AW106" s="3" t="s">
        <v>399</v>
      </c>
      <c r="AX106" t="s">
        <v>400</v>
      </c>
      <c r="AY106" t="s">
        <v>67</v>
      </c>
      <c r="AZ106" s="10">
        <v>1</v>
      </c>
      <c r="BA106" t="s">
        <v>52</v>
      </c>
      <c r="BB106" s="10">
        <v>3235.3499000000011</v>
      </c>
      <c r="BC106" s="4">
        <v>3235.3499000000002</v>
      </c>
    </row>
    <row r="107" spans="1:55" x14ac:dyDescent="0.35">
      <c r="A107" s="38" t="str">
        <v>NCGK0003</v>
      </c>
      <c r="B107" s="31" t="str">
        <f t="shared" si="13"/>
        <v>PLASTIK PE 1 KG 15 x 30</v>
      </c>
      <c r="C107" s="31" t="str">
        <f t="shared" si="14"/>
        <v>NCG</v>
      </c>
      <c r="D107" s="39" t="str">
        <f t="shared" si="15"/>
        <v>pack</v>
      </c>
      <c r="E107" s="40">
        <f t="shared" si="16"/>
        <v>6565.13</v>
      </c>
      <c r="F107" s="41">
        <f t="shared" si="17"/>
        <v>5</v>
      </c>
      <c r="G107" s="41" t="str">
        <f t="shared" si="18"/>
        <v>0</v>
      </c>
      <c r="H107" s="41">
        <f t="shared" si="19"/>
        <v>-5</v>
      </c>
      <c r="I107" s="40">
        <f t="shared" si="20"/>
        <v>-32825.65</v>
      </c>
      <c r="J107" s="31" t="str">
        <f t="shared" si="21"/>
        <v>Penurunan IU</v>
      </c>
      <c r="K107" s="42"/>
      <c r="O107" s="3">
        <v>16</v>
      </c>
      <c r="P107" t="s">
        <v>418</v>
      </c>
      <c r="Q107" t="s">
        <v>419</v>
      </c>
      <c r="R107" t="s">
        <v>151</v>
      </c>
      <c r="S107" s="10">
        <v>3</v>
      </c>
      <c r="T107" t="s">
        <v>420</v>
      </c>
      <c r="U107" s="10">
        <v>5207.9854999999998</v>
      </c>
      <c r="V107" s="4">
        <v>15623.9565</v>
      </c>
      <c r="AF107" s="82" t="s">
        <v>31</v>
      </c>
      <c r="AG107" s="83" t="s">
        <v>11</v>
      </c>
      <c r="AH107" s="18" t="s">
        <v>109</v>
      </c>
      <c r="AI107" s="18"/>
      <c r="AJ107" s="18"/>
      <c r="AK107" s="18"/>
      <c r="AL107" s="18"/>
      <c r="AM107" s="19"/>
      <c r="AW107" s="3" t="s">
        <v>401</v>
      </c>
      <c r="AX107" t="s">
        <v>402</v>
      </c>
      <c r="AY107" t="s">
        <v>67</v>
      </c>
      <c r="AZ107">
        <v>2</v>
      </c>
      <c r="BA107" t="s">
        <v>20</v>
      </c>
      <c r="BB107">
        <v>3578.68</v>
      </c>
      <c r="BC107" s="4">
        <v>7157.36</v>
      </c>
    </row>
    <row r="108" spans="1:55" x14ac:dyDescent="0.35">
      <c r="A108" s="38" t="str">
        <v>OTH00018</v>
      </c>
      <c r="B108" s="31" t="str">
        <f t="shared" si="13"/>
        <v>BOTOL SPRAY 500 ML</v>
      </c>
      <c r="C108" s="31" t="str">
        <f t="shared" si="14"/>
        <v>OTHERS</v>
      </c>
      <c r="D108" s="39" t="str">
        <f t="shared" si="15"/>
        <v>pca</v>
      </c>
      <c r="E108" s="40">
        <f t="shared" si="16"/>
        <v>5207.99</v>
      </c>
      <c r="F108" s="41">
        <f t="shared" si="17"/>
        <v>3</v>
      </c>
      <c r="G108" s="41" t="str">
        <f t="shared" si="18"/>
        <v>0</v>
      </c>
      <c r="H108" s="41">
        <f t="shared" si="19"/>
        <v>-3</v>
      </c>
      <c r="I108" s="40">
        <f t="shared" si="20"/>
        <v>-15623.97</v>
      </c>
      <c r="J108" s="31" t="str">
        <f t="shared" si="21"/>
        <v>Penurunan IU</v>
      </c>
      <c r="K108" s="42"/>
      <c r="O108" s="3">
        <v>17</v>
      </c>
      <c r="P108" t="s">
        <v>265</v>
      </c>
      <c r="Q108" t="s">
        <v>266</v>
      </c>
      <c r="R108" t="s">
        <v>151</v>
      </c>
      <c r="S108" s="10">
        <v>1</v>
      </c>
      <c r="T108" t="s">
        <v>267</v>
      </c>
      <c r="U108" s="10">
        <v>30738.475428571437</v>
      </c>
      <c r="V108" s="4">
        <v>30738.475428999998</v>
      </c>
      <c r="AF108" s="82" t="s">
        <v>35</v>
      </c>
      <c r="AG108" s="83" t="s">
        <v>11</v>
      </c>
      <c r="AH108" s="18" t="s">
        <v>478</v>
      </c>
      <c r="AI108" s="18"/>
      <c r="AJ108" s="18"/>
      <c r="AK108" s="18"/>
      <c r="AL108" s="18"/>
      <c r="AM108" s="19"/>
      <c r="AW108" s="3" t="s">
        <v>2</v>
      </c>
      <c r="AX108" t="s">
        <v>3</v>
      </c>
      <c r="AY108" t="s">
        <v>4</v>
      </c>
      <c r="AZ108" s="10">
        <v>8</v>
      </c>
      <c r="BA108" t="s">
        <v>5</v>
      </c>
      <c r="BB108" s="10">
        <v>21004.1859</v>
      </c>
      <c r="BC108" s="4">
        <v>168033.4872</v>
      </c>
    </row>
    <row r="109" spans="1:55" x14ac:dyDescent="0.35">
      <c r="A109" s="38" t="str">
        <v>OTH00023</v>
      </c>
      <c r="B109" s="31" t="str">
        <f t="shared" si="13"/>
        <v>TANK HOLEDER/DUDUKAN TABUNG GAS HI-COOKED</v>
      </c>
      <c r="C109" s="31" t="str">
        <f t="shared" si="14"/>
        <v>OTHERS</v>
      </c>
      <c r="D109" s="39" t="str">
        <f t="shared" si="15"/>
        <v>unit</v>
      </c>
      <c r="E109" s="40">
        <f t="shared" si="16"/>
        <v>30738.48</v>
      </c>
      <c r="F109" s="41">
        <f t="shared" si="17"/>
        <v>1</v>
      </c>
      <c r="G109" s="41" t="str">
        <f t="shared" si="18"/>
        <v>0</v>
      </c>
      <c r="H109" s="41">
        <f t="shared" si="19"/>
        <v>-1</v>
      </c>
      <c r="I109" s="40">
        <f t="shared" si="20"/>
        <v>-30738.48</v>
      </c>
      <c r="J109" s="31" t="str">
        <f t="shared" si="21"/>
        <v>Penurunan IU</v>
      </c>
      <c r="K109" s="42"/>
      <c r="O109" s="3">
        <v>18</v>
      </c>
      <c r="P109" t="s">
        <v>421</v>
      </c>
      <c r="Q109" t="s">
        <v>422</v>
      </c>
      <c r="R109" t="s">
        <v>151</v>
      </c>
      <c r="S109" s="10">
        <v>1</v>
      </c>
      <c r="T109" t="s">
        <v>20</v>
      </c>
      <c r="U109" s="10">
        <v>24500</v>
      </c>
      <c r="V109" s="4">
        <v>24500</v>
      </c>
      <c r="AF109" s="20"/>
      <c r="AG109" s="18"/>
      <c r="AH109" s="18"/>
      <c r="AI109" s="18"/>
      <c r="AJ109" s="18"/>
      <c r="AK109" s="18"/>
      <c r="AL109" s="18"/>
      <c r="AM109" s="19"/>
      <c r="AW109" s="3" t="s">
        <v>403</v>
      </c>
      <c r="AX109" t="s">
        <v>404</v>
      </c>
      <c r="AY109" t="s">
        <v>4</v>
      </c>
      <c r="AZ109" s="10">
        <v>0.2</v>
      </c>
      <c r="BA109" t="s">
        <v>9</v>
      </c>
      <c r="BB109" s="10">
        <v>70569.027799999996</v>
      </c>
      <c r="BC109" s="4">
        <v>14113.805560000001</v>
      </c>
    </row>
    <row r="110" spans="1:55" x14ac:dyDescent="0.35">
      <c r="A110" s="38" t="str">
        <v>OTH00041</v>
      </c>
      <c r="B110" s="31" t="str">
        <f t="shared" si="13"/>
        <v>ANTI SLIP DASH MAT</v>
      </c>
      <c r="C110" s="31" t="str">
        <f t="shared" si="14"/>
        <v>OTHERS</v>
      </c>
      <c r="D110" s="39" t="str">
        <f t="shared" si="15"/>
        <v>pcs</v>
      </c>
      <c r="E110" s="40">
        <f t="shared" si="16"/>
        <v>24500</v>
      </c>
      <c r="F110" s="41">
        <f t="shared" si="17"/>
        <v>1</v>
      </c>
      <c r="G110" s="41" t="str">
        <f t="shared" si="18"/>
        <v>0</v>
      </c>
      <c r="H110" s="41">
        <f t="shared" si="19"/>
        <v>-1</v>
      </c>
      <c r="I110" s="40">
        <f t="shared" si="20"/>
        <v>-24500</v>
      </c>
      <c r="J110" s="31" t="str">
        <f t="shared" si="21"/>
        <v>Penurunan IU</v>
      </c>
      <c r="K110" s="42"/>
      <c r="O110" s="3">
        <v>19</v>
      </c>
      <c r="P110" t="s">
        <v>154</v>
      </c>
      <c r="Q110" t="s">
        <v>155</v>
      </c>
      <c r="R110" t="s">
        <v>151</v>
      </c>
      <c r="S110" s="10">
        <v>35</v>
      </c>
      <c r="T110" t="s">
        <v>20</v>
      </c>
      <c r="U110" s="10">
        <v>973.31829047619101</v>
      </c>
      <c r="V110" s="4">
        <v>34066.140166999998</v>
      </c>
      <c r="AF110" s="20" t="s">
        <v>42</v>
      </c>
      <c r="AG110" s="18" t="s">
        <v>43</v>
      </c>
      <c r="AH110" s="18" t="s">
        <v>44</v>
      </c>
      <c r="AI110" s="18" t="s">
        <v>45</v>
      </c>
      <c r="AJ110" s="18" t="s">
        <v>46</v>
      </c>
      <c r="AK110" s="18" t="s">
        <v>47</v>
      </c>
      <c r="AL110" s="18" t="s">
        <v>48</v>
      </c>
      <c r="AM110" s="19" t="s">
        <v>49</v>
      </c>
      <c r="AW110" s="3" t="s">
        <v>18</v>
      </c>
      <c r="AX110" t="s">
        <v>19</v>
      </c>
      <c r="AY110" t="s">
        <v>4</v>
      </c>
      <c r="AZ110" s="10">
        <v>0.75</v>
      </c>
      <c r="BA110" t="s">
        <v>20</v>
      </c>
      <c r="BB110" s="10">
        <v>151400</v>
      </c>
      <c r="BC110" s="4">
        <v>113550</v>
      </c>
    </row>
    <row r="111" spans="1:55" x14ac:dyDescent="0.35">
      <c r="A111" s="38" t="str">
        <v>OTH00151</v>
      </c>
      <c r="B111" s="31" t="str">
        <f t="shared" si="13"/>
        <v>LILIN ULANG TAHUN</v>
      </c>
      <c r="C111" s="31" t="str">
        <f t="shared" si="14"/>
        <v>OTHERS</v>
      </c>
      <c r="D111" s="39" t="str">
        <f t="shared" si="15"/>
        <v>pack</v>
      </c>
      <c r="E111" s="40">
        <f t="shared" si="16"/>
        <v>3733.34</v>
      </c>
      <c r="F111" s="41">
        <f t="shared" si="17"/>
        <v>2</v>
      </c>
      <c r="G111" s="41" t="str">
        <f t="shared" si="18"/>
        <v>0</v>
      </c>
      <c r="H111" s="41">
        <f t="shared" si="19"/>
        <v>-2</v>
      </c>
      <c r="I111" s="40">
        <f t="shared" si="20"/>
        <v>-7466.68</v>
      </c>
      <c r="J111" s="31" t="str">
        <f t="shared" si="21"/>
        <v>Penurunan IU</v>
      </c>
      <c r="K111" s="42"/>
      <c r="O111" s="3">
        <v>20</v>
      </c>
      <c r="P111" t="s">
        <v>156</v>
      </c>
      <c r="Q111" t="s">
        <v>157</v>
      </c>
      <c r="R111" t="s">
        <v>151</v>
      </c>
      <c r="S111" s="10">
        <v>45</v>
      </c>
      <c r="T111" t="s">
        <v>20</v>
      </c>
      <c r="U111" s="10">
        <v>2199.8654999999999</v>
      </c>
      <c r="V111" s="4">
        <v>98993.947499999995</v>
      </c>
      <c r="AF111" s="20">
        <v>1</v>
      </c>
      <c r="AG111" s="18" t="s">
        <v>65</v>
      </c>
      <c r="AH111" s="18" t="s">
        <v>66</v>
      </c>
      <c r="AI111" s="18" t="s">
        <v>67</v>
      </c>
      <c r="AJ111" s="21">
        <v>12</v>
      </c>
      <c r="AK111" s="18" t="s">
        <v>20</v>
      </c>
      <c r="AL111" s="21">
        <v>320</v>
      </c>
      <c r="AM111" s="19">
        <v>3840</v>
      </c>
      <c r="AW111" s="3" t="s">
        <v>219</v>
      </c>
      <c r="AX111" t="s">
        <v>220</v>
      </c>
      <c r="AY111" t="s">
        <v>4</v>
      </c>
      <c r="AZ111" s="10">
        <v>4.25</v>
      </c>
      <c r="BA111" t="s">
        <v>25</v>
      </c>
      <c r="BB111" s="10">
        <v>83266.199274999992</v>
      </c>
      <c r="BC111" s="4">
        <v>353881.34691899997</v>
      </c>
    </row>
    <row r="112" spans="1:55" x14ac:dyDescent="0.35">
      <c r="A112" s="38" t="str">
        <v>KW000019</v>
      </c>
      <c r="B112" s="31" t="str">
        <f t="shared" si="13"/>
        <v>FOOD TONG/CAPITAN MAKANAN LUBANG STAINLESS9 INCH</v>
      </c>
      <c r="C112" s="31" t="str">
        <f t="shared" si="14"/>
        <v>KITCHENWARE TOOLS</v>
      </c>
      <c r="D112" s="39" t="str">
        <f t="shared" si="15"/>
        <v>pcs</v>
      </c>
      <c r="E112" s="40">
        <f t="shared" si="16"/>
        <v>6905.66</v>
      </c>
      <c r="F112" s="41">
        <f t="shared" si="17"/>
        <v>10</v>
      </c>
      <c r="G112" s="41" t="str">
        <f t="shared" si="18"/>
        <v>0</v>
      </c>
      <c r="H112" s="41">
        <f t="shared" si="19"/>
        <v>-10</v>
      </c>
      <c r="I112" s="40">
        <f t="shared" si="20"/>
        <v>-69056.600000000006</v>
      </c>
      <c r="J112" s="31" t="str">
        <f t="shared" si="21"/>
        <v>Penurunan IU</v>
      </c>
      <c r="K112" s="42"/>
      <c r="O112" s="3">
        <v>21</v>
      </c>
      <c r="P112" t="s">
        <v>272</v>
      </c>
      <c r="Q112" t="s">
        <v>273</v>
      </c>
      <c r="R112" t="s">
        <v>151</v>
      </c>
      <c r="S112" s="10">
        <v>1</v>
      </c>
      <c r="T112" t="s">
        <v>5</v>
      </c>
      <c r="U112" s="10">
        <v>2767</v>
      </c>
      <c r="V112" s="4">
        <v>2767</v>
      </c>
      <c r="AF112" s="20">
        <v>2</v>
      </c>
      <c r="AG112" s="18" t="s">
        <v>386</v>
      </c>
      <c r="AH112" s="18" t="s">
        <v>387</v>
      </c>
      <c r="AI112" s="18" t="s">
        <v>67</v>
      </c>
      <c r="AJ112" s="21">
        <v>0.1</v>
      </c>
      <c r="AK112" s="18" t="s">
        <v>5</v>
      </c>
      <c r="AL112" s="21">
        <v>8500</v>
      </c>
      <c r="AM112" s="19">
        <v>850</v>
      </c>
      <c r="AW112" s="3" t="s">
        <v>221</v>
      </c>
      <c r="AX112" t="s">
        <v>222</v>
      </c>
      <c r="AY112" t="s">
        <v>4</v>
      </c>
      <c r="AZ112" s="10">
        <v>3.25</v>
      </c>
      <c r="BA112" t="s">
        <v>25</v>
      </c>
      <c r="BB112" s="10">
        <v>101709.99100000002</v>
      </c>
      <c r="BC112" s="4">
        <v>330557.47074999998</v>
      </c>
    </row>
    <row r="113" spans="1:55" x14ac:dyDescent="0.35">
      <c r="A113" s="38" t="str">
        <v>KW000043</v>
      </c>
      <c r="B113" s="31" t="str">
        <f t="shared" si="13"/>
        <v>GELAS UKUR 500ML</v>
      </c>
      <c r="C113" s="31" t="str">
        <f t="shared" si="14"/>
        <v>KITCHENWARE TOOLS</v>
      </c>
      <c r="D113" s="39" t="str">
        <f t="shared" si="15"/>
        <v>pcs</v>
      </c>
      <c r="E113" s="40">
        <f t="shared" si="16"/>
        <v>15572.88</v>
      </c>
      <c r="F113" s="41">
        <f t="shared" si="17"/>
        <v>1</v>
      </c>
      <c r="G113" s="41" t="str">
        <f t="shared" si="18"/>
        <v>0</v>
      </c>
      <c r="H113" s="41">
        <f t="shared" si="19"/>
        <v>-1</v>
      </c>
      <c r="I113" s="40">
        <f t="shared" si="20"/>
        <v>-15572.88</v>
      </c>
      <c r="J113" s="31" t="str">
        <f t="shared" si="21"/>
        <v>Penurunan IU</v>
      </c>
      <c r="K113" s="42"/>
      <c r="O113" s="3">
        <v>22</v>
      </c>
      <c r="P113" t="s">
        <v>423</v>
      </c>
      <c r="Q113" t="s">
        <v>424</v>
      </c>
      <c r="R113" t="s">
        <v>151</v>
      </c>
      <c r="S113" s="10">
        <v>3</v>
      </c>
      <c r="T113" t="s">
        <v>20</v>
      </c>
      <c r="U113" s="10">
        <v>5902.8725999999997</v>
      </c>
      <c r="V113" s="4">
        <v>17708.6178</v>
      </c>
      <c r="AF113" s="20">
        <v>3</v>
      </c>
      <c r="AG113" s="18" t="s">
        <v>479</v>
      </c>
      <c r="AH113" s="18" t="s">
        <v>480</v>
      </c>
      <c r="AI113" s="18" t="s">
        <v>67</v>
      </c>
      <c r="AJ113" s="21">
        <v>1</v>
      </c>
      <c r="AK113" s="18" t="s">
        <v>20</v>
      </c>
      <c r="AL113" s="21">
        <v>18500</v>
      </c>
      <c r="AM113" s="19">
        <v>18500</v>
      </c>
      <c r="AW113" s="3" t="s">
        <v>23</v>
      </c>
      <c r="AX113" t="s">
        <v>24</v>
      </c>
      <c r="AY113" t="s">
        <v>4</v>
      </c>
      <c r="AZ113" s="10">
        <v>9.06</v>
      </c>
      <c r="BA113" t="s">
        <v>25</v>
      </c>
      <c r="BB113" s="10">
        <v>17382.818299999999</v>
      </c>
      <c r="BC113" s="4">
        <v>157488.33379800001</v>
      </c>
    </row>
    <row r="114" spans="1:55" x14ac:dyDescent="0.35">
      <c r="A114" s="38" t="str">
        <v>KW000051</v>
      </c>
      <c r="B114" s="31" t="str">
        <f t="shared" si="13"/>
        <v>SUSHI MAT 3481</v>
      </c>
      <c r="C114" s="31" t="str">
        <f t="shared" si="14"/>
        <v>KITCHENWARE TOOLS</v>
      </c>
      <c r="D114" s="39" t="str">
        <f t="shared" si="15"/>
        <v>pcs</v>
      </c>
      <c r="E114" s="40">
        <f t="shared" si="16"/>
        <v>22602.17</v>
      </c>
      <c r="F114" s="41">
        <f t="shared" si="17"/>
        <v>2</v>
      </c>
      <c r="G114" s="41" t="str">
        <f t="shared" si="18"/>
        <v>0</v>
      </c>
      <c r="H114" s="41">
        <f t="shared" si="19"/>
        <v>-2</v>
      </c>
      <c r="I114" s="40">
        <f t="shared" si="20"/>
        <v>-45204.34</v>
      </c>
      <c r="J114" s="31" t="str">
        <f t="shared" si="21"/>
        <v>Penurunan IU</v>
      </c>
      <c r="K114" s="42"/>
      <c r="O114" s="3">
        <v>23</v>
      </c>
      <c r="P114" t="s">
        <v>161</v>
      </c>
      <c r="Q114" t="s">
        <v>162</v>
      </c>
      <c r="R114" t="s">
        <v>151</v>
      </c>
      <c r="S114">
        <v>2</v>
      </c>
      <c r="T114" t="s">
        <v>5</v>
      </c>
      <c r="U114">
        <v>3733.34</v>
      </c>
      <c r="V114" s="4">
        <v>7466.68</v>
      </c>
      <c r="AF114" s="20">
        <v>4</v>
      </c>
      <c r="AG114" s="18" t="s">
        <v>70</v>
      </c>
      <c r="AH114" s="18" t="s">
        <v>71</v>
      </c>
      <c r="AI114" s="18" t="s">
        <v>67</v>
      </c>
      <c r="AJ114" s="21">
        <v>4</v>
      </c>
      <c r="AK114" s="18" t="s">
        <v>5</v>
      </c>
      <c r="AL114" s="21">
        <v>10790.8231</v>
      </c>
      <c r="AM114" s="19">
        <v>43163.292399999998</v>
      </c>
      <c r="AW114" s="3" t="s">
        <v>28</v>
      </c>
      <c r="AX114" t="s">
        <v>29</v>
      </c>
      <c r="AY114" t="s">
        <v>4</v>
      </c>
      <c r="AZ114" s="10">
        <v>18.75</v>
      </c>
      <c r="BA114" t="s">
        <v>30</v>
      </c>
      <c r="BB114" s="10">
        <v>19755.481599999999</v>
      </c>
      <c r="BC114" s="4">
        <v>370415.28</v>
      </c>
    </row>
    <row r="115" spans="1:55" ht="15" thickBot="1" x14ac:dyDescent="0.4">
      <c r="A115" s="38" t="str">
        <v>KW000054</v>
      </c>
      <c r="B115" s="31" t="str">
        <f t="shared" si="13"/>
        <v>PRAXIS KEEPER 302 10 LITER</v>
      </c>
      <c r="C115" s="31" t="str">
        <f t="shared" si="14"/>
        <v>KITCHENWARE TOOLS</v>
      </c>
      <c r="D115" s="39" t="str">
        <f t="shared" si="15"/>
        <v>pcs</v>
      </c>
      <c r="E115" s="40">
        <f t="shared" si="16"/>
        <v>42823.12</v>
      </c>
      <c r="F115" s="41">
        <f t="shared" si="17"/>
        <v>4</v>
      </c>
      <c r="G115" s="41" t="str">
        <f t="shared" si="18"/>
        <v>0</v>
      </c>
      <c r="H115" s="41">
        <f t="shared" si="19"/>
        <v>-4</v>
      </c>
      <c r="I115" s="40">
        <f t="shared" si="20"/>
        <v>-171292.48</v>
      </c>
      <c r="J115" s="31" t="str">
        <f t="shared" si="21"/>
        <v>Penurunan IU</v>
      </c>
      <c r="K115" s="42"/>
      <c r="O115" s="11" t="s">
        <v>223</v>
      </c>
      <c r="P115" s="12" t="s">
        <v>223</v>
      </c>
      <c r="Q115" s="12" t="s">
        <v>223</v>
      </c>
      <c r="R115" s="12" t="s">
        <v>223</v>
      </c>
      <c r="S115" s="12" t="s">
        <v>223</v>
      </c>
      <c r="T115" s="12" t="s">
        <v>223</v>
      </c>
      <c r="U115" s="12" t="s">
        <v>224</v>
      </c>
      <c r="V115" s="13">
        <v>7425459.9696759991</v>
      </c>
      <c r="AF115" s="20">
        <v>5</v>
      </c>
      <c r="AG115" s="18" t="s">
        <v>230</v>
      </c>
      <c r="AH115" s="18" t="s">
        <v>231</v>
      </c>
      <c r="AI115" s="18" t="s">
        <v>67</v>
      </c>
      <c r="AJ115" s="21">
        <v>3</v>
      </c>
      <c r="AK115" s="18" t="s">
        <v>5</v>
      </c>
      <c r="AL115" s="21">
        <v>17280</v>
      </c>
      <c r="AM115" s="19">
        <v>51840</v>
      </c>
      <c r="AW115" s="3" t="s">
        <v>33</v>
      </c>
      <c r="AX115" t="s">
        <v>34</v>
      </c>
      <c r="AY115" t="s">
        <v>4</v>
      </c>
      <c r="AZ115" s="10">
        <v>16.100000000000001</v>
      </c>
      <c r="BA115" t="s">
        <v>30</v>
      </c>
      <c r="BB115" s="10">
        <v>13000</v>
      </c>
      <c r="BC115" s="4">
        <v>209300</v>
      </c>
    </row>
    <row r="116" spans="1:55" ht="15.5" thickTop="1" thickBot="1" x14ac:dyDescent="0.4">
      <c r="A116" s="38" t="str">
        <v>KW00094</v>
      </c>
      <c r="B116" s="31" t="str">
        <f t="shared" si="13"/>
        <v>PRAXIS KEEPER 102 1,9 LITER</v>
      </c>
      <c r="C116" s="31" t="str">
        <f t="shared" si="14"/>
        <v>KITCHENWARE TOOLS</v>
      </c>
      <c r="D116" s="39" t="str">
        <f t="shared" si="15"/>
        <v>pcs</v>
      </c>
      <c r="E116" s="40">
        <f t="shared" si="16"/>
        <v>14903.92</v>
      </c>
      <c r="F116" s="41">
        <f t="shared" si="17"/>
        <v>1</v>
      </c>
      <c r="G116" s="41" t="str">
        <f t="shared" si="18"/>
        <v>0</v>
      </c>
      <c r="H116" s="41">
        <f t="shared" si="19"/>
        <v>-1</v>
      </c>
      <c r="I116" s="40">
        <f t="shared" si="20"/>
        <v>-14903.92</v>
      </c>
      <c r="J116" s="31" t="str">
        <f t="shared" si="21"/>
        <v>Penurunan IU</v>
      </c>
      <c r="K116" s="42"/>
      <c r="AF116" s="20">
        <v>6</v>
      </c>
      <c r="AG116" s="18" t="s">
        <v>388</v>
      </c>
      <c r="AH116" s="18" t="s">
        <v>389</v>
      </c>
      <c r="AI116" s="18" t="s">
        <v>67</v>
      </c>
      <c r="AJ116" s="21">
        <v>7</v>
      </c>
      <c r="AK116" s="18" t="s">
        <v>20</v>
      </c>
      <c r="AL116" s="21">
        <v>1989.6667</v>
      </c>
      <c r="AM116" s="19">
        <v>13927.6669</v>
      </c>
      <c r="AW116" s="3" t="s">
        <v>39</v>
      </c>
      <c r="AX116" t="s">
        <v>40</v>
      </c>
      <c r="AY116" t="s">
        <v>41</v>
      </c>
      <c r="AZ116" s="10">
        <v>5</v>
      </c>
      <c r="BA116" t="s">
        <v>20</v>
      </c>
      <c r="BB116" s="10">
        <v>7203.9754846153846</v>
      </c>
      <c r="BC116" s="4">
        <v>36019.877422999998</v>
      </c>
    </row>
    <row r="117" spans="1:55" ht="15" thickTop="1" x14ac:dyDescent="0.35">
      <c r="A117" s="38" t="str">
        <v>KW00095</v>
      </c>
      <c r="B117" s="31" t="str">
        <f t="shared" si="13"/>
        <v>SEALWARE B 47 PERSEGI</v>
      </c>
      <c r="C117" s="31" t="str">
        <f t="shared" si="14"/>
        <v>KITCHENWARE TOOLS</v>
      </c>
      <c r="D117" s="39" t="str">
        <f t="shared" si="15"/>
        <v>pcs</v>
      </c>
      <c r="E117" s="40">
        <f t="shared" si="16"/>
        <v>10621.67</v>
      </c>
      <c r="F117" s="41">
        <f t="shared" si="17"/>
        <v>3</v>
      </c>
      <c r="G117" s="41" t="str">
        <f t="shared" si="18"/>
        <v>0</v>
      </c>
      <c r="H117" s="41">
        <f t="shared" si="19"/>
        <v>-3</v>
      </c>
      <c r="I117" s="40">
        <f t="shared" si="20"/>
        <v>-31865.010000000002</v>
      </c>
      <c r="J117" s="31" t="str">
        <f t="shared" si="21"/>
        <v>Penurunan IU</v>
      </c>
      <c r="K117" s="42"/>
      <c r="O117" s="88" t="s">
        <v>0</v>
      </c>
      <c r="P117" s="89"/>
      <c r="Q117" s="89"/>
      <c r="R117" s="89"/>
      <c r="S117" s="89"/>
      <c r="T117" s="1"/>
      <c r="U117" s="1"/>
      <c r="V117" s="2"/>
      <c r="AF117" s="20">
        <v>7</v>
      </c>
      <c r="AG117" s="18" t="s">
        <v>72</v>
      </c>
      <c r="AH117" s="18" t="s">
        <v>73</v>
      </c>
      <c r="AI117" s="18" t="s">
        <v>67</v>
      </c>
      <c r="AJ117" s="21">
        <v>3</v>
      </c>
      <c r="AK117" s="18" t="s">
        <v>74</v>
      </c>
      <c r="AL117" s="21">
        <v>2868.0077000000001</v>
      </c>
      <c r="AM117" s="19">
        <v>8604.0231000000003</v>
      </c>
      <c r="AW117" s="3" t="s">
        <v>304</v>
      </c>
      <c r="AX117" t="s">
        <v>305</v>
      </c>
      <c r="AY117" t="s">
        <v>41</v>
      </c>
      <c r="AZ117" s="10">
        <v>2</v>
      </c>
      <c r="BA117" t="s">
        <v>20</v>
      </c>
      <c r="BB117" s="10">
        <v>7216.670000000001</v>
      </c>
      <c r="BC117" s="4">
        <v>14433.34</v>
      </c>
    </row>
    <row r="118" spans="1:55" x14ac:dyDescent="0.35">
      <c r="A118" s="38" t="str">
        <v>KW00096</v>
      </c>
      <c r="B118" s="31" t="str">
        <f t="shared" si="13"/>
        <v>BOX / SEALWARE DONAT</v>
      </c>
      <c r="C118" s="31" t="str">
        <f t="shared" si="14"/>
        <v>KITCHENWARE TOOLS</v>
      </c>
      <c r="D118" s="39" t="str">
        <f t="shared" si="15"/>
        <v>pcs</v>
      </c>
      <c r="E118" s="40">
        <f t="shared" si="16"/>
        <v>26800</v>
      </c>
      <c r="F118" s="41">
        <f t="shared" si="17"/>
        <v>4</v>
      </c>
      <c r="G118" s="41" t="str">
        <f t="shared" si="18"/>
        <v>0</v>
      </c>
      <c r="H118" s="41">
        <f t="shared" si="19"/>
        <v>-4</v>
      </c>
      <c r="I118" s="40">
        <f t="shared" si="20"/>
        <v>-107200</v>
      </c>
      <c r="J118" s="31" t="str">
        <f t="shared" si="21"/>
        <v>Penurunan IU</v>
      </c>
      <c r="K118" s="42"/>
      <c r="O118" s="86" t="s">
        <v>1</v>
      </c>
      <c r="P118" s="87"/>
      <c r="Q118" s="87"/>
      <c r="R118" s="87"/>
      <c r="S118" s="87"/>
      <c r="V118" s="4"/>
      <c r="AF118" s="20">
        <v>8</v>
      </c>
      <c r="AG118" s="18" t="s">
        <v>75</v>
      </c>
      <c r="AH118" s="18" t="s">
        <v>76</v>
      </c>
      <c r="AI118" s="18" t="s">
        <v>67</v>
      </c>
      <c r="AJ118" s="21">
        <v>5</v>
      </c>
      <c r="AK118" s="18" t="s">
        <v>74</v>
      </c>
      <c r="AL118" s="21">
        <v>5678.5713999999998</v>
      </c>
      <c r="AM118" s="19">
        <v>28392.857</v>
      </c>
      <c r="AW118" s="3" t="s">
        <v>50</v>
      </c>
      <c r="AX118" t="s">
        <v>51</v>
      </c>
      <c r="AY118" t="s">
        <v>41</v>
      </c>
      <c r="AZ118" s="10">
        <v>10</v>
      </c>
      <c r="BA118" t="s">
        <v>52</v>
      </c>
      <c r="BB118" s="10">
        <v>20499.949199999999</v>
      </c>
      <c r="BC118" s="4">
        <v>204999.492</v>
      </c>
    </row>
    <row r="119" spans="1:55" x14ac:dyDescent="0.35">
      <c r="A119" s="38" t="str">
        <v>KW00380</v>
      </c>
      <c r="B119" s="31" t="str">
        <f t="shared" si="13"/>
        <v>SENDOK PUDING (UNTUK SAUCE SAMJANG) PACK@50PCS</v>
      </c>
      <c r="C119" s="31" t="str">
        <f t="shared" si="14"/>
        <v>KITCHENWARE TOOLS</v>
      </c>
      <c r="D119" s="39" t="str">
        <f t="shared" si="15"/>
        <v>pack</v>
      </c>
      <c r="E119" s="40">
        <f t="shared" si="16"/>
        <v>6000</v>
      </c>
      <c r="F119" s="41">
        <f t="shared" si="17"/>
        <v>2</v>
      </c>
      <c r="G119" s="41" t="str">
        <f t="shared" si="18"/>
        <v>0</v>
      </c>
      <c r="H119" s="41">
        <f t="shared" si="19"/>
        <v>-2</v>
      </c>
      <c r="I119" s="40">
        <f t="shared" si="20"/>
        <v>-12000</v>
      </c>
      <c r="J119" s="31" t="str">
        <f t="shared" si="21"/>
        <v>Penurunan IU</v>
      </c>
      <c r="K119" s="42"/>
      <c r="O119" s="3"/>
      <c r="V119" s="4"/>
      <c r="AF119" s="20">
        <v>9</v>
      </c>
      <c r="AG119" s="18" t="s">
        <v>325</v>
      </c>
      <c r="AH119" s="18" t="s">
        <v>326</v>
      </c>
      <c r="AI119" s="18" t="s">
        <v>67</v>
      </c>
      <c r="AJ119" s="21">
        <v>0.1</v>
      </c>
      <c r="AK119" s="18" t="s">
        <v>5</v>
      </c>
      <c r="AL119" s="21">
        <v>46500</v>
      </c>
      <c r="AM119" s="19">
        <v>4650</v>
      </c>
      <c r="AW119" s="3" t="s">
        <v>405</v>
      </c>
      <c r="AX119" t="s">
        <v>406</v>
      </c>
      <c r="AY119" t="s">
        <v>41</v>
      </c>
      <c r="AZ119" s="10">
        <v>2</v>
      </c>
      <c r="BA119" t="s">
        <v>20</v>
      </c>
      <c r="BB119" s="10">
        <v>7216.670000000001</v>
      </c>
      <c r="BC119" s="4">
        <v>14433.34</v>
      </c>
    </row>
    <row r="120" spans="1:55" x14ac:dyDescent="0.35">
      <c r="A120" s="38" t="str">
        <v>TCT00008</v>
      </c>
      <c r="B120" s="31" t="str">
        <f t="shared" si="13"/>
        <v>SENDOK KOREA STAINLESS SUJEO SUS304</v>
      </c>
      <c r="C120" s="31" t="str">
        <f t="shared" si="14"/>
        <v>CUTELERIES</v>
      </c>
      <c r="D120" s="39" t="str">
        <f t="shared" si="15"/>
        <v>pcs</v>
      </c>
      <c r="E120" s="40">
        <f t="shared" si="16"/>
        <v>3391.72</v>
      </c>
      <c r="F120" s="41">
        <f t="shared" si="17"/>
        <v>24</v>
      </c>
      <c r="G120" s="41" t="str">
        <f t="shared" si="18"/>
        <v>0</v>
      </c>
      <c r="H120" s="41">
        <f t="shared" si="19"/>
        <v>-24</v>
      </c>
      <c r="I120" s="40">
        <f t="shared" si="20"/>
        <v>-81401.279999999999</v>
      </c>
      <c r="J120" s="31" t="str">
        <f t="shared" si="21"/>
        <v>Penurunan IU</v>
      </c>
      <c r="K120" s="42"/>
      <c r="O120" s="86" t="s">
        <v>10</v>
      </c>
      <c r="P120" s="87" t="s">
        <v>11</v>
      </c>
      <c r="Q120" t="s">
        <v>444</v>
      </c>
      <c r="V120" s="4"/>
      <c r="AF120" s="20">
        <v>10</v>
      </c>
      <c r="AG120" s="18" t="s">
        <v>238</v>
      </c>
      <c r="AH120" s="18" t="s">
        <v>239</v>
      </c>
      <c r="AI120" s="18" t="s">
        <v>67</v>
      </c>
      <c r="AJ120" s="21">
        <v>0.5</v>
      </c>
      <c r="AK120" s="18" t="s">
        <v>74</v>
      </c>
      <c r="AL120" s="21">
        <v>13500</v>
      </c>
      <c r="AM120" s="19">
        <v>6750</v>
      </c>
      <c r="AW120" s="3" t="s">
        <v>306</v>
      </c>
      <c r="AX120" t="s">
        <v>307</v>
      </c>
      <c r="AY120" t="s">
        <v>41</v>
      </c>
      <c r="AZ120" s="10">
        <v>8</v>
      </c>
      <c r="BA120" t="s">
        <v>20</v>
      </c>
      <c r="BB120" s="10">
        <v>7216.670000000001</v>
      </c>
      <c r="BC120" s="4">
        <v>57733.36</v>
      </c>
    </row>
    <row r="121" spans="1:55" x14ac:dyDescent="0.35">
      <c r="A121" s="38" t="str">
        <v>TCT00009</v>
      </c>
      <c r="B121" s="31" t="str">
        <f t="shared" si="13"/>
        <v>GARPU KOREA STAINLES SUJEO SUS 304</v>
      </c>
      <c r="C121" s="31" t="str">
        <f t="shared" si="14"/>
        <v>CUTELERIES</v>
      </c>
      <c r="D121" s="39" t="str">
        <f t="shared" si="15"/>
        <v>pcs</v>
      </c>
      <c r="E121" s="40">
        <f t="shared" si="16"/>
        <v>11046.53</v>
      </c>
      <c r="F121" s="41">
        <f t="shared" si="17"/>
        <v>2</v>
      </c>
      <c r="G121" s="41" t="str">
        <f t="shared" si="18"/>
        <v>0</v>
      </c>
      <c r="H121" s="41">
        <f t="shared" si="19"/>
        <v>-2</v>
      </c>
      <c r="I121" s="40">
        <f t="shared" si="20"/>
        <v>-22093.06</v>
      </c>
      <c r="J121" s="31" t="str">
        <f t="shared" si="21"/>
        <v>Penurunan IU</v>
      </c>
      <c r="K121" s="42"/>
      <c r="O121" s="86" t="s">
        <v>16</v>
      </c>
      <c r="P121" s="87" t="s">
        <v>11</v>
      </c>
      <c r="Q121" t="s">
        <v>17</v>
      </c>
      <c r="V121" s="4"/>
      <c r="AF121" s="20">
        <v>11</v>
      </c>
      <c r="AG121" s="18" t="s">
        <v>83</v>
      </c>
      <c r="AH121" s="18" t="s">
        <v>84</v>
      </c>
      <c r="AI121" s="18" t="s">
        <v>67</v>
      </c>
      <c r="AJ121" s="21">
        <v>1</v>
      </c>
      <c r="AK121" s="18" t="s">
        <v>20</v>
      </c>
      <c r="AL121" s="21">
        <v>15750</v>
      </c>
      <c r="AM121" s="19">
        <v>15750</v>
      </c>
      <c r="AW121" s="3" t="s">
        <v>53</v>
      </c>
      <c r="AX121" t="s">
        <v>54</v>
      </c>
      <c r="AY121" t="s">
        <v>41</v>
      </c>
      <c r="AZ121" s="10">
        <v>16</v>
      </c>
      <c r="BA121" t="s">
        <v>20</v>
      </c>
      <c r="BB121" s="10">
        <v>2989.4576000000002</v>
      </c>
      <c r="BC121" s="4">
        <v>47831.321600000003</v>
      </c>
    </row>
    <row r="122" spans="1:55" x14ac:dyDescent="0.35">
      <c r="A122" s="38" t="str">
        <v>TCT00021</v>
      </c>
      <c r="B122" s="31" t="str">
        <f t="shared" si="13"/>
        <v>HANDLE KAYU MATERIAL</v>
      </c>
      <c r="C122" s="31" t="str">
        <f t="shared" si="14"/>
        <v>CUTELERIES</v>
      </c>
      <c r="D122" s="39" t="str">
        <f t="shared" si="15"/>
        <v>pcs</v>
      </c>
      <c r="E122" s="40">
        <f t="shared" si="16"/>
        <v>15130.63</v>
      </c>
      <c r="F122" s="41">
        <f t="shared" si="17"/>
        <v>1</v>
      </c>
      <c r="G122" s="41" t="str">
        <f t="shared" si="18"/>
        <v>0</v>
      </c>
      <c r="H122" s="41">
        <f t="shared" si="19"/>
        <v>-1</v>
      </c>
      <c r="I122" s="40">
        <f t="shared" si="20"/>
        <v>-15130.63</v>
      </c>
      <c r="J122" s="31" t="str">
        <f t="shared" si="21"/>
        <v>Penurunan IU</v>
      </c>
      <c r="K122" s="42"/>
      <c r="O122" s="86" t="s">
        <v>21</v>
      </c>
      <c r="P122" s="87" t="s">
        <v>11</v>
      </c>
      <c r="Q122" t="s">
        <v>390</v>
      </c>
      <c r="V122" s="4"/>
      <c r="AF122" s="20">
        <v>12</v>
      </c>
      <c r="AG122" s="18" t="s">
        <v>85</v>
      </c>
      <c r="AH122" s="18" t="s">
        <v>86</v>
      </c>
      <c r="AI122" s="18" t="s">
        <v>67</v>
      </c>
      <c r="AJ122" s="21">
        <v>1.7</v>
      </c>
      <c r="AK122" s="18" t="s">
        <v>87</v>
      </c>
      <c r="AL122" s="21">
        <v>18500</v>
      </c>
      <c r="AM122" s="19">
        <v>31450</v>
      </c>
      <c r="AW122" s="3" t="s">
        <v>407</v>
      </c>
      <c r="AX122" t="s">
        <v>408</v>
      </c>
      <c r="AY122" t="s">
        <v>41</v>
      </c>
      <c r="AZ122" s="10">
        <v>2</v>
      </c>
      <c r="BA122" t="s">
        <v>267</v>
      </c>
      <c r="BB122" s="10">
        <v>39519.871599999999</v>
      </c>
      <c r="BC122" s="4">
        <v>79039.743199999997</v>
      </c>
    </row>
    <row r="123" spans="1:55" ht="15" thickBot="1" x14ac:dyDescent="0.4">
      <c r="A123" s="43" t="str">
        <v>TGW00003</v>
      </c>
      <c r="B123" s="32" t="str">
        <f t="shared" si="13"/>
        <v>MANGKOK KERAMIK/ KOREAN CERAMIK BOWL 14 CM</v>
      </c>
      <c r="C123" s="32" t="str">
        <f t="shared" si="14"/>
        <v>TABLEWARE</v>
      </c>
      <c r="D123" s="44" t="str">
        <f t="shared" si="15"/>
        <v>pcs</v>
      </c>
      <c r="E123" s="44">
        <f t="shared" si="16"/>
        <v>138088.24</v>
      </c>
      <c r="F123" s="45">
        <f t="shared" si="17"/>
        <v>3</v>
      </c>
      <c r="G123" s="45" t="str">
        <f t="shared" si="18"/>
        <v>0</v>
      </c>
      <c r="H123" s="45">
        <f t="shared" si="19"/>
        <v>-3</v>
      </c>
      <c r="I123" s="44">
        <f t="shared" si="20"/>
        <v>-414264.72</v>
      </c>
      <c r="J123" s="32" t="str">
        <f t="shared" si="21"/>
        <v>Penurunan IU</v>
      </c>
      <c r="K123" s="46"/>
      <c r="O123" s="86" t="s">
        <v>26</v>
      </c>
      <c r="P123" s="87" t="s">
        <v>11</v>
      </c>
      <c r="Q123" t="s">
        <v>445</v>
      </c>
      <c r="V123" s="4"/>
      <c r="AF123" s="20">
        <v>13</v>
      </c>
      <c r="AG123" s="18" t="s">
        <v>242</v>
      </c>
      <c r="AH123" s="18" t="s">
        <v>243</v>
      </c>
      <c r="AI123" s="18" t="s">
        <v>67</v>
      </c>
      <c r="AJ123" s="21">
        <v>2</v>
      </c>
      <c r="AK123" s="18" t="s">
        <v>87</v>
      </c>
      <c r="AL123" s="21">
        <v>14500</v>
      </c>
      <c r="AM123" s="19">
        <v>29000</v>
      </c>
      <c r="AW123" s="3" t="s">
        <v>410</v>
      </c>
      <c r="AX123" t="s">
        <v>411</v>
      </c>
      <c r="AY123" t="s">
        <v>41</v>
      </c>
      <c r="AZ123" s="10">
        <v>1</v>
      </c>
      <c r="BA123" t="s">
        <v>20</v>
      </c>
      <c r="BB123" s="10">
        <v>9832.4984999999997</v>
      </c>
      <c r="BC123" s="4">
        <v>9832.4984999999997</v>
      </c>
    </row>
    <row r="124" spans="1:55" ht="15" thickTop="1" x14ac:dyDescent="0.35">
      <c r="O124" s="86" t="s">
        <v>31</v>
      </c>
      <c r="P124" s="87" t="s">
        <v>11</v>
      </c>
      <c r="Q124" t="s">
        <v>198</v>
      </c>
      <c r="V124" s="4"/>
      <c r="AF124" s="20">
        <v>14</v>
      </c>
      <c r="AG124" s="18" t="s">
        <v>246</v>
      </c>
      <c r="AH124" s="18" t="s">
        <v>247</v>
      </c>
      <c r="AI124" s="18" t="s">
        <v>67</v>
      </c>
      <c r="AJ124" s="21">
        <v>4.5</v>
      </c>
      <c r="AK124" s="18" t="s">
        <v>5</v>
      </c>
      <c r="AL124" s="21">
        <v>2216.4</v>
      </c>
      <c r="AM124" s="19">
        <v>9973.7999999999993</v>
      </c>
      <c r="AW124" s="3" t="s">
        <v>310</v>
      </c>
      <c r="AX124" t="s">
        <v>311</v>
      </c>
      <c r="AY124" t="s">
        <v>41</v>
      </c>
      <c r="AZ124" s="10">
        <v>1</v>
      </c>
      <c r="BA124" t="s">
        <v>20</v>
      </c>
      <c r="BB124" s="10">
        <v>8959.6154000000006</v>
      </c>
      <c r="BC124" s="4">
        <v>8959.6154000000006</v>
      </c>
    </row>
    <row r="125" spans="1:55" x14ac:dyDescent="0.35">
      <c r="O125" s="86" t="s">
        <v>35</v>
      </c>
      <c r="P125" s="87" t="s">
        <v>11</v>
      </c>
      <c r="Q125" t="s">
        <v>446</v>
      </c>
      <c r="V125" s="4"/>
      <c r="AF125" s="20">
        <v>15</v>
      </c>
      <c r="AG125" s="18" t="s">
        <v>327</v>
      </c>
      <c r="AH125" s="18" t="s">
        <v>328</v>
      </c>
      <c r="AI125" s="18" t="s">
        <v>67</v>
      </c>
      <c r="AJ125" s="21">
        <v>8</v>
      </c>
      <c r="AK125" s="18" t="s">
        <v>5</v>
      </c>
      <c r="AL125" s="21">
        <v>5931.8181999999997</v>
      </c>
      <c r="AM125" s="19">
        <v>47454.545599999998</v>
      </c>
      <c r="AW125" s="3" t="s">
        <v>57</v>
      </c>
      <c r="AX125" t="s">
        <v>58</v>
      </c>
      <c r="AY125" t="s">
        <v>41</v>
      </c>
      <c r="AZ125" s="10">
        <v>2</v>
      </c>
      <c r="BA125" t="s">
        <v>5</v>
      </c>
      <c r="BB125" s="10">
        <v>7697.2136</v>
      </c>
      <c r="BC125" s="4">
        <v>15394.4272</v>
      </c>
    </row>
    <row r="126" spans="1:55" x14ac:dyDescent="0.35">
      <c r="O126" s="3"/>
      <c r="V126" s="4"/>
      <c r="AF126" s="20">
        <v>16</v>
      </c>
      <c r="AG126" s="18" t="s">
        <v>90</v>
      </c>
      <c r="AH126" s="18" t="s">
        <v>91</v>
      </c>
      <c r="AI126" s="18" t="s">
        <v>67</v>
      </c>
      <c r="AJ126" s="21">
        <v>2</v>
      </c>
      <c r="AK126" s="18" t="s">
        <v>5</v>
      </c>
      <c r="AL126" s="21">
        <v>5550</v>
      </c>
      <c r="AM126" s="19">
        <v>11100</v>
      </c>
      <c r="AW126" s="3" t="s">
        <v>59</v>
      </c>
      <c r="AX126" t="s">
        <v>60</v>
      </c>
      <c r="AY126" t="s">
        <v>41</v>
      </c>
      <c r="AZ126" s="10">
        <v>22</v>
      </c>
      <c r="BA126" t="s">
        <v>5</v>
      </c>
      <c r="BB126" s="10">
        <v>7699.6311999999998</v>
      </c>
      <c r="BC126" s="4">
        <v>169391.88639999999</v>
      </c>
    </row>
    <row r="127" spans="1:55" x14ac:dyDescent="0.35">
      <c r="O127" s="3" t="s">
        <v>42</v>
      </c>
      <c r="P127" t="s">
        <v>43</v>
      </c>
      <c r="Q127" t="s">
        <v>44</v>
      </c>
      <c r="R127" t="s">
        <v>45</v>
      </c>
      <c r="S127" t="s">
        <v>46</v>
      </c>
      <c r="T127" t="s">
        <v>47</v>
      </c>
      <c r="U127" t="s">
        <v>48</v>
      </c>
      <c r="V127" s="4" t="s">
        <v>49</v>
      </c>
      <c r="AF127" s="20">
        <v>17</v>
      </c>
      <c r="AG127" s="18" t="s">
        <v>92</v>
      </c>
      <c r="AH127" s="18" t="s">
        <v>93</v>
      </c>
      <c r="AI127" s="18" t="s">
        <v>67</v>
      </c>
      <c r="AJ127" s="21">
        <v>52</v>
      </c>
      <c r="AK127" s="18" t="s">
        <v>94</v>
      </c>
      <c r="AL127" s="21">
        <v>11800.0545</v>
      </c>
      <c r="AM127" s="19">
        <v>613602.83400000003</v>
      </c>
      <c r="AW127" s="3" t="s">
        <v>61</v>
      </c>
      <c r="AX127" t="s">
        <v>62</v>
      </c>
      <c r="AY127" t="s">
        <v>41</v>
      </c>
      <c r="AZ127">
        <v>7</v>
      </c>
      <c r="BA127" t="s">
        <v>5</v>
      </c>
      <c r="BB127">
        <v>16255.525799999998</v>
      </c>
      <c r="BC127" s="4">
        <v>113788.68060000001</v>
      </c>
    </row>
    <row r="128" spans="1:55" x14ac:dyDescent="0.35">
      <c r="O128" s="3">
        <v>1</v>
      </c>
      <c r="P128" t="s">
        <v>284</v>
      </c>
      <c r="Q128" t="s">
        <v>285</v>
      </c>
      <c r="R128" t="s">
        <v>165</v>
      </c>
      <c r="S128" s="10">
        <v>10</v>
      </c>
      <c r="T128" t="s">
        <v>20</v>
      </c>
      <c r="U128" s="10">
        <v>6905.6575182481756</v>
      </c>
      <c r="V128" s="4">
        <v>69056.575182</v>
      </c>
      <c r="AF128" s="20">
        <v>18</v>
      </c>
      <c r="AG128" s="18" t="s">
        <v>254</v>
      </c>
      <c r="AH128" s="18" t="s">
        <v>255</v>
      </c>
      <c r="AI128" s="18" t="s">
        <v>67</v>
      </c>
      <c r="AJ128" s="21">
        <v>5</v>
      </c>
      <c r="AK128" s="18" t="s">
        <v>5</v>
      </c>
      <c r="AL128" s="21">
        <v>34500</v>
      </c>
      <c r="AM128" s="19">
        <v>172500</v>
      </c>
      <c r="AW128" s="3" t="s">
        <v>115</v>
      </c>
      <c r="AX128" t="s">
        <v>116</v>
      </c>
      <c r="AY128" t="s">
        <v>117</v>
      </c>
      <c r="AZ128" s="10">
        <v>1500</v>
      </c>
      <c r="BA128" t="s">
        <v>52</v>
      </c>
      <c r="BB128" s="10">
        <v>619.04729999999995</v>
      </c>
      <c r="BC128" s="4">
        <v>928570.95</v>
      </c>
    </row>
    <row r="129" spans="15:55" x14ac:dyDescent="0.35">
      <c r="O129" s="3">
        <v>2</v>
      </c>
      <c r="P129" t="s">
        <v>329</v>
      </c>
      <c r="Q129" t="s">
        <v>330</v>
      </c>
      <c r="R129" t="s">
        <v>165</v>
      </c>
      <c r="S129" s="10">
        <v>14</v>
      </c>
      <c r="T129" t="s">
        <v>20</v>
      </c>
      <c r="U129" s="10">
        <v>14740.575999999999</v>
      </c>
      <c r="V129" s="4">
        <v>206368.06400000001</v>
      </c>
      <c r="AF129" s="20">
        <v>19</v>
      </c>
      <c r="AG129" s="18" t="s">
        <v>361</v>
      </c>
      <c r="AH129" s="18" t="s">
        <v>362</v>
      </c>
      <c r="AI129" s="18" t="s">
        <v>67</v>
      </c>
      <c r="AJ129" s="21">
        <v>6</v>
      </c>
      <c r="AK129" s="18" t="s">
        <v>363</v>
      </c>
      <c r="AL129" s="21">
        <v>60</v>
      </c>
      <c r="AM129" s="19">
        <v>360</v>
      </c>
      <c r="AW129" s="3" t="s">
        <v>318</v>
      </c>
      <c r="AX129" t="s">
        <v>319</v>
      </c>
      <c r="AY129" t="s">
        <v>117</v>
      </c>
      <c r="AZ129" s="10">
        <v>50</v>
      </c>
      <c r="BA129" t="s">
        <v>20</v>
      </c>
      <c r="BB129" s="10">
        <v>800</v>
      </c>
      <c r="BC129" s="4">
        <v>40000</v>
      </c>
    </row>
    <row r="130" spans="15:55" x14ac:dyDescent="0.35">
      <c r="O130" s="3">
        <v>3</v>
      </c>
      <c r="P130" t="s">
        <v>425</v>
      </c>
      <c r="Q130" t="s">
        <v>426</v>
      </c>
      <c r="R130" t="s">
        <v>165</v>
      </c>
      <c r="S130" s="10">
        <v>1</v>
      </c>
      <c r="T130" t="s">
        <v>20</v>
      </c>
      <c r="U130" s="10">
        <v>15572.883333330001</v>
      </c>
      <c r="V130" s="4">
        <v>15572.883333</v>
      </c>
      <c r="AF130" s="20">
        <v>20</v>
      </c>
      <c r="AG130" s="18" t="s">
        <v>256</v>
      </c>
      <c r="AH130" s="18" t="s">
        <v>257</v>
      </c>
      <c r="AI130" s="18" t="s">
        <v>67</v>
      </c>
      <c r="AJ130" s="21">
        <v>11</v>
      </c>
      <c r="AK130" s="18" t="s">
        <v>20</v>
      </c>
      <c r="AL130" s="21">
        <v>3199.7674999999999</v>
      </c>
      <c r="AM130" s="19">
        <v>35197.442499999997</v>
      </c>
      <c r="AW130" s="3" t="s">
        <v>414</v>
      </c>
      <c r="AX130" t="s">
        <v>415</v>
      </c>
      <c r="AY130" t="s">
        <v>120</v>
      </c>
      <c r="AZ130" s="10">
        <v>1</v>
      </c>
      <c r="BA130" t="s">
        <v>20</v>
      </c>
      <c r="BB130" s="10">
        <v>97500</v>
      </c>
      <c r="BC130" s="4">
        <v>97500</v>
      </c>
    </row>
    <row r="131" spans="15:55" x14ac:dyDescent="0.35">
      <c r="O131" s="3">
        <v>4</v>
      </c>
      <c r="P131" t="s">
        <v>427</v>
      </c>
      <c r="Q131" t="s">
        <v>428</v>
      </c>
      <c r="R131" t="s">
        <v>165</v>
      </c>
      <c r="S131" s="10">
        <v>2</v>
      </c>
      <c r="T131" t="s">
        <v>20</v>
      </c>
      <c r="U131" s="10">
        <v>22602.166700000002</v>
      </c>
      <c r="V131" s="4">
        <v>45204.333400000003</v>
      </c>
      <c r="AF131" s="20">
        <v>21</v>
      </c>
      <c r="AG131" s="18" t="s">
        <v>107</v>
      </c>
      <c r="AH131" s="18" t="s">
        <v>108</v>
      </c>
      <c r="AI131" s="18" t="s">
        <v>67</v>
      </c>
      <c r="AJ131" s="21">
        <v>1</v>
      </c>
      <c r="AK131" s="18" t="s">
        <v>5</v>
      </c>
      <c r="AL131" s="21">
        <v>18062.884600000001</v>
      </c>
      <c r="AM131" s="19">
        <v>18062.884600000001</v>
      </c>
      <c r="AW131" s="3" t="s">
        <v>416</v>
      </c>
      <c r="AX131" t="s">
        <v>417</v>
      </c>
      <c r="AY131" t="s">
        <v>120</v>
      </c>
      <c r="AZ131" s="10">
        <v>2</v>
      </c>
      <c r="BA131" t="s">
        <v>20</v>
      </c>
      <c r="BB131" s="10">
        <v>5037.5</v>
      </c>
      <c r="BC131" s="4">
        <v>10075</v>
      </c>
    </row>
    <row r="132" spans="15:55" x14ac:dyDescent="0.35">
      <c r="O132" s="3">
        <v>5</v>
      </c>
      <c r="P132" t="s">
        <v>286</v>
      </c>
      <c r="Q132" t="s">
        <v>287</v>
      </c>
      <c r="R132" t="s">
        <v>165</v>
      </c>
      <c r="S132" s="10">
        <v>4</v>
      </c>
      <c r="T132" t="s">
        <v>20</v>
      </c>
      <c r="U132" s="10">
        <v>42823.120199999998</v>
      </c>
      <c r="V132" s="4">
        <v>171292.48079999999</v>
      </c>
      <c r="AF132" s="20">
        <v>22</v>
      </c>
      <c r="AG132" s="18" t="s">
        <v>110</v>
      </c>
      <c r="AH132" s="18" t="s">
        <v>111</v>
      </c>
      <c r="AI132" s="18" t="s">
        <v>67</v>
      </c>
      <c r="AJ132" s="21">
        <v>1</v>
      </c>
      <c r="AK132" s="18" t="s">
        <v>94</v>
      </c>
      <c r="AL132" s="21">
        <v>10500</v>
      </c>
      <c r="AM132" s="19">
        <v>10500</v>
      </c>
      <c r="AW132" s="3" t="s">
        <v>121</v>
      </c>
      <c r="AX132" t="s">
        <v>122</v>
      </c>
      <c r="AY132" t="s">
        <v>123</v>
      </c>
      <c r="AZ132" s="10">
        <v>17</v>
      </c>
      <c r="BA132" t="s">
        <v>5</v>
      </c>
      <c r="BB132" s="10">
        <v>5000</v>
      </c>
      <c r="BC132" s="4">
        <v>85000</v>
      </c>
    </row>
    <row r="133" spans="15:55" x14ac:dyDescent="0.35">
      <c r="O133" s="3">
        <v>6</v>
      </c>
      <c r="P133" t="s">
        <v>173</v>
      </c>
      <c r="Q133" t="s">
        <v>174</v>
      </c>
      <c r="R133" t="s">
        <v>165</v>
      </c>
      <c r="S133" s="10">
        <v>1</v>
      </c>
      <c r="T133" t="s">
        <v>20</v>
      </c>
      <c r="U133" s="10">
        <v>16724.9169</v>
      </c>
      <c r="V133" s="4">
        <v>16724.9169</v>
      </c>
      <c r="AF133" s="20">
        <v>23</v>
      </c>
      <c r="AG133" s="18" t="s">
        <v>364</v>
      </c>
      <c r="AH133" s="18" t="s">
        <v>365</v>
      </c>
      <c r="AI133" s="18" t="s">
        <v>67</v>
      </c>
      <c r="AJ133" s="21">
        <v>0.1</v>
      </c>
      <c r="AK133" s="18" t="s">
        <v>52</v>
      </c>
      <c r="AL133" s="21">
        <v>16139.876200000001</v>
      </c>
      <c r="AM133" s="19">
        <v>1613.9876200000001</v>
      </c>
      <c r="AW133" s="3" t="s">
        <v>124</v>
      </c>
      <c r="AX133" t="s">
        <v>125</v>
      </c>
      <c r="AY133" t="s">
        <v>123</v>
      </c>
      <c r="AZ133" s="10">
        <v>24</v>
      </c>
      <c r="BA133" t="s">
        <v>5</v>
      </c>
      <c r="BB133" s="10">
        <v>5143.8289999999997</v>
      </c>
      <c r="BC133" s="4">
        <v>123451.89599999999</v>
      </c>
    </row>
    <row r="134" spans="15:55" x14ac:dyDescent="0.35">
      <c r="O134" s="3">
        <v>7</v>
      </c>
      <c r="P134" t="s">
        <v>290</v>
      </c>
      <c r="Q134" t="s">
        <v>291</v>
      </c>
      <c r="R134" t="s">
        <v>165</v>
      </c>
      <c r="S134" s="10">
        <v>1</v>
      </c>
      <c r="T134" t="s">
        <v>20</v>
      </c>
      <c r="U134" s="10">
        <v>14903.923100000002</v>
      </c>
      <c r="V134" s="4">
        <v>14903.9231</v>
      </c>
      <c r="AF134" s="20">
        <v>24</v>
      </c>
      <c r="AG134" s="18" t="s">
        <v>258</v>
      </c>
      <c r="AH134" s="18" t="s">
        <v>259</v>
      </c>
      <c r="AI134" s="18" t="s">
        <v>67</v>
      </c>
      <c r="AJ134" s="18">
        <v>0.5</v>
      </c>
      <c r="AK134" s="18" t="s">
        <v>5</v>
      </c>
      <c r="AL134" s="18">
        <v>24500</v>
      </c>
      <c r="AM134" s="19">
        <v>12250</v>
      </c>
      <c r="AW134" s="3" t="s">
        <v>126</v>
      </c>
      <c r="AX134" t="s">
        <v>127</v>
      </c>
      <c r="AY134" t="s">
        <v>123</v>
      </c>
      <c r="AZ134" s="10">
        <v>5</v>
      </c>
      <c r="BA134" t="s">
        <v>5</v>
      </c>
      <c r="BB134" s="10">
        <v>6565.1319000000003</v>
      </c>
      <c r="BC134" s="4">
        <v>32825.659500000002</v>
      </c>
    </row>
    <row r="135" spans="15:55" ht="15" thickBot="1" x14ac:dyDescent="0.4">
      <c r="O135" s="3">
        <v>8</v>
      </c>
      <c r="P135" t="s">
        <v>178</v>
      </c>
      <c r="Q135" t="s">
        <v>179</v>
      </c>
      <c r="R135" t="s">
        <v>165</v>
      </c>
      <c r="S135" s="10">
        <v>3</v>
      </c>
      <c r="T135" t="s">
        <v>20</v>
      </c>
      <c r="U135" s="10">
        <v>10621.666666650639</v>
      </c>
      <c r="V135" s="4">
        <v>31865</v>
      </c>
      <c r="AF135" s="22" t="s">
        <v>223</v>
      </c>
      <c r="AG135" s="23" t="s">
        <v>223</v>
      </c>
      <c r="AH135" s="23" t="s">
        <v>223</v>
      </c>
      <c r="AI135" s="23" t="s">
        <v>223</v>
      </c>
      <c r="AJ135" s="23" t="s">
        <v>223</v>
      </c>
      <c r="AK135" s="23" t="s">
        <v>223</v>
      </c>
      <c r="AL135" s="23" t="s">
        <v>224</v>
      </c>
      <c r="AM135" s="24">
        <v>1189333.33372</v>
      </c>
      <c r="AW135" s="3" t="s">
        <v>128</v>
      </c>
      <c r="AX135" t="s">
        <v>129</v>
      </c>
      <c r="AY135" t="s">
        <v>123</v>
      </c>
      <c r="AZ135" s="10">
        <v>8</v>
      </c>
      <c r="BA135" t="s">
        <v>74</v>
      </c>
      <c r="BB135" s="10">
        <v>142058.9792</v>
      </c>
      <c r="BC135" s="4">
        <v>1136471.8336</v>
      </c>
    </row>
    <row r="136" spans="15:55" x14ac:dyDescent="0.35">
      <c r="O136" s="3">
        <v>9</v>
      </c>
      <c r="P136" t="s">
        <v>431</v>
      </c>
      <c r="Q136" t="s">
        <v>432</v>
      </c>
      <c r="R136" t="s">
        <v>165</v>
      </c>
      <c r="S136" s="10">
        <v>4</v>
      </c>
      <c r="T136" t="s">
        <v>20</v>
      </c>
      <c r="U136" s="10">
        <v>26800</v>
      </c>
      <c r="V136" s="4">
        <v>107200</v>
      </c>
      <c r="AW136" s="3" t="s">
        <v>130</v>
      </c>
      <c r="AX136" t="s">
        <v>131</v>
      </c>
      <c r="AY136" t="s">
        <v>123</v>
      </c>
      <c r="AZ136" s="10">
        <v>105</v>
      </c>
      <c r="BA136" t="s">
        <v>5</v>
      </c>
      <c r="BB136" s="10">
        <v>6353.4645</v>
      </c>
      <c r="BC136" s="4">
        <v>667113.77249999996</v>
      </c>
    </row>
    <row r="137" spans="15:55" x14ac:dyDescent="0.35">
      <c r="O137" s="3">
        <v>10</v>
      </c>
      <c r="P137" t="s">
        <v>433</v>
      </c>
      <c r="Q137" t="s">
        <v>434</v>
      </c>
      <c r="R137" t="s">
        <v>165</v>
      </c>
      <c r="S137" s="10">
        <v>10</v>
      </c>
      <c r="T137" t="s">
        <v>20</v>
      </c>
      <c r="U137" s="10">
        <v>3982.280000000002</v>
      </c>
      <c r="V137" s="4">
        <v>39822.800000000003</v>
      </c>
      <c r="AW137" s="3" t="s">
        <v>132</v>
      </c>
      <c r="AX137" t="s">
        <v>133</v>
      </c>
      <c r="AY137" t="s">
        <v>123</v>
      </c>
      <c r="AZ137" s="10">
        <v>43</v>
      </c>
      <c r="BA137" t="s">
        <v>134</v>
      </c>
      <c r="BB137" s="10">
        <v>12999.962799999998</v>
      </c>
      <c r="BC137" s="4">
        <v>558998.40040000004</v>
      </c>
    </row>
    <row r="138" spans="15:55" x14ac:dyDescent="0.35">
      <c r="O138" s="3">
        <v>11</v>
      </c>
      <c r="P138" t="s">
        <v>294</v>
      </c>
      <c r="Q138" t="s">
        <v>295</v>
      </c>
      <c r="R138" t="s">
        <v>165</v>
      </c>
      <c r="S138" s="10">
        <v>4</v>
      </c>
      <c r="T138" t="s">
        <v>20</v>
      </c>
      <c r="U138" s="10">
        <v>16712.906800000001</v>
      </c>
      <c r="V138" s="4">
        <v>66851.627200000003</v>
      </c>
      <c r="AW138" s="3" t="s">
        <v>135</v>
      </c>
      <c r="AX138" t="s">
        <v>136</v>
      </c>
      <c r="AY138" t="s">
        <v>123</v>
      </c>
      <c r="AZ138" s="10">
        <v>71</v>
      </c>
      <c r="BA138" t="s">
        <v>5</v>
      </c>
      <c r="BB138" s="10">
        <v>5450.1176999999998</v>
      </c>
      <c r="BC138" s="4">
        <v>386958.3567</v>
      </c>
    </row>
    <row r="139" spans="15:55" x14ac:dyDescent="0.35">
      <c r="O139" s="3">
        <v>12</v>
      </c>
      <c r="P139" t="s">
        <v>436</v>
      </c>
      <c r="Q139" t="s">
        <v>437</v>
      </c>
      <c r="R139" t="s">
        <v>165</v>
      </c>
      <c r="S139" s="10">
        <v>2</v>
      </c>
      <c r="T139" t="s">
        <v>5</v>
      </c>
      <c r="U139" s="10">
        <v>6000</v>
      </c>
      <c r="V139" s="4">
        <v>12000</v>
      </c>
      <c r="AW139" s="3" t="s">
        <v>137</v>
      </c>
      <c r="AX139" t="s">
        <v>138</v>
      </c>
      <c r="AY139" t="s">
        <v>123</v>
      </c>
      <c r="AZ139" s="10">
        <v>71</v>
      </c>
      <c r="BA139" t="s">
        <v>5</v>
      </c>
      <c r="BB139" s="10">
        <v>16042.388499999999</v>
      </c>
      <c r="BC139" s="4">
        <v>1139009.5834999999</v>
      </c>
    </row>
    <row r="140" spans="15:55" x14ac:dyDescent="0.35">
      <c r="O140" s="3">
        <v>13</v>
      </c>
      <c r="P140" t="s">
        <v>184</v>
      </c>
      <c r="Q140" t="s">
        <v>185</v>
      </c>
      <c r="R140" t="s">
        <v>182</v>
      </c>
      <c r="S140" s="10">
        <v>3</v>
      </c>
      <c r="T140" t="s">
        <v>20</v>
      </c>
      <c r="U140" s="10">
        <v>1570.2313999999999</v>
      </c>
      <c r="V140" s="4">
        <v>4710.6941999999999</v>
      </c>
      <c r="AW140" s="3" t="s">
        <v>141</v>
      </c>
      <c r="AX140" t="s">
        <v>142</v>
      </c>
      <c r="AY140" t="s">
        <v>123</v>
      </c>
      <c r="AZ140" s="10">
        <v>14</v>
      </c>
      <c r="BA140" t="s">
        <v>5</v>
      </c>
      <c r="BB140" s="10">
        <v>41808.887900000002</v>
      </c>
      <c r="BC140" s="4">
        <v>585324.43059999996</v>
      </c>
    </row>
    <row r="141" spans="15:55" x14ac:dyDescent="0.35">
      <c r="O141" s="3">
        <v>14</v>
      </c>
      <c r="P141" t="s">
        <v>187</v>
      </c>
      <c r="Q141" t="s">
        <v>188</v>
      </c>
      <c r="R141" t="s">
        <v>182</v>
      </c>
      <c r="S141" s="10">
        <v>24</v>
      </c>
      <c r="T141" t="s">
        <v>20</v>
      </c>
      <c r="U141" s="10">
        <v>3391.7220000000002</v>
      </c>
      <c r="V141" s="4">
        <v>81401.327999999994</v>
      </c>
      <c r="AW141" s="3" t="s">
        <v>145</v>
      </c>
      <c r="AX141" t="s">
        <v>146</v>
      </c>
      <c r="AY141" t="s">
        <v>123</v>
      </c>
      <c r="AZ141" s="10">
        <v>301</v>
      </c>
      <c r="BA141" t="s">
        <v>5</v>
      </c>
      <c r="BB141" s="10">
        <v>4604.1441999999997</v>
      </c>
      <c r="BC141" s="4">
        <v>1385847.4042</v>
      </c>
    </row>
    <row r="142" spans="15:55" x14ac:dyDescent="0.35">
      <c r="O142" s="3">
        <v>15</v>
      </c>
      <c r="P142" t="s">
        <v>438</v>
      </c>
      <c r="Q142" t="s">
        <v>439</v>
      </c>
      <c r="R142" t="s">
        <v>182</v>
      </c>
      <c r="S142" s="10">
        <v>2</v>
      </c>
      <c r="T142" t="s">
        <v>20</v>
      </c>
      <c r="U142" s="10">
        <v>11046.529399999999</v>
      </c>
      <c r="V142" s="4">
        <v>22093.058799999999</v>
      </c>
      <c r="AW142" s="3" t="s">
        <v>147</v>
      </c>
      <c r="AX142" t="s">
        <v>148</v>
      </c>
      <c r="AY142" t="s">
        <v>123</v>
      </c>
      <c r="AZ142" s="10">
        <v>1.1000000000000001</v>
      </c>
      <c r="BA142" t="s">
        <v>5</v>
      </c>
      <c r="BB142" s="10">
        <v>14952.604799999999</v>
      </c>
      <c r="BC142" s="4">
        <v>16447.865280000002</v>
      </c>
    </row>
    <row r="143" spans="15:55" x14ac:dyDescent="0.35">
      <c r="O143" s="3">
        <v>16</v>
      </c>
      <c r="P143" t="s">
        <v>440</v>
      </c>
      <c r="Q143" t="s">
        <v>441</v>
      </c>
      <c r="R143" t="s">
        <v>182</v>
      </c>
      <c r="S143" s="10">
        <v>1</v>
      </c>
      <c r="T143" t="s">
        <v>20</v>
      </c>
      <c r="U143" s="10">
        <v>36939.68571428</v>
      </c>
      <c r="V143" s="4">
        <v>36939.685713999999</v>
      </c>
      <c r="AW143" s="3" t="s">
        <v>418</v>
      </c>
      <c r="AX143" t="s">
        <v>419</v>
      </c>
      <c r="AY143" t="s">
        <v>151</v>
      </c>
      <c r="AZ143" s="10">
        <v>3</v>
      </c>
      <c r="BA143" t="s">
        <v>420</v>
      </c>
      <c r="BB143" s="10">
        <v>5207.9854999999998</v>
      </c>
      <c r="BC143" s="4">
        <v>15623.9565</v>
      </c>
    </row>
    <row r="144" spans="15:55" x14ac:dyDescent="0.35">
      <c r="O144" s="3">
        <v>17</v>
      </c>
      <c r="P144" t="s">
        <v>383</v>
      </c>
      <c r="Q144" t="s">
        <v>384</v>
      </c>
      <c r="R144" t="s">
        <v>182</v>
      </c>
      <c r="S144" s="10">
        <v>1</v>
      </c>
      <c r="T144" t="s">
        <v>20</v>
      </c>
      <c r="U144" s="10">
        <v>15130.630624271844</v>
      </c>
      <c r="V144" s="4">
        <v>15130.630623999999</v>
      </c>
      <c r="AW144" s="3" t="s">
        <v>265</v>
      </c>
      <c r="AX144" t="s">
        <v>266</v>
      </c>
      <c r="AY144" t="s">
        <v>151</v>
      </c>
      <c r="AZ144" s="10">
        <v>1</v>
      </c>
      <c r="BA144" t="s">
        <v>267</v>
      </c>
      <c r="BB144" s="10">
        <v>30738.475428571437</v>
      </c>
      <c r="BC144" s="4">
        <v>30738.475428999998</v>
      </c>
    </row>
    <row r="145" spans="15:55" x14ac:dyDescent="0.35">
      <c r="O145" s="3">
        <v>18</v>
      </c>
      <c r="P145" t="s">
        <v>190</v>
      </c>
      <c r="Q145" t="s">
        <v>191</v>
      </c>
      <c r="R145" t="s">
        <v>192</v>
      </c>
      <c r="S145" s="10">
        <v>3</v>
      </c>
      <c r="T145" t="s">
        <v>20</v>
      </c>
      <c r="U145" s="10">
        <v>138088.24113714285</v>
      </c>
      <c r="V145" s="4">
        <v>414264.72341099998</v>
      </c>
      <c r="AW145" s="3" t="s">
        <v>421</v>
      </c>
      <c r="AX145" t="s">
        <v>422</v>
      </c>
      <c r="AY145" t="s">
        <v>151</v>
      </c>
      <c r="AZ145" s="10">
        <v>1</v>
      </c>
      <c r="BA145" t="s">
        <v>20</v>
      </c>
      <c r="BB145" s="10">
        <v>24500</v>
      </c>
      <c r="BC145" s="4">
        <v>24500</v>
      </c>
    </row>
    <row r="146" spans="15:55" x14ac:dyDescent="0.35">
      <c r="O146" s="3">
        <v>19</v>
      </c>
      <c r="P146" t="s">
        <v>442</v>
      </c>
      <c r="Q146" t="s">
        <v>443</v>
      </c>
      <c r="R146" t="s">
        <v>192</v>
      </c>
      <c r="S146">
        <v>4</v>
      </c>
      <c r="T146" t="s">
        <v>20</v>
      </c>
      <c r="U146">
        <v>18480</v>
      </c>
      <c r="V146" s="4">
        <v>73920</v>
      </c>
      <c r="AW146" s="3" t="s">
        <v>154</v>
      </c>
      <c r="AX146" t="s">
        <v>155</v>
      </c>
      <c r="AY146" t="s">
        <v>151</v>
      </c>
      <c r="AZ146" s="10">
        <v>35</v>
      </c>
      <c r="BA146" t="s">
        <v>20</v>
      </c>
      <c r="BB146" s="10">
        <v>973.31829047619101</v>
      </c>
      <c r="BC146" s="4">
        <v>34066.140166999998</v>
      </c>
    </row>
    <row r="147" spans="15:55" ht="15" thickBot="1" x14ac:dyDescent="0.4">
      <c r="O147" s="11" t="s">
        <v>223</v>
      </c>
      <c r="P147" s="12" t="s">
        <v>223</v>
      </c>
      <c r="Q147" s="12" t="s">
        <v>223</v>
      </c>
      <c r="R147" s="12" t="s">
        <v>223</v>
      </c>
      <c r="S147" s="12" t="s">
        <v>223</v>
      </c>
      <c r="T147" s="12" t="s">
        <v>223</v>
      </c>
      <c r="U147" s="12" t="s">
        <v>224</v>
      </c>
      <c r="V147" s="13">
        <v>1445322.7246639999</v>
      </c>
      <c r="AW147" s="3" t="s">
        <v>156</v>
      </c>
      <c r="AX147" t="s">
        <v>157</v>
      </c>
      <c r="AY147" t="s">
        <v>151</v>
      </c>
      <c r="AZ147" s="10">
        <v>45</v>
      </c>
      <c r="BA147" t="s">
        <v>20</v>
      </c>
      <c r="BB147" s="10">
        <v>2199.8654999999999</v>
      </c>
      <c r="BC147" s="4">
        <v>98993.947499999995</v>
      </c>
    </row>
    <row r="148" spans="15:55" ht="15.5" thickTop="1" thickBot="1" x14ac:dyDescent="0.4">
      <c r="AW148" s="3" t="s">
        <v>272</v>
      </c>
      <c r="AX148" t="s">
        <v>273</v>
      </c>
      <c r="AY148" t="s">
        <v>151</v>
      </c>
      <c r="AZ148" s="10">
        <v>1</v>
      </c>
      <c r="BA148" t="s">
        <v>5</v>
      </c>
      <c r="BB148" s="10">
        <v>2767</v>
      </c>
      <c r="BC148" s="4">
        <v>2767</v>
      </c>
    </row>
    <row r="149" spans="15:55" ht="15" thickTop="1" x14ac:dyDescent="0.35">
      <c r="O149" s="88" t="s">
        <v>0</v>
      </c>
      <c r="P149" s="89"/>
      <c r="Q149" s="89"/>
      <c r="R149" s="89"/>
      <c r="S149" s="89"/>
      <c r="T149" s="1"/>
      <c r="U149" s="1"/>
      <c r="V149" s="2"/>
      <c r="AW149" s="3" t="s">
        <v>423</v>
      </c>
      <c r="AX149" t="s">
        <v>424</v>
      </c>
      <c r="AY149" t="s">
        <v>151</v>
      </c>
      <c r="AZ149" s="10">
        <v>3</v>
      </c>
      <c r="BA149" t="s">
        <v>20</v>
      </c>
      <c r="BB149" s="10">
        <v>5902.8725999999997</v>
      </c>
      <c r="BC149" s="4">
        <v>17708.6178</v>
      </c>
    </row>
    <row r="150" spans="15:55" x14ac:dyDescent="0.35">
      <c r="O150" s="86" t="s">
        <v>1</v>
      </c>
      <c r="P150" s="87"/>
      <c r="Q150" s="87"/>
      <c r="R150" s="87"/>
      <c r="S150" s="87"/>
      <c r="V150" s="4"/>
      <c r="AW150" s="3" t="s">
        <v>161</v>
      </c>
      <c r="AX150" t="s">
        <v>162</v>
      </c>
      <c r="AY150" t="s">
        <v>151</v>
      </c>
      <c r="AZ150">
        <v>2</v>
      </c>
      <c r="BA150" t="s">
        <v>5</v>
      </c>
      <c r="BB150">
        <v>3733.34</v>
      </c>
      <c r="BC150" s="4">
        <v>7466.68</v>
      </c>
    </row>
    <row r="151" spans="15:55" x14ac:dyDescent="0.35">
      <c r="O151" s="3"/>
      <c r="V151" s="4"/>
      <c r="AW151" s="3" t="s">
        <v>284</v>
      </c>
      <c r="AX151" t="s">
        <v>285</v>
      </c>
      <c r="AY151" t="s">
        <v>165</v>
      </c>
      <c r="AZ151" s="10">
        <v>10</v>
      </c>
      <c r="BA151" t="s">
        <v>20</v>
      </c>
      <c r="BB151" s="10">
        <v>6905.6575182481756</v>
      </c>
      <c r="BC151" s="4">
        <v>69056.575182</v>
      </c>
    </row>
    <row r="152" spans="15:55" x14ac:dyDescent="0.35">
      <c r="O152" s="86" t="s">
        <v>10</v>
      </c>
      <c r="P152" s="87" t="s">
        <v>11</v>
      </c>
      <c r="Q152" t="s">
        <v>447</v>
      </c>
      <c r="V152" s="4"/>
      <c r="AW152" s="3" t="s">
        <v>329</v>
      </c>
      <c r="AX152" t="s">
        <v>330</v>
      </c>
      <c r="AY152" t="s">
        <v>165</v>
      </c>
      <c r="AZ152" s="10">
        <v>14</v>
      </c>
      <c r="BA152" t="s">
        <v>20</v>
      </c>
      <c r="BB152" s="10">
        <v>14740.575999999999</v>
      </c>
      <c r="BC152" s="4">
        <v>206368.06400000001</v>
      </c>
    </row>
    <row r="153" spans="15:55" x14ac:dyDescent="0.35">
      <c r="O153" s="86" t="s">
        <v>16</v>
      </c>
      <c r="P153" s="87" t="s">
        <v>11</v>
      </c>
      <c r="Q153" t="s">
        <v>17</v>
      </c>
      <c r="V153" s="4"/>
      <c r="AW153" s="3" t="s">
        <v>425</v>
      </c>
      <c r="AX153" t="s">
        <v>426</v>
      </c>
      <c r="AY153" t="s">
        <v>165</v>
      </c>
      <c r="AZ153" s="10">
        <v>1</v>
      </c>
      <c r="BA153" t="s">
        <v>20</v>
      </c>
      <c r="BB153" s="10">
        <v>15572.883333330001</v>
      </c>
      <c r="BC153" s="4">
        <v>15572.883333</v>
      </c>
    </row>
    <row r="154" spans="15:55" x14ac:dyDescent="0.35">
      <c r="O154" s="86" t="s">
        <v>21</v>
      </c>
      <c r="P154" s="87" t="s">
        <v>11</v>
      </c>
      <c r="Q154" t="s">
        <v>390</v>
      </c>
      <c r="V154" s="4"/>
      <c r="AW154" s="3" t="s">
        <v>427</v>
      </c>
      <c r="AX154" t="s">
        <v>428</v>
      </c>
      <c r="AY154" t="s">
        <v>165</v>
      </c>
      <c r="AZ154" s="10">
        <v>2</v>
      </c>
      <c r="BA154" t="s">
        <v>20</v>
      </c>
      <c r="BB154" s="10">
        <v>22602.166700000002</v>
      </c>
      <c r="BC154" s="4">
        <v>45204.333400000003</v>
      </c>
    </row>
    <row r="155" spans="15:55" x14ac:dyDescent="0.35">
      <c r="O155" s="86" t="s">
        <v>26</v>
      </c>
      <c r="P155" s="87" t="s">
        <v>11</v>
      </c>
      <c r="Q155" t="s">
        <v>448</v>
      </c>
      <c r="V155" s="4"/>
      <c r="AW155" s="3" t="s">
        <v>286</v>
      </c>
      <c r="AX155" t="s">
        <v>287</v>
      </c>
      <c r="AY155" t="s">
        <v>165</v>
      </c>
      <c r="AZ155" s="10">
        <v>4</v>
      </c>
      <c r="BA155" t="s">
        <v>20</v>
      </c>
      <c r="BB155" s="10">
        <v>42823.120199999998</v>
      </c>
      <c r="BC155" s="4">
        <v>171292.48079999999</v>
      </c>
    </row>
    <row r="156" spans="15:55" x14ac:dyDescent="0.35">
      <c r="O156" s="86" t="s">
        <v>31</v>
      </c>
      <c r="P156" s="87" t="s">
        <v>11</v>
      </c>
      <c r="Q156" t="s">
        <v>198</v>
      </c>
      <c r="V156" s="4"/>
      <c r="AW156" s="3" t="s">
        <v>173</v>
      </c>
      <c r="AX156" t="s">
        <v>174</v>
      </c>
      <c r="AY156" t="s">
        <v>165</v>
      </c>
      <c r="AZ156" s="10">
        <v>1</v>
      </c>
      <c r="BA156" t="s">
        <v>20</v>
      </c>
      <c r="BB156" s="10">
        <v>16724.9169</v>
      </c>
      <c r="BC156" s="4">
        <v>16724.9169</v>
      </c>
    </row>
    <row r="157" spans="15:55" x14ac:dyDescent="0.35">
      <c r="O157" s="86" t="s">
        <v>35</v>
      </c>
      <c r="P157" s="87" t="s">
        <v>11</v>
      </c>
      <c r="Q157" t="s">
        <v>449</v>
      </c>
      <c r="V157" s="4"/>
      <c r="AW157" s="3" t="s">
        <v>290</v>
      </c>
      <c r="AX157" t="s">
        <v>291</v>
      </c>
      <c r="AY157" t="s">
        <v>165</v>
      </c>
      <c r="AZ157" s="10">
        <v>1</v>
      </c>
      <c r="BA157" t="s">
        <v>20</v>
      </c>
      <c r="BB157" s="10">
        <v>14903.923100000002</v>
      </c>
      <c r="BC157" s="4">
        <v>14903.9231</v>
      </c>
    </row>
    <row r="158" spans="15:55" x14ac:dyDescent="0.35">
      <c r="O158" s="3"/>
      <c r="V158" s="4"/>
      <c r="AW158" s="3" t="s">
        <v>178</v>
      </c>
      <c r="AX158" t="s">
        <v>179</v>
      </c>
      <c r="AY158" t="s">
        <v>165</v>
      </c>
      <c r="AZ158" s="10">
        <v>3</v>
      </c>
      <c r="BA158" t="s">
        <v>20</v>
      </c>
      <c r="BB158" s="10">
        <v>10621.666666650639</v>
      </c>
      <c r="BC158" s="4">
        <v>31865</v>
      </c>
    </row>
    <row r="159" spans="15:55" x14ac:dyDescent="0.35">
      <c r="O159" s="3" t="s">
        <v>42</v>
      </c>
      <c r="P159" t="s">
        <v>43</v>
      </c>
      <c r="Q159" t="s">
        <v>44</v>
      </c>
      <c r="R159" t="s">
        <v>45</v>
      </c>
      <c r="S159" t="s">
        <v>46</v>
      </c>
      <c r="T159" t="s">
        <v>47</v>
      </c>
      <c r="U159" t="s">
        <v>48</v>
      </c>
      <c r="V159" s="4" t="s">
        <v>49</v>
      </c>
      <c r="AW159" s="3" t="s">
        <v>431</v>
      </c>
      <c r="AX159" t="s">
        <v>432</v>
      </c>
      <c r="AY159" t="s">
        <v>165</v>
      </c>
      <c r="AZ159" s="10">
        <v>4</v>
      </c>
      <c r="BA159" t="s">
        <v>20</v>
      </c>
      <c r="BB159" s="10">
        <v>26800</v>
      </c>
      <c r="BC159" s="4">
        <v>107200</v>
      </c>
    </row>
    <row r="160" spans="15:55" x14ac:dyDescent="0.35">
      <c r="O160" s="3">
        <v>1</v>
      </c>
      <c r="P160" t="s">
        <v>184</v>
      </c>
      <c r="Q160" t="s">
        <v>185</v>
      </c>
      <c r="R160" t="s">
        <v>182</v>
      </c>
      <c r="S160" s="10">
        <v>18</v>
      </c>
      <c r="T160" t="s">
        <v>20</v>
      </c>
      <c r="U160" s="10">
        <v>1570.2313999999999</v>
      </c>
      <c r="V160" s="4">
        <v>28264.165199999999</v>
      </c>
      <c r="AW160" s="3" t="s">
        <v>433</v>
      </c>
      <c r="AX160" t="s">
        <v>434</v>
      </c>
      <c r="AY160" t="s">
        <v>165</v>
      </c>
      <c r="AZ160" s="10">
        <v>10</v>
      </c>
      <c r="BA160" t="s">
        <v>20</v>
      </c>
      <c r="BB160" s="10">
        <v>3982.280000000002</v>
      </c>
      <c r="BC160" s="4">
        <v>39822.800000000003</v>
      </c>
    </row>
    <row r="161" spans="15:55" x14ac:dyDescent="0.35">
      <c r="O161" s="3">
        <v>2</v>
      </c>
      <c r="P161" t="s">
        <v>190</v>
      </c>
      <c r="Q161" t="s">
        <v>191</v>
      </c>
      <c r="R161" t="s">
        <v>192</v>
      </c>
      <c r="S161">
        <v>4</v>
      </c>
      <c r="T161" t="s">
        <v>20</v>
      </c>
      <c r="U161">
        <v>138088.24113714285</v>
      </c>
      <c r="V161" s="4">
        <v>552352.96454900003</v>
      </c>
      <c r="AW161" s="3" t="s">
        <v>294</v>
      </c>
      <c r="AX161" t="s">
        <v>295</v>
      </c>
      <c r="AY161" t="s">
        <v>165</v>
      </c>
      <c r="AZ161" s="10">
        <v>4</v>
      </c>
      <c r="BA161" t="s">
        <v>20</v>
      </c>
      <c r="BB161" s="10">
        <v>16712.906800000001</v>
      </c>
      <c r="BC161" s="4">
        <v>66851.627200000003</v>
      </c>
    </row>
    <row r="162" spans="15:55" ht="15" thickBot="1" x14ac:dyDescent="0.4">
      <c r="O162" s="11" t="s">
        <v>223</v>
      </c>
      <c r="P162" s="12" t="s">
        <v>223</v>
      </c>
      <c r="Q162" s="12" t="s">
        <v>223</v>
      </c>
      <c r="R162" s="12" t="s">
        <v>223</v>
      </c>
      <c r="S162" s="12" t="s">
        <v>223</v>
      </c>
      <c r="T162" s="12" t="s">
        <v>223</v>
      </c>
      <c r="U162" s="12" t="s">
        <v>224</v>
      </c>
      <c r="V162" s="13">
        <v>580617.12974900007</v>
      </c>
      <c r="AW162" s="3" t="s">
        <v>436</v>
      </c>
      <c r="AX162" t="s">
        <v>437</v>
      </c>
      <c r="AY162" t="s">
        <v>165</v>
      </c>
      <c r="AZ162" s="10">
        <v>2</v>
      </c>
      <c r="BA162" t="s">
        <v>5</v>
      </c>
      <c r="BB162" s="10">
        <v>6000</v>
      </c>
      <c r="BC162" s="4">
        <v>12000</v>
      </c>
    </row>
    <row r="163" spans="15:55" ht="15" thickTop="1" x14ac:dyDescent="0.35">
      <c r="AW163" s="3" t="s">
        <v>184</v>
      </c>
      <c r="AX163" t="s">
        <v>185</v>
      </c>
      <c r="AY163" t="s">
        <v>182</v>
      </c>
      <c r="AZ163" s="10">
        <v>3</v>
      </c>
      <c r="BA163" t="s">
        <v>20</v>
      </c>
      <c r="BB163" s="10">
        <v>1570.2313999999999</v>
      </c>
      <c r="BC163" s="4">
        <v>4710.6941999999999</v>
      </c>
    </row>
    <row r="164" spans="15:55" x14ac:dyDescent="0.35">
      <c r="AW164" s="3" t="s">
        <v>187</v>
      </c>
      <c r="AX164" t="s">
        <v>188</v>
      </c>
      <c r="AY164" t="s">
        <v>182</v>
      </c>
      <c r="AZ164" s="10">
        <v>24</v>
      </c>
      <c r="BA164" t="s">
        <v>20</v>
      </c>
      <c r="BB164" s="10">
        <v>3391.7220000000002</v>
      </c>
      <c r="BC164" s="4">
        <v>81401.327999999994</v>
      </c>
    </row>
    <row r="165" spans="15:55" x14ac:dyDescent="0.35">
      <c r="AW165" s="3" t="s">
        <v>438</v>
      </c>
      <c r="AX165" t="s">
        <v>439</v>
      </c>
      <c r="AY165" t="s">
        <v>182</v>
      </c>
      <c r="AZ165" s="10">
        <v>2</v>
      </c>
      <c r="BA165" t="s">
        <v>20</v>
      </c>
      <c r="BB165" s="10">
        <v>11046.529399999999</v>
      </c>
      <c r="BC165" s="4">
        <v>22093.058799999999</v>
      </c>
    </row>
    <row r="166" spans="15:55" x14ac:dyDescent="0.35">
      <c r="AW166" s="3" t="s">
        <v>440</v>
      </c>
      <c r="AX166" t="s">
        <v>441</v>
      </c>
      <c r="AY166" t="s">
        <v>182</v>
      </c>
      <c r="AZ166" s="10">
        <v>1</v>
      </c>
      <c r="BA166" t="s">
        <v>20</v>
      </c>
      <c r="BB166" s="10">
        <v>36939.68571428</v>
      </c>
      <c r="BC166" s="4">
        <v>36939.685713999999</v>
      </c>
    </row>
    <row r="167" spans="15:55" x14ac:dyDescent="0.35">
      <c r="AW167" s="3" t="s">
        <v>383</v>
      </c>
      <c r="AX167" t="s">
        <v>384</v>
      </c>
      <c r="AY167" t="s">
        <v>182</v>
      </c>
      <c r="AZ167" s="10">
        <v>1</v>
      </c>
      <c r="BA167" t="s">
        <v>20</v>
      </c>
      <c r="BB167" s="10">
        <v>15130.630624271844</v>
      </c>
      <c r="BC167" s="4">
        <v>15130.630623999999</v>
      </c>
    </row>
    <row r="168" spans="15:55" x14ac:dyDescent="0.35">
      <c r="AW168" s="3" t="s">
        <v>190</v>
      </c>
      <c r="AX168" t="s">
        <v>191</v>
      </c>
      <c r="AY168" t="s">
        <v>192</v>
      </c>
      <c r="AZ168" s="10">
        <v>3</v>
      </c>
      <c r="BA168" t="s">
        <v>20</v>
      </c>
      <c r="BB168" s="10">
        <v>138088.24113714285</v>
      </c>
      <c r="BC168" s="4">
        <v>414264.72341099998</v>
      </c>
    </row>
    <row r="169" spans="15:55" x14ac:dyDescent="0.35">
      <c r="AW169" s="3" t="s">
        <v>442</v>
      </c>
      <c r="AX169" t="s">
        <v>443</v>
      </c>
      <c r="AY169" t="s">
        <v>192</v>
      </c>
      <c r="AZ169">
        <v>4</v>
      </c>
      <c r="BA169" t="s">
        <v>20</v>
      </c>
      <c r="BB169">
        <v>18480</v>
      </c>
      <c r="BC169" s="4">
        <v>73920</v>
      </c>
    </row>
    <row r="170" spans="15:55" x14ac:dyDescent="0.35">
      <c r="AW170" s="3" t="s">
        <v>184</v>
      </c>
      <c r="AX170" t="s">
        <v>185</v>
      </c>
      <c r="AY170" t="s">
        <v>182</v>
      </c>
      <c r="AZ170" s="10">
        <v>18</v>
      </c>
      <c r="BA170" t="s">
        <v>20</v>
      </c>
      <c r="BB170" s="10">
        <v>1570.2313999999999</v>
      </c>
      <c r="BC170" s="4">
        <v>28264.165199999999</v>
      </c>
    </row>
    <row r="171" spans="15:55" ht="15" thickBot="1" x14ac:dyDescent="0.4">
      <c r="AW171" s="11" t="s">
        <v>190</v>
      </c>
      <c r="AX171" s="12" t="s">
        <v>191</v>
      </c>
      <c r="AY171" s="12" t="s">
        <v>192</v>
      </c>
      <c r="AZ171" s="12">
        <v>4</v>
      </c>
      <c r="BA171" s="12" t="s">
        <v>20</v>
      </c>
      <c r="BB171" s="12">
        <v>138088.24113714285</v>
      </c>
      <c r="BC171" s="13">
        <v>552352.96454900003</v>
      </c>
    </row>
    <row r="172" spans="15:55" ht="15" thickTop="1" x14ac:dyDescent="0.35"/>
  </sheetData>
  <mergeCells count="72">
    <mergeCell ref="O15:P15"/>
    <mergeCell ref="O9:S9"/>
    <mergeCell ref="O10:S10"/>
    <mergeCell ref="O12:P12"/>
    <mergeCell ref="O13:P13"/>
    <mergeCell ref="O14:P14"/>
    <mergeCell ref="O16:P16"/>
    <mergeCell ref="O17:P17"/>
    <mergeCell ref="O48:S48"/>
    <mergeCell ref="O49:S49"/>
    <mergeCell ref="O51:P51"/>
    <mergeCell ref="AF15:AG15"/>
    <mergeCell ref="O124:P124"/>
    <mergeCell ref="O125:P125"/>
    <mergeCell ref="O149:S149"/>
    <mergeCell ref="O150:S150"/>
    <mergeCell ref="O117:S117"/>
    <mergeCell ref="O118:S118"/>
    <mergeCell ref="O120:P120"/>
    <mergeCell ref="O121:P121"/>
    <mergeCell ref="O122:P122"/>
    <mergeCell ref="O123:P123"/>
    <mergeCell ref="O84:P84"/>
    <mergeCell ref="O85:P85"/>
    <mergeCell ref="O86:P86"/>
    <mergeCell ref="O87:P87"/>
    <mergeCell ref="O88:P88"/>
    <mergeCell ref="AF9:AJ9"/>
    <mergeCell ref="AF10:AJ10"/>
    <mergeCell ref="AF12:AG12"/>
    <mergeCell ref="AF13:AG13"/>
    <mergeCell ref="AF14:AG14"/>
    <mergeCell ref="AF42:AG42"/>
    <mergeCell ref="O154:P154"/>
    <mergeCell ref="O155:P155"/>
    <mergeCell ref="O156:P156"/>
    <mergeCell ref="O157:P157"/>
    <mergeCell ref="O152:P152"/>
    <mergeCell ref="O153:P153"/>
    <mergeCell ref="O89:P89"/>
    <mergeCell ref="O53:P53"/>
    <mergeCell ref="O54:P54"/>
    <mergeCell ref="O55:P55"/>
    <mergeCell ref="O56:P56"/>
    <mergeCell ref="O81:S81"/>
    <mergeCell ref="O82:S82"/>
    <mergeCell ref="O52:P52"/>
    <mergeCell ref="AF84:AG84"/>
    <mergeCell ref="AF16:AG16"/>
    <mergeCell ref="AF17:AG17"/>
    <mergeCell ref="AF38:AJ38"/>
    <mergeCell ref="AF39:AJ39"/>
    <mergeCell ref="AF41:AG41"/>
    <mergeCell ref="AF43:AG43"/>
    <mergeCell ref="AF44:AG44"/>
    <mergeCell ref="AF45:AG45"/>
    <mergeCell ref="AF46:AG46"/>
    <mergeCell ref="AF76:AJ76"/>
    <mergeCell ref="AF77:AJ77"/>
    <mergeCell ref="AF79:AG79"/>
    <mergeCell ref="AF80:AG80"/>
    <mergeCell ref="AF81:AG81"/>
    <mergeCell ref="AF82:AG82"/>
    <mergeCell ref="AF83:AG83"/>
    <mergeCell ref="AF107:AG107"/>
    <mergeCell ref="AF108:AG108"/>
    <mergeCell ref="AF100:AJ100"/>
    <mergeCell ref="AF101:AJ101"/>
    <mergeCell ref="AF103:AG103"/>
    <mergeCell ref="AF104:AG104"/>
    <mergeCell ref="AF105:AG105"/>
    <mergeCell ref="AF106:AG106"/>
  </mergeCells>
  <conditionalFormatting sqref="J13:J123">
    <cfRule type="containsText" dxfId="50" priority="8" operator="containsText" text="KENAIKAN IU">
      <formula>NOT(ISERROR(SEARCH("KENAIKAN IU",J13)))</formula>
    </cfRule>
    <cfRule type="containsText" dxfId="49" priority="9" operator="containsText" text="TIDAK ADA PERUBAHAN">
      <formula>NOT(ISERROR(SEARCH("TIDAK ADA PERUBAHAN",J13)))</formula>
    </cfRule>
    <cfRule type="containsText" dxfId="48" priority="10" operator="containsText" text="PENURUNAN IU">
      <formula>NOT(ISERROR(SEARCH("PENURUNAN IU",J13)))</formula>
    </cfRule>
  </conditionalFormatting>
  <conditionalFormatting sqref="A13:I13 E14:E123 I14:I123">
    <cfRule type="expression" dxfId="47" priority="7">
      <formula>CELL("row")=ROW()</formula>
    </cfRule>
  </conditionalFormatting>
  <conditionalFormatting sqref="A13:I123">
    <cfRule type="expression" dxfId="46" priority="6">
      <formula>CELL("row")=ROW()</formula>
    </cfRule>
  </conditionalFormatting>
  <conditionalFormatting sqref="K13">
    <cfRule type="expression" dxfId="45" priority="5">
      <formula>CELL("row")=ROW()</formula>
    </cfRule>
  </conditionalFormatting>
  <conditionalFormatting sqref="K13:K123">
    <cfRule type="expression" dxfId="44" priority="4">
      <formula>CELL("row")=ROW()</formula>
    </cfRule>
  </conditionalFormatting>
  <conditionalFormatting sqref="H13:H1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5:F9">
    <cfRule type="expression" dxfId="43" priority="2">
      <formula>CELL("row")=ROW()</formula>
    </cfRule>
  </conditionalFormatting>
  <conditionalFormatting sqref="H5:J9">
    <cfRule type="expression" dxfId="4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435E5-AEFE-4EFB-ACB7-D997BC285E61}">
  <sheetPr codeName="Sheet4"/>
  <dimension ref="A1:BC219"/>
  <sheetViews>
    <sheetView showGridLines="0" zoomScale="60" zoomScaleNormal="60" workbookViewId="0">
      <selection activeCell="K16" sqref="K16"/>
    </sheetView>
  </sheetViews>
  <sheetFormatPr defaultRowHeight="14.5" x14ac:dyDescent="0.35"/>
  <cols>
    <col min="1" max="1" width="16.7265625" bestFit="1" customWidth="1"/>
    <col min="2" max="2" width="68.08984375" bestFit="1" customWidth="1"/>
    <col min="3" max="3" width="40.81640625" bestFit="1" customWidth="1"/>
    <col min="4" max="4" width="7.6328125" bestFit="1" customWidth="1"/>
    <col min="5" max="5" width="17.6328125" bestFit="1" customWidth="1"/>
    <col min="6" max="6" width="13.54296875" bestFit="1" customWidth="1"/>
    <col min="7" max="7" width="19.453125" bestFit="1" customWidth="1"/>
    <col min="8" max="8" width="11.26953125" bestFit="1" customWidth="1"/>
    <col min="9" max="9" width="21.453125" bestFit="1" customWidth="1"/>
    <col min="10" max="10" width="27.1796875" bestFit="1" customWidth="1"/>
    <col min="11" max="11" width="38" customWidth="1"/>
    <col min="25" max="25" width="68.08984375" bestFit="1" customWidth="1"/>
    <col min="42" max="42" width="67.1796875" bestFit="1" customWidth="1"/>
    <col min="46" max="46" width="11.453125" bestFit="1" customWidth="1"/>
  </cols>
  <sheetData>
    <row r="1" spans="1:55" ht="15" thickBot="1" x14ac:dyDescent="0.4"/>
    <row r="2" spans="1:55" ht="15.5" thickTop="1" thickBot="1" x14ac:dyDescent="0.4">
      <c r="O2" s="88" t="s">
        <v>0</v>
      </c>
      <c r="P2" s="89"/>
      <c r="Q2" s="89"/>
      <c r="R2" s="89"/>
      <c r="S2" s="89"/>
      <c r="T2" s="1"/>
      <c r="U2" s="1"/>
      <c r="V2" s="2"/>
      <c r="AF2" s="84" t="s">
        <v>0</v>
      </c>
      <c r="AG2" s="85"/>
      <c r="AH2" s="85"/>
      <c r="AI2" s="85"/>
      <c r="AJ2" s="85"/>
      <c r="AK2" s="16"/>
      <c r="AL2" s="16"/>
      <c r="AM2" s="17"/>
      <c r="AO2" s="25" t="s">
        <v>2</v>
      </c>
      <c r="AP2" s="16" t="s">
        <v>3</v>
      </c>
      <c r="AQ2" s="16" t="s">
        <v>4</v>
      </c>
      <c r="AR2" s="26">
        <v>6</v>
      </c>
      <c r="AS2" s="16" t="s">
        <v>5</v>
      </c>
      <c r="AT2" s="26">
        <v>17106.462599999999</v>
      </c>
      <c r="AU2" s="17">
        <v>102638.77559999999</v>
      </c>
      <c r="AW2" s="25" t="s">
        <v>2</v>
      </c>
      <c r="AX2" s="16" t="s">
        <v>3</v>
      </c>
      <c r="AY2" s="16" t="s">
        <v>4</v>
      </c>
      <c r="AZ2" s="26">
        <v>6</v>
      </c>
      <c r="BA2" s="16" t="s">
        <v>5</v>
      </c>
      <c r="BB2" s="26">
        <v>17106.462599999999</v>
      </c>
      <c r="BC2" s="17">
        <v>102638.77559999999</v>
      </c>
    </row>
    <row r="3" spans="1:55" ht="21.5" thickTop="1" x14ac:dyDescent="0.5">
      <c r="B3" s="14" t="s">
        <v>842</v>
      </c>
      <c r="O3" s="86" t="s">
        <v>1</v>
      </c>
      <c r="P3" s="87"/>
      <c r="Q3" s="87"/>
      <c r="R3" s="87"/>
      <c r="S3" s="87"/>
      <c r="V3" s="4"/>
      <c r="X3" s="7" t="s">
        <v>217</v>
      </c>
      <c r="Y3" s="1" t="s">
        <v>218</v>
      </c>
      <c r="Z3" s="1" t="s">
        <v>4</v>
      </c>
      <c r="AA3" s="8">
        <v>0.56999999999999995</v>
      </c>
      <c r="AB3" s="1" t="s">
        <v>9</v>
      </c>
      <c r="AC3" s="8">
        <v>55300</v>
      </c>
      <c r="AD3" s="2">
        <v>31521</v>
      </c>
      <c r="AF3" s="82" t="s">
        <v>1</v>
      </c>
      <c r="AG3" s="83"/>
      <c r="AH3" s="83"/>
      <c r="AI3" s="83"/>
      <c r="AJ3" s="83"/>
      <c r="AK3" s="18"/>
      <c r="AL3" s="18"/>
      <c r="AM3" s="19"/>
      <c r="AO3" s="20" t="s">
        <v>217</v>
      </c>
      <c r="AP3" s="18" t="s">
        <v>218</v>
      </c>
      <c r="AQ3" s="18" t="s">
        <v>4</v>
      </c>
      <c r="AR3" s="21">
        <v>0.89</v>
      </c>
      <c r="AS3" s="18" t="s">
        <v>9</v>
      </c>
      <c r="AT3" s="21">
        <v>55300</v>
      </c>
      <c r="AU3" s="19">
        <v>49217</v>
      </c>
      <c r="AW3" s="20" t="s">
        <v>217</v>
      </c>
      <c r="AX3" s="18" t="s">
        <v>218</v>
      </c>
      <c r="AY3" s="18" t="s">
        <v>4</v>
      </c>
      <c r="AZ3" s="21">
        <v>0.89</v>
      </c>
      <c r="BA3" s="18" t="s">
        <v>9</v>
      </c>
      <c r="BB3" s="21">
        <v>55300</v>
      </c>
      <c r="BC3" s="19">
        <v>49217</v>
      </c>
    </row>
    <row r="4" spans="1:55" ht="15" thickBot="1" x14ac:dyDescent="0.4">
      <c r="O4" s="3"/>
      <c r="V4" s="4"/>
      <c r="X4" s="3" t="s">
        <v>18</v>
      </c>
      <c r="Y4" t="s">
        <v>19</v>
      </c>
      <c r="Z4" t="s">
        <v>4</v>
      </c>
      <c r="AA4" s="10">
        <v>0.3</v>
      </c>
      <c r="AB4" t="s">
        <v>20</v>
      </c>
      <c r="AC4" s="10">
        <v>151400</v>
      </c>
      <c r="AD4" s="4">
        <v>45420</v>
      </c>
      <c r="AF4" s="20"/>
      <c r="AG4" s="18"/>
      <c r="AH4" s="18"/>
      <c r="AI4" s="18"/>
      <c r="AJ4" s="18"/>
      <c r="AK4" s="18"/>
      <c r="AL4" s="18"/>
      <c r="AM4" s="19"/>
      <c r="AO4" s="20" t="s">
        <v>403</v>
      </c>
      <c r="AP4" s="18" t="s">
        <v>404</v>
      </c>
      <c r="AQ4" s="18" t="s">
        <v>4</v>
      </c>
      <c r="AR4" s="21">
        <v>0.01</v>
      </c>
      <c r="AS4" s="18" t="s">
        <v>9</v>
      </c>
      <c r="AT4" s="21">
        <v>70700</v>
      </c>
      <c r="AU4" s="19">
        <v>707</v>
      </c>
      <c r="AW4" s="20" t="s">
        <v>403</v>
      </c>
      <c r="AX4" s="18" t="s">
        <v>404</v>
      </c>
      <c r="AY4" s="18" t="s">
        <v>4</v>
      </c>
      <c r="AZ4" s="21">
        <v>0.01</v>
      </c>
      <c r="BA4" s="18" t="s">
        <v>9</v>
      </c>
      <c r="BB4" s="21">
        <v>70700</v>
      </c>
      <c r="BC4" s="19">
        <v>707</v>
      </c>
    </row>
    <row r="5" spans="1:55" ht="15" thickTop="1" x14ac:dyDescent="0.35">
      <c r="A5" s="74" t="s">
        <v>200</v>
      </c>
      <c r="B5" s="75" t="s">
        <v>201</v>
      </c>
      <c r="C5" s="75" t="s">
        <v>202</v>
      </c>
      <c r="D5" s="75" t="s">
        <v>203</v>
      </c>
      <c r="E5" s="75" t="s">
        <v>204</v>
      </c>
      <c r="F5" s="73" t="s">
        <v>822</v>
      </c>
      <c r="G5" s="73" t="s">
        <v>470</v>
      </c>
      <c r="H5" s="73" t="s">
        <v>207</v>
      </c>
      <c r="I5" s="75" t="s">
        <v>208</v>
      </c>
      <c r="J5" s="75" t="s">
        <v>209</v>
      </c>
      <c r="K5" s="77" t="s">
        <v>862</v>
      </c>
      <c r="O5" s="86" t="s">
        <v>10</v>
      </c>
      <c r="P5" s="87" t="s">
        <v>11</v>
      </c>
      <c r="Q5" t="s">
        <v>481</v>
      </c>
      <c r="V5" s="4"/>
      <c r="X5" s="3" t="s">
        <v>219</v>
      </c>
      <c r="Y5" t="s">
        <v>220</v>
      </c>
      <c r="Z5" t="s">
        <v>4</v>
      </c>
      <c r="AA5" s="10">
        <v>0.04</v>
      </c>
      <c r="AB5" t="s">
        <v>25</v>
      </c>
      <c r="AC5" s="10">
        <v>79237</v>
      </c>
      <c r="AD5" s="4">
        <v>3169.48</v>
      </c>
      <c r="AF5" s="82" t="s">
        <v>10</v>
      </c>
      <c r="AG5" s="83" t="s">
        <v>11</v>
      </c>
      <c r="AH5" s="18" t="s">
        <v>932</v>
      </c>
      <c r="AI5" s="18"/>
      <c r="AJ5" s="18"/>
      <c r="AK5" s="18"/>
      <c r="AL5" s="18"/>
      <c r="AM5" s="19"/>
      <c r="AO5" s="20" t="s">
        <v>13</v>
      </c>
      <c r="AP5" s="18" t="s">
        <v>14</v>
      </c>
      <c r="AQ5" s="18" t="s">
        <v>4</v>
      </c>
      <c r="AR5" s="21">
        <v>0.27</v>
      </c>
      <c r="AS5" s="18" t="s">
        <v>15</v>
      </c>
      <c r="AT5" s="21">
        <v>77700</v>
      </c>
      <c r="AU5" s="19">
        <v>20979</v>
      </c>
      <c r="AW5" s="20" t="s">
        <v>13</v>
      </c>
      <c r="AX5" s="18" t="s">
        <v>14</v>
      </c>
      <c r="AY5" s="18" t="s">
        <v>4</v>
      </c>
      <c r="AZ5" s="21">
        <v>0.27</v>
      </c>
      <c r="BA5" s="18" t="s">
        <v>15</v>
      </c>
      <c r="BB5" s="21">
        <v>77700</v>
      </c>
      <c r="BC5" s="19">
        <v>20979</v>
      </c>
    </row>
    <row r="6" spans="1:55" x14ac:dyDescent="0.35">
      <c r="A6" s="38" t="str" cm="1">
        <f t="array" ref="A6:A137">_xlfn.UNIQUE(_xlfn._xlws.FILTER(AW2:AW500, AW2:AW500 &lt;&gt; ""))</f>
        <v>CECM00013</v>
      </c>
      <c r="B6" s="31" t="str">
        <f>_xlfn.XLOOKUP(A6, AW$2:AW$500, AX$2:AX$500, "", 0)</f>
        <v>DAIA 800 GR</v>
      </c>
      <c r="C6" s="31" t="str">
        <f>_xlfn.XLOOKUP(A6, AW$2:AW$500, AY$2:AY$500, "", 0)</f>
        <v>CLEANING CHEMICAL</v>
      </c>
      <c r="D6" s="31" t="str">
        <f>_xlfn.XLOOKUP(A6, AW$2:AW$500, BA$2:BA$500, "", 0)</f>
        <v>pack</v>
      </c>
      <c r="E6" s="40">
        <f>_xlfn.XLOOKUP(A6, AW$2:AW$500, BB$2:BB$500, "", 0)</f>
        <v>17106.462599999999</v>
      </c>
      <c r="F6" s="48">
        <f>_xlfn.XLOOKUP(A6, X$3:X$500, AA$3:AA$500, "0", 0)</f>
        <v>6</v>
      </c>
      <c r="G6" s="48">
        <f>_xlfn.XLOOKUP(A6, AO$2:AO$500, AR$2:AR$500, "0", 0)</f>
        <v>6</v>
      </c>
      <c r="H6" s="48">
        <f>G6-F6</f>
        <v>0</v>
      </c>
      <c r="I6" s="40">
        <f>H6*E6</f>
        <v>0</v>
      </c>
      <c r="J6" s="39" t="str">
        <f>CHOOSE(SIGN(G6 - F6) + 2, "Penurunan IU", "Tidak Ada Perubahan", "Kenaikan IU")</f>
        <v>Tidak Ada Perubahan</v>
      </c>
      <c r="K6" s="81" t="s">
        <v>1259</v>
      </c>
      <c r="O6" s="86" t="s">
        <v>16</v>
      </c>
      <c r="P6" s="87" t="s">
        <v>11</v>
      </c>
      <c r="Q6" t="s">
        <v>17</v>
      </c>
      <c r="V6" s="4"/>
      <c r="X6" s="3" t="s">
        <v>57</v>
      </c>
      <c r="Y6" t="s">
        <v>58</v>
      </c>
      <c r="Z6" t="s">
        <v>41</v>
      </c>
      <c r="AA6">
        <v>5</v>
      </c>
      <c r="AB6" t="s">
        <v>5</v>
      </c>
      <c r="AC6">
        <v>7699.2201999999997</v>
      </c>
      <c r="AD6" s="4">
        <v>38496.101000000002</v>
      </c>
      <c r="AF6" s="82" t="s">
        <v>16</v>
      </c>
      <c r="AG6" s="83" t="s">
        <v>11</v>
      </c>
      <c r="AH6" s="18" t="s">
        <v>211</v>
      </c>
      <c r="AI6" s="18"/>
      <c r="AJ6" s="18"/>
      <c r="AK6" s="18"/>
      <c r="AL6" s="18"/>
      <c r="AM6" s="19"/>
      <c r="AO6" s="20" t="s">
        <v>18</v>
      </c>
      <c r="AP6" s="18" t="s">
        <v>19</v>
      </c>
      <c r="AQ6" s="18" t="s">
        <v>4</v>
      </c>
      <c r="AR6" s="21">
        <v>0.7</v>
      </c>
      <c r="AS6" s="18" t="s">
        <v>20</v>
      </c>
      <c r="AT6" s="21">
        <v>151400</v>
      </c>
      <c r="AU6" s="19">
        <v>105980</v>
      </c>
      <c r="AW6" s="20" t="s">
        <v>18</v>
      </c>
      <c r="AX6" s="18" t="s">
        <v>19</v>
      </c>
      <c r="AY6" s="18" t="s">
        <v>4</v>
      </c>
      <c r="AZ6" s="21">
        <v>0.7</v>
      </c>
      <c r="BA6" s="18" t="s">
        <v>20</v>
      </c>
      <c r="BB6" s="21">
        <v>151400</v>
      </c>
      <c r="BC6" s="19">
        <v>105980</v>
      </c>
    </row>
    <row r="7" spans="1:55" x14ac:dyDescent="0.35">
      <c r="A7" s="38" t="str">
        <v>CECM0005</v>
      </c>
      <c r="B7" s="31" t="str">
        <f t="shared" ref="B7:B70" si="0">_xlfn.XLOOKUP(A7, AW$2:AW$500, AX$2:AX$500, "", 0)</f>
        <v>XYZ GLASS CLEANER 5 LTR</v>
      </c>
      <c r="C7" s="31" t="str">
        <f t="shared" ref="C7:C70" si="1">_xlfn.XLOOKUP(A7, AW$2:AW$500, AY$2:AY$500, "", 0)</f>
        <v>CLEANING CHEMICAL</v>
      </c>
      <c r="D7" s="31" t="str">
        <f t="shared" ref="D7:D70" si="2">_xlfn.XLOOKUP(A7, AW$2:AW$500, BA$2:BA$500, "", 0)</f>
        <v>gln</v>
      </c>
      <c r="E7" s="40">
        <f t="shared" ref="E7:E70" si="3">_xlfn.XLOOKUP(A7, AW$2:AW$500, BB$2:BB$500, "", 0)</f>
        <v>55300</v>
      </c>
      <c r="F7" s="48">
        <f t="shared" ref="F7:F70" si="4">_xlfn.XLOOKUP(A7, X$3:X$500, AA$3:AA$500, "0", 0)</f>
        <v>0.56999999999999995</v>
      </c>
      <c r="G7" s="48">
        <f t="shared" ref="G7:G70" si="5">_xlfn.XLOOKUP(A7, AO$2:AO$500, AR$2:AR$500, "0", 0)</f>
        <v>0.89</v>
      </c>
      <c r="H7" s="48">
        <f t="shared" ref="H7:H70" si="6">G7-F7</f>
        <v>0.32000000000000006</v>
      </c>
      <c r="I7" s="40">
        <f t="shared" ref="I7:I70" si="7">H7*E7</f>
        <v>17696.000000000004</v>
      </c>
      <c r="J7" s="39" t="str">
        <f t="shared" ref="J7:J70" si="8">CHOOSE(SIGN(G7 - F7) + 2, "Penurunan IU", "Tidak Ada Perubahan", "Kenaikan IU")</f>
        <v>Kenaikan IU</v>
      </c>
      <c r="K7" s="81" t="s">
        <v>1259</v>
      </c>
      <c r="O7" s="86" t="s">
        <v>21</v>
      </c>
      <c r="P7" s="87" t="s">
        <v>11</v>
      </c>
      <c r="Q7" t="s">
        <v>482</v>
      </c>
      <c r="V7" s="4"/>
      <c r="X7" s="3" t="s">
        <v>414</v>
      </c>
      <c r="Y7" t="s">
        <v>415</v>
      </c>
      <c r="Z7" t="s">
        <v>120</v>
      </c>
      <c r="AA7">
        <v>1</v>
      </c>
      <c r="AB7" t="s">
        <v>20</v>
      </c>
      <c r="AC7">
        <v>85000</v>
      </c>
      <c r="AD7" s="4">
        <v>85000</v>
      </c>
      <c r="AF7" s="82" t="s">
        <v>21</v>
      </c>
      <c r="AG7" s="83" t="s">
        <v>11</v>
      </c>
      <c r="AH7" s="18" t="s">
        <v>482</v>
      </c>
      <c r="AI7" s="18"/>
      <c r="AJ7" s="18"/>
      <c r="AK7" s="18"/>
      <c r="AL7" s="18"/>
      <c r="AM7" s="19"/>
      <c r="AO7" s="20" t="s">
        <v>219</v>
      </c>
      <c r="AP7" s="18" t="s">
        <v>220</v>
      </c>
      <c r="AQ7" s="18" t="s">
        <v>4</v>
      </c>
      <c r="AR7" s="21">
        <v>3.24</v>
      </c>
      <c r="AS7" s="18" t="s">
        <v>25</v>
      </c>
      <c r="AT7" s="21">
        <v>79237</v>
      </c>
      <c r="AU7" s="19">
        <v>256727.88</v>
      </c>
      <c r="AW7" s="20" t="s">
        <v>219</v>
      </c>
      <c r="AX7" s="18" t="s">
        <v>220</v>
      </c>
      <c r="AY7" s="18" t="s">
        <v>4</v>
      </c>
      <c r="AZ7" s="21">
        <v>3.24</v>
      </c>
      <c r="BA7" s="18" t="s">
        <v>25</v>
      </c>
      <c r="BB7" s="21">
        <v>79237</v>
      </c>
      <c r="BC7" s="19">
        <v>256727.88</v>
      </c>
    </row>
    <row r="8" spans="1:55" x14ac:dyDescent="0.35">
      <c r="A8" s="38" t="str">
        <v>CECM0007</v>
      </c>
      <c r="B8" s="31" t="str">
        <f t="shared" si="0"/>
        <v>XYZ DISINFEKTAN 5 LTR</v>
      </c>
      <c r="C8" s="31" t="str">
        <f t="shared" si="1"/>
        <v>CLEANING CHEMICAL</v>
      </c>
      <c r="D8" s="31" t="str">
        <f t="shared" si="2"/>
        <v>gln</v>
      </c>
      <c r="E8" s="40">
        <f t="shared" si="3"/>
        <v>70700</v>
      </c>
      <c r="F8" s="48" t="str">
        <f t="shared" si="4"/>
        <v>0</v>
      </c>
      <c r="G8" s="48">
        <f t="shared" si="5"/>
        <v>0.01</v>
      </c>
      <c r="H8" s="48">
        <f t="shared" si="6"/>
        <v>0.01</v>
      </c>
      <c r="I8" s="40">
        <f t="shared" si="7"/>
        <v>707</v>
      </c>
      <c r="J8" s="39" t="str">
        <f t="shared" si="8"/>
        <v>Kenaikan IU</v>
      </c>
      <c r="K8" s="81" t="s">
        <v>1259</v>
      </c>
      <c r="O8" s="86" t="s">
        <v>26</v>
      </c>
      <c r="P8" s="87" t="s">
        <v>11</v>
      </c>
      <c r="Q8" t="s">
        <v>483</v>
      </c>
      <c r="V8" s="4"/>
      <c r="X8" s="3" t="s">
        <v>484</v>
      </c>
      <c r="Y8" t="s">
        <v>485</v>
      </c>
      <c r="Z8" t="s">
        <v>67</v>
      </c>
      <c r="AA8" s="10">
        <v>5</v>
      </c>
      <c r="AB8" t="s">
        <v>486</v>
      </c>
      <c r="AC8" s="10">
        <v>8500</v>
      </c>
      <c r="AD8" s="4">
        <v>42500</v>
      </c>
      <c r="AF8" s="82" t="s">
        <v>26</v>
      </c>
      <c r="AG8" s="83" t="s">
        <v>11</v>
      </c>
      <c r="AH8" s="18" t="s">
        <v>933</v>
      </c>
      <c r="AI8" s="18"/>
      <c r="AJ8" s="18"/>
      <c r="AK8" s="18"/>
      <c r="AL8" s="18"/>
      <c r="AM8" s="19"/>
      <c r="AO8" s="20" t="s">
        <v>221</v>
      </c>
      <c r="AP8" s="18" t="s">
        <v>222</v>
      </c>
      <c r="AQ8" s="18" t="s">
        <v>4</v>
      </c>
      <c r="AR8" s="21">
        <v>1.8</v>
      </c>
      <c r="AS8" s="18" t="s">
        <v>25</v>
      </c>
      <c r="AT8" s="21">
        <v>105313</v>
      </c>
      <c r="AU8" s="19">
        <v>189563.4</v>
      </c>
      <c r="AW8" s="20" t="s">
        <v>221</v>
      </c>
      <c r="AX8" s="18" t="s">
        <v>222</v>
      </c>
      <c r="AY8" s="18" t="s">
        <v>4</v>
      </c>
      <c r="AZ8" s="21">
        <v>1.8</v>
      </c>
      <c r="BA8" s="18" t="s">
        <v>25</v>
      </c>
      <c r="BB8" s="21">
        <v>105313</v>
      </c>
      <c r="BC8" s="19">
        <v>189563.4</v>
      </c>
    </row>
    <row r="9" spans="1:55" x14ac:dyDescent="0.35">
      <c r="A9" s="38" t="str">
        <v>CECM0008</v>
      </c>
      <c r="B9" s="31" t="str">
        <f t="shared" si="0"/>
        <v>XYZ ANTI BACTERIAL HANDSOAP 5 L</v>
      </c>
      <c r="C9" s="31" t="str">
        <f t="shared" si="1"/>
        <v>CLEANING CHEMICAL</v>
      </c>
      <c r="D9" s="31" t="str">
        <f t="shared" si="2"/>
        <v>jerrycan</v>
      </c>
      <c r="E9" s="40">
        <f t="shared" si="3"/>
        <v>77700</v>
      </c>
      <c r="F9" s="48">
        <f t="shared" si="4"/>
        <v>0.81</v>
      </c>
      <c r="G9" s="48">
        <f t="shared" si="5"/>
        <v>0.27</v>
      </c>
      <c r="H9" s="48">
        <f t="shared" si="6"/>
        <v>-0.54</v>
      </c>
      <c r="I9" s="40">
        <f t="shared" si="7"/>
        <v>-41958</v>
      </c>
      <c r="J9" s="39" t="str">
        <f t="shared" si="8"/>
        <v>Penurunan IU</v>
      </c>
      <c r="K9" s="81" t="s">
        <v>1259</v>
      </c>
      <c r="O9" s="86" t="s">
        <v>31</v>
      </c>
      <c r="P9" s="87" t="s">
        <v>11</v>
      </c>
      <c r="Q9" t="s">
        <v>32</v>
      </c>
      <c r="V9" s="4"/>
      <c r="X9" s="3" t="s">
        <v>244</v>
      </c>
      <c r="Y9" t="s">
        <v>245</v>
      </c>
      <c r="Z9" t="s">
        <v>67</v>
      </c>
      <c r="AA9">
        <v>1</v>
      </c>
      <c r="AB9" t="s">
        <v>20</v>
      </c>
      <c r="AC9">
        <v>6000</v>
      </c>
      <c r="AD9" s="4">
        <v>6000</v>
      </c>
      <c r="AF9" s="82" t="s">
        <v>31</v>
      </c>
      <c r="AG9" s="83" t="s">
        <v>11</v>
      </c>
      <c r="AH9" s="18" t="s">
        <v>32</v>
      </c>
      <c r="AI9" s="18"/>
      <c r="AJ9" s="18"/>
      <c r="AK9" s="18"/>
      <c r="AL9" s="18"/>
      <c r="AM9" s="19"/>
      <c r="AO9" s="20" t="s">
        <v>23</v>
      </c>
      <c r="AP9" s="18" t="s">
        <v>24</v>
      </c>
      <c r="AQ9" s="18" t="s">
        <v>4</v>
      </c>
      <c r="AR9" s="21">
        <v>37.22</v>
      </c>
      <c r="AS9" s="18" t="s">
        <v>25</v>
      </c>
      <c r="AT9" s="21">
        <v>17760</v>
      </c>
      <c r="AU9" s="19">
        <v>661027.19999999995</v>
      </c>
      <c r="AW9" s="20" t="s">
        <v>23</v>
      </c>
      <c r="AX9" s="18" t="s">
        <v>24</v>
      </c>
      <c r="AY9" s="18" t="s">
        <v>4</v>
      </c>
      <c r="AZ9" s="21">
        <v>37.22</v>
      </c>
      <c r="BA9" s="18" t="s">
        <v>25</v>
      </c>
      <c r="BB9" s="21">
        <v>17760</v>
      </c>
      <c r="BC9" s="19">
        <v>661027.19999999995</v>
      </c>
    </row>
    <row r="10" spans="1:55" x14ac:dyDescent="0.35">
      <c r="A10" s="38" t="str">
        <v>CECM0009</v>
      </c>
      <c r="B10" s="31" t="str">
        <f t="shared" si="0"/>
        <v>HAND SANITIZER 5 L</v>
      </c>
      <c r="C10" s="31" t="str">
        <f t="shared" si="1"/>
        <v>CLEANING CHEMICAL</v>
      </c>
      <c r="D10" s="31" t="str">
        <f t="shared" si="2"/>
        <v>pcs</v>
      </c>
      <c r="E10" s="40">
        <f t="shared" si="3"/>
        <v>151400</v>
      </c>
      <c r="F10" s="48">
        <f t="shared" si="4"/>
        <v>0.3</v>
      </c>
      <c r="G10" s="48">
        <f t="shared" si="5"/>
        <v>0.7</v>
      </c>
      <c r="H10" s="48">
        <f t="shared" si="6"/>
        <v>0.39999999999999997</v>
      </c>
      <c r="I10" s="40">
        <f t="shared" si="7"/>
        <v>60559.999999999993</v>
      </c>
      <c r="J10" s="39" t="str">
        <f t="shared" si="8"/>
        <v>Kenaikan IU</v>
      </c>
      <c r="K10" s="81" t="s">
        <v>1259</v>
      </c>
      <c r="O10" s="86" t="s">
        <v>35</v>
      </c>
      <c r="P10" s="87" t="s">
        <v>11</v>
      </c>
      <c r="Q10" t="s">
        <v>487</v>
      </c>
      <c r="V10" s="4"/>
      <c r="X10" s="3" t="s">
        <v>488</v>
      </c>
      <c r="Y10" t="s">
        <v>489</v>
      </c>
      <c r="Z10" t="s">
        <v>182</v>
      </c>
      <c r="AA10" s="10">
        <v>1</v>
      </c>
      <c r="AB10" t="s">
        <v>20</v>
      </c>
      <c r="AC10" s="10">
        <v>61972.25</v>
      </c>
      <c r="AD10" s="4">
        <v>61972.25</v>
      </c>
      <c r="AF10" s="82" t="s">
        <v>35</v>
      </c>
      <c r="AG10" s="83" t="s">
        <v>11</v>
      </c>
      <c r="AH10" s="18" t="s">
        <v>934</v>
      </c>
      <c r="AI10" s="18"/>
      <c r="AJ10" s="18"/>
      <c r="AK10" s="18"/>
      <c r="AL10" s="18"/>
      <c r="AM10" s="19"/>
      <c r="AO10" s="20" t="s">
        <v>28</v>
      </c>
      <c r="AP10" s="18" t="s">
        <v>29</v>
      </c>
      <c r="AQ10" s="18" t="s">
        <v>4</v>
      </c>
      <c r="AR10" s="21">
        <v>4.8</v>
      </c>
      <c r="AS10" s="18" t="s">
        <v>30</v>
      </c>
      <c r="AT10" s="21">
        <v>19760</v>
      </c>
      <c r="AU10" s="19">
        <v>94848</v>
      </c>
      <c r="AW10" s="20" t="s">
        <v>28</v>
      </c>
      <c r="AX10" s="18" t="s">
        <v>29</v>
      </c>
      <c r="AY10" s="18" t="s">
        <v>4</v>
      </c>
      <c r="AZ10" s="21">
        <v>4.8</v>
      </c>
      <c r="BA10" s="18" t="s">
        <v>30</v>
      </c>
      <c r="BB10" s="21">
        <v>19760</v>
      </c>
      <c r="BC10" s="19">
        <v>94848</v>
      </c>
    </row>
    <row r="11" spans="1:55" x14ac:dyDescent="0.35">
      <c r="A11" s="38" t="str">
        <v>CECM0010</v>
      </c>
      <c r="B11" s="31" t="str">
        <f t="shared" si="0"/>
        <v>SUMA CRYSTAL 5 L</v>
      </c>
      <c r="C11" s="31" t="str">
        <f t="shared" si="1"/>
        <v>CLEANING CHEMICAL</v>
      </c>
      <c r="D11" s="31" t="str">
        <f t="shared" si="2"/>
        <v>ltr</v>
      </c>
      <c r="E11" s="40">
        <f t="shared" si="3"/>
        <v>79237</v>
      </c>
      <c r="F11" s="48">
        <f t="shared" si="4"/>
        <v>0.04</v>
      </c>
      <c r="G11" s="48">
        <f t="shared" si="5"/>
        <v>3.24</v>
      </c>
      <c r="H11" s="48">
        <f t="shared" si="6"/>
        <v>3.2</v>
      </c>
      <c r="I11" s="40">
        <f t="shared" si="7"/>
        <v>253558.40000000002</v>
      </c>
      <c r="J11" s="39" t="str">
        <f t="shared" si="8"/>
        <v>Kenaikan IU</v>
      </c>
      <c r="K11" s="81" t="s">
        <v>1259</v>
      </c>
      <c r="O11" s="3"/>
      <c r="V11" s="4"/>
      <c r="X11" s="3" t="s">
        <v>383</v>
      </c>
      <c r="Y11" t="s">
        <v>384</v>
      </c>
      <c r="Z11" t="s">
        <v>182</v>
      </c>
      <c r="AA11">
        <v>40</v>
      </c>
      <c r="AB11" t="s">
        <v>20</v>
      </c>
      <c r="AC11">
        <v>0</v>
      </c>
      <c r="AD11" s="4">
        <v>0</v>
      </c>
      <c r="AF11" s="20"/>
      <c r="AG11" s="18"/>
      <c r="AH11" s="18"/>
      <c r="AI11" s="18"/>
      <c r="AJ11" s="18"/>
      <c r="AK11" s="18"/>
      <c r="AL11" s="18"/>
      <c r="AM11" s="19"/>
      <c r="AO11" s="20" t="s">
        <v>39</v>
      </c>
      <c r="AP11" s="18" t="s">
        <v>40</v>
      </c>
      <c r="AQ11" s="18" t="s">
        <v>41</v>
      </c>
      <c r="AR11" s="21">
        <v>12</v>
      </c>
      <c r="AS11" s="18" t="s">
        <v>20</v>
      </c>
      <c r="AT11" s="21">
        <v>7216.6850000000004</v>
      </c>
      <c r="AU11" s="19">
        <v>86600.22</v>
      </c>
      <c r="AW11" s="20" t="s">
        <v>39</v>
      </c>
      <c r="AX11" s="18" t="s">
        <v>40</v>
      </c>
      <c r="AY11" s="18" t="s">
        <v>41</v>
      </c>
      <c r="AZ11" s="21">
        <v>12</v>
      </c>
      <c r="BA11" s="18" t="s">
        <v>20</v>
      </c>
      <c r="BB11" s="21">
        <v>7216.6850000000004</v>
      </c>
      <c r="BC11" s="19">
        <v>86600.22</v>
      </c>
    </row>
    <row r="12" spans="1:55" x14ac:dyDescent="0.35">
      <c r="A12" s="38" t="str">
        <v>CECM0011</v>
      </c>
      <c r="B12" s="31" t="str">
        <f t="shared" si="0"/>
        <v>SUMA NOVA 5 L</v>
      </c>
      <c r="C12" s="31" t="str">
        <f t="shared" si="1"/>
        <v>CLEANING CHEMICAL</v>
      </c>
      <c r="D12" s="31" t="str">
        <f t="shared" si="2"/>
        <v>ltr</v>
      </c>
      <c r="E12" s="40">
        <f t="shared" si="3"/>
        <v>105313</v>
      </c>
      <c r="F12" s="48">
        <f t="shared" si="4"/>
        <v>4.5999999999999996</v>
      </c>
      <c r="G12" s="48">
        <f t="shared" si="5"/>
        <v>1.8</v>
      </c>
      <c r="H12" s="48">
        <f t="shared" si="6"/>
        <v>-2.8</v>
      </c>
      <c r="I12" s="40">
        <f t="shared" si="7"/>
        <v>-294876.39999999997</v>
      </c>
      <c r="J12" s="39" t="str">
        <f t="shared" si="8"/>
        <v>Penurunan IU</v>
      </c>
      <c r="K12" s="81" t="s">
        <v>1259</v>
      </c>
      <c r="O12" s="3" t="s">
        <v>42</v>
      </c>
      <c r="P12" t="s">
        <v>43</v>
      </c>
      <c r="Q12" t="s">
        <v>44</v>
      </c>
      <c r="R12" t="s">
        <v>45</v>
      </c>
      <c r="S12" t="s">
        <v>46</v>
      </c>
      <c r="T12" t="s">
        <v>47</v>
      </c>
      <c r="U12" t="s">
        <v>48</v>
      </c>
      <c r="V12" s="4" t="s">
        <v>49</v>
      </c>
      <c r="X12" s="3" t="s">
        <v>214</v>
      </c>
      <c r="Y12" t="s">
        <v>215</v>
      </c>
      <c r="Z12" t="s">
        <v>4</v>
      </c>
      <c r="AA12" s="10">
        <v>0.6</v>
      </c>
      <c r="AB12" t="s">
        <v>216</v>
      </c>
      <c r="AC12" s="10">
        <v>55300</v>
      </c>
      <c r="AD12" s="4">
        <v>33180</v>
      </c>
      <c r="AF12" s="20" t="s">
        <v>42</v>
      </c>
      <c r="AG12" s="18" t="s">
        <v>43</v>
      </c>
      <c r="AH12" s="18" t="s">
        <v>44</v>
      </c>
      <c r="AI12" s="18" t="s">
        <v>45</v>
      </c>
      <c r="AJ12" s="18" t="s">
        <v>46</v>
      </c>
      <c r="AK12" s="18" t="s">
        <v>47</v>
      </c>
      <c r="AL12" s="18" t="s">
        <v>48</v>
      </c>
      <c r="AM12" s="19" t="s">
        <v>49</v>
      </c>
      <c r="AO12" s="20" t="s">
        <v>50</v>
      </c>
      <c r="AP12" s="18" t="s">
        <v>51</v>
      </c>
      <c r="AQ12" s="18" t="s">
        <v>41</v>
      </c>
      <c r="AR12" s="21">
        <v>1</v>
      </c>
      <c r="AS12" s="18" t="s">
        <v>52</v>
      </c>
      <c r="AT12" s="21">
        <v>20500</v>
      </c>
      <c r="AU12" s="19">
        <v>20500</v>
      </c>
      <c r="AW12" s="20" t="s">
        <v>50</v>
      </c>
      <c r="AX12" s="18" t="s">
        <v>51</v>
      </c>
      <c r="AY12" s="18" t="s">
        <v>41</v>
      </c>
      <c r="AZ12" s="21">
        <v>1</v>
      </c>
      <c r="BA12" s="18" t="s">
        <v>52</v>
      </c>
      <c r="BB12" s="21">
        <v>20500</v>
      </c>
      <c r="BC12" s="19">
        <v>20500</v>
      </c>
    </row>
    <row r="13" spans="1:55" x14ac:dyDescent="0.35">
      <c r="A13" s="38" t="str">
        <v>CECM0012</v>
      </c>
      <c r="B13" s="31" t="str">
        <f t="shared" si="0"/>
        <v>NOBLA LIQUID 20 L</v>
      </c>
      <c r="C13" s="31" t="str">
        <f t="shared" si="1"/>
        <v>CLEANING CHEMICAL</v>
      </c>
      <c r="D13" s="31" t="str">
        <f t="shared" si="2"/>
        <v>ltr</v>
      </c>
      <c r="E13" s="40">
        <f t="shared" si="3"/>
        <v>17760</v>
      </c>
      <c r="F13" s="48">
        <f t="shared" si="4"/>
        <v>107</v>
      </c>
      <c r="G13" s="48">
        <f t="shared" si="5"/>
        <v>37.22</v>
      </c>
      <c r="H13" s="48">
        <f t="shared" si="6"/>
        <v>-69.78</v>
      </c>
      <c r="I13" s="40">
        <f t="shared" si="7"/>
        <v>-1239292.8</v>
      </c>
      <c r="J13" s="39" t="str">
        <f t="shared" si="8"/>
        <v>Penurunan IU</v>
      </c>
      <c r="K13" s="81" t="s">
        <v>1259</v>
      </c>
      <c r="O13" s="3">
        <v>1</v>
      </c>
      <c r="P13" t="s">
        <v>217</v>
      </c>
      <c r="Q13" t="s">
        <v>218</v>
      </c>
      <c r="R13" t="s">
        <v>4</v>
      </c>
      <c r="S13" s="10">
        <v>0.56999999999999995</v>
      </c>
      <c r="T13" t="s">
        <v>9</v>
      </c>
      <c r="U13" s="10">
        <v>55300</v>
      </c>
      <c r="V13" s="4">
        <v>31521</v>
      </c>
      <c r="X13" s="3" t="s">
        <v>2</v>
      </c>
      <c r="Y13" t="s">
        <v>3</v>
      </c>
      <c r="Z13" t="s">
        <v>4</v>
      </c>
      <c r="AA13" s="10">
        <v>6</v>
      </c>
      <c r="AB13" t="s">
        <v>5</v>
      </c>
      <c r="AC13" s="10">
        <v>21245.238099999999</v>
      </c>
      <c r="AD13" s="4">
        <v>127471.4286</v>
      </c>
      <c r="AF13" s="20">
        <v>1</v>
      </c>
      <c r="AG13" s="18" t="s">
        <v>2</v>
      </c>
      <c r="AH13" s="18" t="s">
        <v>3</v>
      </c>
      <c r="AI13" s="18" t="s">
        <v>4</v>
      </c>
      <c r="AJ13" s="21">
        <v>6</v>
      </c>
      <c r="AK13" s="18" t="s">
        <v>5</v>
      </c>
      <c r="AL13" s="21">
        <v>17106.462599999999</v>
      </c>
      <c r="AM13" s="19">
        <v>102638.77559999999</v>
      </c>
      <c r="AO13" s="20" t="s">
        <v>308</v>
      </c>
      <c r="AP13" s="18" t="s">
        <v>309</v>
      </c>
      <c r="AQ13" s="18" t="s">
        <v>41</v>
      </c>
      <c r="AR13" s="21">
        <v>5</v>
      </c>
      <c r="AS13" s="18" t="s">
        <v>20</v>
      </c>
      <c r="AT13" s="21">
        <v>6800</v>
      </c>
      <c r="AU13" s="19">
        <v>34000</v>
      </c>
      <c r="AW13" s="20" t="s">
        <v>308</v>
      </c>
      <c r="AX13" s="18" t="s">
        <v>309</v>
      </c>
      <c r="AY13" s="18" t="s">
        <v>41</v>
      </c>
      <c r="AZ13" s="21">
        <v>5</v>
      </c>
      <c r="BA13" s="18" t="s">
        <v>20</v>
      </c>
      <c r="BB13" s="21">
        <v>6800</v>
      </c>
      <c r="BC13" s="19">
        <v>34000</v>
      </c>
    </row>
    <row r="14" spans="1:55" x14ac:dyDescent="0.35">
      <c r="A14" s="38" t="str">
        <v>CECM0014</v>
      </c>
      <c r="B14" s="31" t="str">
        <f t="shared" si="0"/>
        <v>XYZ KARBOL LEMONGRASS 5 L</v>
      </c>
      <c r="C14" s="31" t="str">
        <f t="shared" si="1"/>
        <v>CLEANING CHEMICAL</v>
      </c>
      <c r="D14" s="31" t="str">
        <f t="shared" si="2"/>
        <v>liter</v>
      </c>
      <c r="E14" s="40">
        <f t="shared" si="3"/>
        <v>19760</v>
      </c>
      <c r="F14" s="48">
        <f t="shared" si="4"/>
        <v>4</v>
      </c>
      <c r="G14" s="48">
        <f t="shared" si="5"/>
        <v>4.8</v>
      </c>
      <c r="H14" s="48">
        <f t="shared" si="6"/>
        <v>0.79999999999999982</v>
      </c>
      <c r="I14" s="40">
        <f t="shared" si="7"/>
        <v>15807.999999999996</v>
      </c>
      <c r="J14" s="39" t="str">
        <f t="shared" si="8"/>
        <v>Kenaikan IU</v>
      </c>
      <c r="K14" s="81" t="s">
        <v>1259</v>
      </c>
      <c r="O14" s="3">
        <v>2</v>
      </c>
      <c r="P14" t="s">
        <v>18</v>
      </c>
      <c r="Q14" t="s">
        <v>19</v>
      </c>
      <c r="R14" t="s">
        <v>4</v>
      </c>
      <c r="S14" s="10">
        <v>0.3</v>
      </c>
      <c r="T14" t="s">
        <v>20</v>
      </c>
      <c r="U14" s="10">
        <v>151400</v>
      </c>
      <c r="V14" s="4">
        <v>45420</v>
      </c>
      <c r="X14" s="3" t="s">
        <v>7</v>
      </c>
      <c r="Y14" t="s">
        <v>8</v>
      </c>
      <c r="Z14" t="s">
        <v>4</v>
      </c>
      <c r="AA14" s="10">
        <v>0.56999999999999995</v>
      </c>
      <c r="AB14" t="s">
        <v>9</v>
      </c>
      <c r="AC14" s="10">
        <v>133200</v>
      </c>
      <c r="AD14" s="4">
        <v>75924</v>
      </c>
      <c r="AF14" s="20">
        <v>2</v>
      </c>
      <c r="AG14" s="18" t="s">
        <v>217</v>
      </c>
      <c r="AH14" s="18" t="s">
        <v>218</v>
      </c>
      <c r="AI14" s="18" t="s">
        <v>4</v>
      </c>
      <c r="AJ14" s="21">
        <v>0.89</v>
      </c>
      <c r="AK14" s="18" t="s">
        <v>9</v>
      </c>
      <c r="AL14" s="21">
        <v>55300</v>
      </c>
      <c r="AM14" s="19">
        <v>49217</v>
      </c>
      <c r="AO14" s="20" t="s">
        <v>53</v>
      </c>
      <c r="AP14" s="18" t="s">
        <v>54</v>
      </c>
      <c r="AQ14" s="18" t="s">
        <v>41</v>
      </c>
      <c r="AR14" s="21">
        <v>9</v>
      </c>
      <c r="AS14" s="18" t="s">
        <v>20</v>
      </c>
      <c r="AT14" s="21">
        <v>2993.33</v>
      </c>
      <c r="AU14" s="19">
        <v>26939.97</v>
      </c>
      <c r="AW14" s="20" t="s">
        <v>53</v>
      </c>
      <c r="AX14" s="18" t="s">
        <v>54</v>
      </c>
      <c r="AY14" s="18" t="s">
        <v>41</v>
      </c>
      <c r="AZ14" s="21">
        <v>9</v>
      </c>
      <c r="BA14" s="18" t="s">
        <v>20</v>
      </c>
      <c r="BB14" s="21">
        <v>2993.33</v>
      </c>
      <c r="BC14" s="19">
        <v>26939.97</v>
      </c>
    </row>
    <row r="15" spans="1:55" x14ac:dyDescent="0.35">
      <c r="A15" s="38" t="str">
        <v>CETS0001</v>
      </c>
      <c r="B15" s="31" t="str">
        <f t="shared" si="0"/>
        <v>TOWEL ANJOLY BIRU-KECIL</v>
      </c>
      <c r="C15" s="31" t="str">
        <f t="shared" si="1"/>
        <v>CLEANING TOOLS AND SUPPLIES</v>
      </c>
      <c r="D15" s="31" t="str">
        <f t="shared" si="2"/>
        <v>pcs</v>
      </c>
      <c r="E15" s="40">
        <f t="shared" si="3"/>
        <v>7216.6850000000004</v>
      </c>
      <c r="F15" s="48" t="str">
        <f t="shared" si="4"/>
        <v>0</v>
      </c>
      <c r="G15" s="48">
        <f t="shared" si="5"/>
        <v>12</v>
      </c>
      <c r="H15" s="48">
        <f t="shared" si="6"/>
        <v>12</v>
      </c>
      <c r="I15" s="40">
        <f t="shared" si="7"/>
        <v>86600.22</v>
      </c>
      <c r="J15" s="39" t="str">
        <f t="shared" si="8"/>
        <v>Kenaikan IU</v>
      </c>
      <c r="K15" s="81" t="s">
        <v>1259</v>
      </c>
      <c r="O15" s="3">
        <v>3</v>
      </c>
      <c r="P15" t="s">
        <v>219</v>
      </c>
      <c r="Q15" t="s">
        <v>220</v>
      </c>
      <c r="R15" t="s">
        <v>4</v>
      </c>
      <c r="S15" s="10">
        <v>0.04</v>
      </c>
      <c r="T15" t="s">
        <v>25</v>
      </c>
      <c r="U15" s="10">
        <v>79237</v>
      </c>
      <c r="V15" s="4">
        <v>3169.48</v>
      </c>
      <c r="X15" s="3" t="s">
        <v>13</v>
      </c>
      <c r="Y15" t="s">
        <v>14</v>
      </c>
      <c r="Z15" t="s">
        <v>4</v>
      </c>
      <c r="AA15" s="10">
        <v>0.81</v>
      </c>
      <c r="AB15" t="s">
        <v>15</v>
      </c>
      <c r="AC15" s="10">
        <v>77700</v>
      </c>
      <c r="AD15" s="4">
        <v>62937</v>
      </c>
      <c r="AF15" s="20">
        <v>3</v>
      </c>
      <c r="AG15" s="18" t="s">
        <v>403</v>
      </c>
      <c r="AH15" s="18" t="s">
        <v>404</v>
      </c>
      <c r="AI15" s="18" t="s">
        <v>4</v>
      </c>
      <c r="AJ15" s="21">
        <v>0.01</v>
      </c>
      <c r="AK15" s="18" t="s">
        <v>9</v>
      </c>
      <c r="AL15" s="21">
        <v>70700</v>
      </c>
      <c r="AM15" s="19">
        <v>707</v>
      </c>
      <c r="AO15" s="20" t="s">
        <v>407</v>
      </c>
      <c r="AP15" s="18" t="s">
        <v>408</v>
      </c>
      <c r="AQ15" s="18" t="s">
        <v>41</v>
      </c>
      <c r="AR15" s="21">
        <v>1</v>
      </c>
      <c r="AS15" s="18" t="s">
        <v>267</v>
      </c>
      <c r="AT15" s="21">
        <v>41946.666700000002</v>
      </c>
      <c r="AU15" s="19">
        <v>41946.666700000002</v>
      </c>
      <c r="AW15" s="20" t="s">
        <v>407</v>
      </c>
      <c r="AX15" s="18" t="s">
        <v>408</v>
      </c>
      <c r="AY15" s="18" t="s">
        <v>41</v>
      </c>
      <c r="AZ15" s="21">
        <v>1</v>
      </c>
      <c r="BA15" s="18" t="s">
        <v>267</v>
      </c>
      <c r="BB15" s="21">
        <v>41946.666700000002</v>
      </c>
      <c r="BC15" s="19">
        <v>41946.666700000002</v>
      </c>
    </row>
    <row r="16" spans="1:55" x14ac:dyDescent="0.35">
      <c r="A16" s="38" t="str">
        <v>CETS00028</v>
      </c>
      <c r="B16" s="31" t="str">
        <f t="shared" si="0"/>
        <v>GLUE PAD</v>
      </c>
      <c r="C16" s="31" t="str">
        <f t="shared" si="1"/>
        <v>CLEANING TOOLS AND SUPPLIES</v>
      </c>
      <c r="D16" s="31" t="str">
        <f t="shared" si="2"/>
        <v>lembar</v>
      </c>
      <c r="E16" s="40">
        <f t="shared" si="3"/>
        <v>20500</v>
      </c>
      <c r="F16" s="48">
        <f t="shared" si="4"/>
        <v>134</v>
      </c>
      <c r="G16" s="48">
        <f t="shared" si="5"/>
        <v>1</v>
      </c>
      <c r="H16" s="48">
        <f t="shared" si="6"/>
        <v>-133</v>
      </c>
      <c r="I16" s="40">
        <f t="shared" si="7"/>
        <v>-2726500</v>
      </c>
      <c r="J16" s="39" t="str">
        <f t="shared" si="8"/>
        <v>Penurunan IU</v>
      </c>
      <c r="K16" s="81" t="s">
        <v>1259</v>
      </c>
      <c r="O16" s="3">
        <v>4</v>
      </c>
      <c r="P16" t="s">
        <v>57</v>
      </c>
      <c r="Q16" t="s">
        <v>58</v>
      </c>
      <c r="R16" t="s">
        <v>41</v>
      </c>
      <c r="S16">
        <v>5</v>
      </c>
      <c r="T16" t="s">
        <v>5</v>
      </c>
      <c r="U16">
        <v>7699.2201999999997</v>
      </c>
      <c r="V16" s="4">
        <v>38496.101000000002</v>
      </c>
      <c r="X16" s="3" t="s">
        <v>219</v>
      </c>
      <c r="Y16" t="s">
        <v>220</v>
      </c>
      <c r="Z16" t="s">
        <v>4</v>
      </c>
      <c r="AA16" s="10">
        <v>7</v>
      </c>
      <c r="AB16" t="s">
        <v>25</v>
      </c>
      <c r="AC16" s="10">
        <v>79237</v>
      </c>
      <c r="AD16" s="4">
        <v>554659</v>
      </c>
      <c r="AF16" s="20">
        <v>4</v>
      </c>
      <c r="AG16" s="18" t="s">
        <v>13</v>
      </c>
      <c r="AH16" s="18" t="s">
        <v>14</v>
      </c>
      <c r="AI16" s="18" t="s">
        <v>4</v>
      </c>
      <c r="AJ16" s="21">
        <v>0.27</v>
      </c>
      <c r="AK16" s="18" t="s">
        <v>15</v>
      </c>
      <c r="AL16" s="21">
        <v>77700</v>
      </c>
      <c r="AM16" s="19">
        <v>20979</v>
      </c>
      <c r="AO16" s="20" t="s">
        <v>667</v>
      </c>
      <c r="AP16" s="18" t="s">
        <v>668</v>
      </c>
      <c r="AQ16" s="18" t="s">
        <v>41</v>
      </c>
      <c r="AR16" s="21">
        <v>1</v>
      </c>
      <c r="AS16" s="18" t="s">
        <v>20</v>
      </c>
      <c r="AT16" s="21">
        <v>14915</v>
      </c>
      <c r="AU16" s="19">
        <v>14915</v>
      </c>
      <c r="AW16" s="20" t="s">
        <v>667</v>
      </c>
      <c r="AX16" s="18" t="s">
        <v>668</v>
      </c>
      <c r="AY16" s="18" t="s">
        <v>41</v>
      </c>
      <c r="AZ16" s="21">
        <v>1</v>
      </c>
      <c r="BA16" s="18" t="s">
        <v>20</v>
      </c>
      <c r="BB16" s="21">
        <v>14915</v>
      </c>
      <c r="BC16" s="19">
        <v>14915</v>
      </c>
    </row>
    <row r="17" spans="1:55" ht="15" thickBot="1" x14ac:dyDescent="0.4">
      <c r="A17" s="38" t="str">
        <v>CETS0005</v>
      </c>
      <c r="B17" s="31" t="str">
        <f t="shared" si="0"/>
        <v>TOWEL ANJOLY HIJAU -KECIL</v>
      </c>
      <c r="C17" s="31" t="str">
        <f t="shared" si="1"/>
        <v>CLEANING TOOLS AND SUPPLIES</v>
      </c>
      <c r="D17" s="31" t="str">
        <f t="shared" si="2"/>
        <v>pcs</v>
      </c>
      <c r="E17" s="40">
        <f t="shared" si="3"/>
        <v>6800</v>
      </c>
      <c r="F17" s="48" t="str">
        <f t="shared" si="4"/>
        <v>0</v>
      </c>
      <c r="G17" s="48">
        <f t="shared" si="5"/>
        <v>5</v>
      </c>
      <c r="H17" s="48">
        <f t="shared" si="6"/>
        <v>5</v>
      </c>
      <c r="I17" s="40">
        <f t="shared" si="7"/>
        <v>34000</v>
      </c>
      <c r="J17" s="39" t="str">
        <f t="shared" si="8"/>
        <v>Kenaikan IU</v>
      </c>
      <c r="K17" s="81" t="s">
        <v>1259</v>
      </c>
      <c r="O17" s="11" t="s">
        <v>223</v>
      </c>
      <c r="P17" s="12" t="s">
        <v>223</v>
      </c>
      <c r="Q17" s="12" t="s">
        <v>223</v>
      </c>
      <c r="R17" s="12" t="s">
        <v>223</v>
      </c>
      <c r="S17" s="12" t="s">
        <v>223</v>
      </c>
      <c r="T17" s="12" t="s">
        <v>223</v>
      </c>
      <c r="U17" s="12" t="s">
        <v>224</v>
      </c>
      <c r="V17" s="13">
        <v>118606.58100000001</v>
      </c>
      <c r="X17" s="3" t="s">
        <v>221</v>
      </c>
      <c r="Y17" t="s">
        <v>222</v>
      </c>
      <c r="Z17" t="s">
        <v>4</v>
      </c>
      <c r="AA17" s="10">
        <v>4.5999999999999996</v>
      </c>
      <c r="AB17" t="s">
        <v>25</v>
      </c>
      <c r="AC17" s="10">
        <v>105313</v>
      </c>
      <c r="AD17" s="4">
        <v>484439.8</v>
      </c>
      <c r="AF17" s="20">
        <v>5</v>
      </c>
      <c r="AG17" s="18" t="s">
        <v>18</v>
      </c>
      <c r="AH17" s="18" t="s">
        <v>19</v>
      </c>
      <c r="AI17" s="18" t="s">
        <v>4</v>
      </c>
      <c r="AJ17" s="21">
        <v>0.7</v>
      </c>
      <c r="AK17" s="18" t="s">
        <v>20</v>
      </c>
      <c r="AL17" s="21">
        <v>151400</v>
      </c>
      <c r="AM17" s="19">
        <v>105980</v>
      </c>
      <c r="AO17" s="20" t="s">
        <v>310</v>
      </c>
      <c r="AP17" s="18" t="s">
        <v>311</v>
      </c>
      <c r="AQ17" s="18" t="s">
        <v>41</v>
      </c>
      <c r="AR17" s="21">
        <v>2</v>
      </c>
      <c r="AS17" s="18" t="s">
        <v>20</v>
      </c>
      <c r="AT17" s="21">
        <v>7500</v>
      </c>
      <c r="AU17" s="19">
        <v>15000</v>
      </c>
      <c r="AW17" s="20" t="s">
        <v>310</v>
      </c>
      <c r="AX17" s="18" t="s">
        <v>311</v>
      </c>
      <c r="AY17" s="18" t="s">
        <v>41</v>
      </c>
      <c r="AZ17" s="21">
        <v>2</v>
      </c>
      <c r="BA17" s="18" t="s">
        <v>20</v>
      </c>
      <c r="BB17" s="21">
        <v>7500</v>
      </c>
      <c r="BC17" s="19">
        <v>15000</v>
      </c>
    </row>
    <row r="18" spans="1:55" ht="15.5" thickTop="1" thickBot="1" x14ac:dyDescent="0.4">
      <c r="A18" s="38" t="str">
        <v>CETS0006</v>
      </c>
      <c r="B18" s="31" t="str">
        <f t="shared" si="0"/>
        <v>SPONGE BUSA</v>
      </c>
      <c r="C18" s="31" t="str">
        <f t="shared" si="1"/>
        <v>CLEANING TOOLS AND SUPPLIES</v>
      </c>
      <c r="D18" s="31" t="str">
        <f t="shared" si="2"/>
        <v>pcs</v>
      </c>
      <c r="E18" s="40">
        <f t="shared" si="3"/>
        <v>2993.33</v>
      </c>
      <c r="F18" s="48">
        <f t="shared" si="4"/>
        <v>11</v>
      </c>
      <c r="G18" s="48">
        <f t="shared" si="5"/>
        <v>9</v>
      </c>
      <c r="H18" s="48">
        <f t="shared" si="6"/>
        <v>-2</v>
      </c>
      <c r="I18" s="40">
        <f t="shared" si="7"/>
        <v>-5986.66</v>
      </c>
      <c r="J18" s="39" t="str">
        <f t="shared" si="8"/>
        <v>Penurunan IU</v>
      </c>
      <c r="K18" s="81" t="s">
        <v>1259</v>
      </c>
      <c r="X18" s="3" t="s">
        <v>23</v>
      </c>
      <c r="Y18" t="s">
        <v>24</v>
      </c>
      <c r="Z18" t="s">
        <v>4</v>
      </c>
      <c r="AA18" s="10">
        <v>107</v>
      </c>
      <c r="AB18" t="s">
        <v>25</v>
      </c>
      <c r="AC18" s="10">
        <v>17760</v>
      </c>
      <c r="AD18" s="4">
        <v>1900320</v>
      </c>
      <c r="AF18" s="20">
        <v>6</v>
      </c>
      <c r="AG18" s="18" t="s">
        <v>219</v>
      </c>
      <c r="AH18" s="18" t="s">
        <v>220</v>
      </c>
      <c r="AI18" s="18" t="s">
        <v>4</v>
      </c>
      <c r="AJ18" s="21">
        <v>3.24</v>
      </c>
      <c r="AK18" s="18" t="s">
        <v>25</v>
      </c>
      <c r="AL18" s="21">
        <v>79237</v>
      </c>
      <c r="AM18" s="19">
        <v>256727.88</v>
      </c>
      <c r="AO18" s="20" t="s">
        <v>57</v>
      </c>
      <c r="AP18" s="18" t="s">
        <v>58</v>
      </c>
      <c r="AQ18" s="18" t="s">
        <v>41</v>
      </c>
      <c r="AR18" s="21">
        <v>9</v>
      </c>
      <c r="AS18" s="18" t="s">
        <v>5</v>
      </c>
      <c r="AT18" s="21">
        <v>7699.2201999999997</v>
      </c>
      <c r="AU18" s="19">
        <v>69292.981799999994</v>
      </c>
      <c r="AW18" s="20" t="s">
        <v>57</v>
      </c>
      <c r="AX18" s="18" t="s">
        <v>58</v>
      </c>
      <c r="AY18" s="18" t="s">
        <v>41</v>
      </c>
      <c r="AZ18" s="21">
        <v>9</v>
      </c>
      <c r="BA18" s="18" t="s">
        <v>5</v>
      </c>
      <c r="BB18" s="21">
        <v>7699.2201999999997</v>
      </c>
      <c r="BC18" s="19">
        <v>69292.981799999994</v>
      </c>
    </row>
    <row r="19" spans="1:55" ht="15" thickTop="1" x14ac:dyDescent="0.35">
      <c r="A19" s="38" t="str">
        <v>CETS0010</v>
      </c>
      <c r="B19" s="31" t="str">
        <f t="shared" si="0"/>
        <v>SAPU 8517KW</v>
      </c>
      <c r="C19" s="31" t="str">
        <f t="shared" si="1"/>
        <v>CLEANING TOOLS AND SUPPLIES</v>
      </c>
      <c r="D19" s="31" t="str">
        <f t="shared" si="2"/>
        <v>unit</v>
      </c>
      <c r="E19" s="40">
        <f t="shared" si="3"/>
        <v>41946.666700000002</v>
      </c>
      <c r="F19" s="48">
        <f t="shared" si="4"/>
        <v>2</v>
      </c>
      <c r="G19" s="48">
        <f t="shared" si="5"/>
        <v>1</v>
      </c>
      <c r="H19" s="48">
        <f t="shared" si="6"/>
        <v>-1</v>
      </c>
      <c r="I19" s="40">
        <f t="shared" si="7"/>
        <v>-41946.666700000002</v>
      </c>
      <c r="J19" s="39" t="str">
        <f t="shared" si="8"/>
        <v>Penurunan IU</v>
      </c>
      <c r="K19" s="81" t="s">
        <v>1259</v>
      </c>
      <c r="O19" s="88" t="s">
        <v>0</v>
      </c>
      <c r="P19" s="89"/>
      <c r="Q19" s="89"/>
      <c r="R19" s="89"/>
      <c r="S19" s="89"/>
      <c r="T19" s="1"/>
      <c r="U19" s="1"/>
      <c r="V19" s="2"/>
      <c r="X19" s="3" t="s">
        <v>28</v>
      </c>
      <c r="Y19" t="s">
        <v>29</v>
      </c>
      <c r="Z19" t="s">
        <v>4</v>
      </c>
      <c r="AA19" s="10">
        <v>4</v>
      </c>
      <c r="AB19" t="s">
        <v>30</v>
      </c>
      <c r="AC19" s="10">
        <v>19760</v>
      </c>
      <c r="AD19" s="4">
        <v>79040</v>
      </c>
      <c r="AF19" s="20">
        <v>7</v>
      </c>
      <c r="AG19" s="18" t="s">
        <v>221</v>
      </c>
      <c r="AH19" s="18" t="s">
        <v>222</v>
      </c>
      <c r="AI19" s="18" t="s">
        <v>4</v>
      </c>
      <c r="AJ19" s="21">
        <v>1.8</v>
      </c>
      <c r="AK19" s="18" t="s">
        <v>25</v>
      </c>
      <c r="AL19" s="21">
        <v>105313</v>
      </c>
      <c r="AM19" s="19">
        <v>189563.4</v>
      </c>
      <c r="AO19" s="20" t="s">
        <v>59</v>
      </c>
      <c r="AP19" s="18" t="s">
        <v>60</v>
      </c>
      <c r="AQ19" s="18" t="s">
        <v>41</v>
      </c>
      <c r="AR19" s="21">
        <v>26</v>
      </c>
      <c r="AS19" s="18" t="s">
        <v>5</v>
      </c>
      <c r="AT19" s="21">
        <v>7699.9816000000001</v>
      </c>
      <c r="AU19" s="19">
        <v>200199.52160000001</v>
      </c>
      <c r="AW19" s="20" t="s">
        <v>59</v>
      </c>
      <c r="AX19" s="18" t="s">
        <v>60</v>
      </c>
      <c r="AY19" s="18" t="s">
        <v>41</v>
      </c>
      <c r="AZ19" s="21">
        <v>26</v>
      </c>
      <c r="BA19" s="18" t="s">
        <v>5</v>
      </c>
      <c r="BB19" s="21">
        <v>7699.9816000000001</v>
      </c>
      <c r="BC19" s="19">
        <v>200199.52160000001</v>
      </c>
    </row>
    <row r="20" spans="1:55" x14ac:dyDescent="0.35">
      <c r="A20" s="38" t="str">
        <v>CETS0014</v>
      </c>
      <c r="B20" s="31" t="str">
        <f t="shared" si="0"/>
        <v>SIKAT BAJU 834 NAGATA</v>
      </c>
      <c r="C20" s="31" t="str">
        <f t="shared" si="1"/>
        <v>CLEANING TOOLS AND SUPPLIES</v>
      </c>
      <c r="D20" s="31" t="str">
        <f t="shared" si="2"/>
        <v>pcs</v>
      </c>
      <c r="E20" s="40">
        <f t="shared" si="3"/>
        <v>14915</v>
      </c>
      <c r="F20" s="48" t="str">
        <f t="shared" si="4"/>
        <v>0</v>
      </c>
      <c r="G20" s="48">
        <f t="shared" si="5"/>
        <v>1</v>
      </c>
      <c r="H20" s="48">
        <f t="shared" si="6"/>
        <v>1</v>
      </c>
      <c r="I20" s="40">
        <f t="shared" si="7"/>
        <v>14915</v>
      </c>
      <c r="J20" s="39" t="str">
        <f t="shared" si="8"/>
        <v>Kenaikan IU</v>
      </c>
      <c r="K20" s="81" t="s">
        <v>1259</v>
      </c>
      <c r="O20" s="86" t="s">
        <v>1</v>
      </c>
      <c r="P20" s="87"/>
      <c r="Q20" s="87"/>
      <c r="R20" s="87"/>
      <c r="S20" s="87"/>
      <c r="V20" s="4"/>
      <c r="X20" s="3" t="s">
        <v>304</v>
      </c>
      <c r="Y20" t="s">
        <v>305</v>
      </c>
      <c r="Z20" t="s">
        <v>41</v>
      </c>
      <c r="AA20" s="10">
        <v>4</v>
      </c>
      <c r="AB20" t="s">
        <v>20</v>
      </c>
      <c r="AC20" s="10">
        <v>7244.463999999999</v>
      </c>
      <c r="AD20" s="4">
        <v>28977.856</v>
      </c>
      <c r="AF20" s="20">
        <v>8</v>
      </c>
      <c r="AG20" s="18" t="s">
        <v>23</v>
      </c>
      <c r="AH20" s="18" t="s">
        <v>24</v>
      </c>
      <c r="AI20" s="18" t="s">
        <v>4</v>
      </c>
      <c r="AJ20" s="21">
        <v>37.22</v>
      </c>
      <c r="AK20" s="18" t="s">
        <v>25</v>
      </c>
      <c r="AL20" s="21">
        <v>17760</v>
      </c>
      <c r="AM20" s="19">
        <v>661027.19999999995</v>
      </c>
      <c r="AO20" s="20" t="s">
        <v>61</v>
      </c>
      <c r="AP20" s="18" t="s">
        <v>62</v>
      </c>
      <c r="AQ20" s="18" t="s">
        <v>41</v>
      </c>
      <c r="AR20" s="21">
        <v>3</v>
      </c>
      <c r="AS20" s="18" t="s">
        <v>5</v>
      </c>
      <c r="AT20" s="21">
        <v>15232.591500000002</v>
      </c>
      <c r="AU20" s="19">
        <v>45697.7745</v>
      </c>
      <c r="AW20" s="20" t="s">
        <v>61</v>
      </c>
      <c r="AX20" s="18" t="s">
        <v>62</v>
      </c>
      <c r="AY20" s="18" t="s">
        <v>41</v>
      </c>
      <c r="AZ20" s="21">
        <v>3</v>
      </c>
      <c r="BA20" s="18" t="s">
        <v>5</v>
      </c>
      <c r="BB20" s="21">
        <v>15232.591500000002</v>
      </c>
      <c r="BC20" s="19">
        <v>45697.7745</v>
      </c>
    </row>
    <row r="21" spans="1:55" x14ac:dyDescent="0.35">
      <c r="A21" s="38" t="str">
        <v>CETS0021</v>
      </c>
      <c r="B21" s="31" t="str">
        <f t="shared" si="0"/>
        <v>LAP MICRO 40 X 40 320 GSM BIRU MUDA</v>
      </c>
      <c r="C21" s="31" t="str">
        <f t="shared" si="1"/>
        <v>CLEANING TOOLS AND SUPPLIES</v>
      </c>
      <c r="D21" s="31" t="str">
        <f t="shared" si="2"/>
        <v>pcs</v>
      </c>
      <c r="E21" s="40">
        <f t="shared" si="3"/>
        <v>7500</v>
      </c>
      <c r="F21" s="48" t="str">
        <f t="shared" si="4"/>
        <v>0</v>
      </c>
      <c r="G21" s="48">
        <f t="shared" si="5"/>
        <v>2</v>
      </c>
      <c r="H21" s="48">
        <f t="shared" si="6"/>
        <v>2</v>
      </c>
      <c r="I21" s="40">
        <f t="shared" si="7"/>
        <v>15000</v>
      </c>
      <c r="J21" s="39" t="str">
        <f t="shared" si="8"/>
        <v>Kenaikan IU</v>
      </c>
      <c r="K21" s="81" t="s">
        <v>1259</v>
      </c>
      <c r="O21" s="3"/>
      <c r="V21" s="4"/>
      <c r="X21" s="3" t="s">
        <v>50</v>
      </c>
      <c r="Y21" t="s">
        <v>51</v>
      </c>
      <c r="Z21" t="s">
        <v>41</v>
      </c>
      <c r="AA21" s="10">
        <v>134</v>
      </c>
      <c r="AB21" t="s">
        <v>52</v>
      </c>
      <c r="AC21" s="10">
        <v>20500</v>
      </c>
      <c r="AD21" s="4">
        <v>2747000</v>
      </c>
      <c r="AF21" s="20">
        <v>9</v>
      </c>
      <c r="AG21" s="18" t="s">
        <v>28</v>
      </c>
      <c r="AH21" s="18" t="s">
        <v>29</v>
      </c>
      <c r="AI21" s="18" t="s">
        <v>4</v>
      </c>
      <c r="AJ21" s="21">
        <v>4.8</v>
      </c>
      <c r="AK21" s="18" t="s">
        <v>30</v>
      </c>
      <c r="AL21" s="21">
        <v>19760</v>
      </c>
      <c r="AM21" s="19">
        <v>94848</v>
      </c>
      <c r="AO21" s="20" t="s">
        <v>314</v>
      </c>
      <c r="AP21" s="18" t="s">
        <v>315</v>
      </c>
      <c r="AQ21" s="18" t="s">
        <v>41</v>
      </c>
      <c r="AR21" s="18">
        <v>40</v>
      </c>
      <c r="AS21" s="18" t="s">
        <v>20</v>
      </c>
      <c r="AT21" s="18">
        <v>881.59</v>
      </c>
      <c r="AU21" s="19">
        <v>35263.599999999999</v>
      </c>
      <c r="AW21" s="20" t="s">
        <v>314</v>
      </c>
      <c r="AX21" s="18" t="s">
        <v>315</v>
      </c>
      <c r="AY21" s="18" t="s">
        <v>41</v>
      </c>
      <c r="AZ21" s="18">
        <v>40</v>
      </c>
      <c r="BA21" s="18" t="s">
        <v>20</v>
      </c>
      <c r="BB21" s="18">
        <v>881.59</v>
      </c>
      <c r="BC21" s="19">
        <v>35263.599999999999</v>
      </c>
    </row>
    <row r="22" spans="1:55" x14ac:dyDescent="0.35">
      <c r="A22" s="38" t="str">
        <v>CETS0025</v>
      </c>
      <c r="B22" s="31" t="str">
        <f t="shared" si="0"/>
        <v>PLASTIK SAMPAH 60 x 100 (10 LEMBAR)</v>
      </c>
      <c r="C22" s="31" t="str">
        <f t="shared" si="1"/>
        <v>CLEANING TOOLS AND SUPPLIES</v>
      </c>
      <c r="D22" s="31" t="str">
        <f t="shared" si="2"/>
        <v>pack</v>
      </c>
      <c r="E22" s="40">
        <f t="shared" si="3"/>
        <v>7699.2201999999997</v>
      </c>
      <c r="F22" s="48">
        <f t="shared" si="4"/>
        <v>5</v>
      </c>
      <c r="G22" s="48">
        <f t="shared" si="5"/>
        <v>9</v>
      </c>
      <c r="H22" s="48">
        <f t="shared" si="6"/>
        <v>4</v>
      </c>
      <c r="I22" s="40">
        <f t="shared" si="7"/>
        <v>30796.880799999999</v>
      </c>
      <c r="J22" s="39" t="str">
        <f t="shared" si="8"/>
        <v>Kenaikan IU</v>
      </c>
      <c r="K22" s="81" t="s">
        <v>1259</v>
      </c>
      <c r="O22" s="86" t="s">
        <v>10</v>
      </c>
      <c r="P22" s="87" t="s">
        <v>11</v>
      </c>
      <c r="Q22" t="s">
        <v>490</v>
      </c>
      <c r="V22" s="4"/>
      <c r="X22" s="3" t="s">
        <v>306</v>
      </c>
      <c r="Y22" t="s">
        <v>307</v>
      </c>
      <c r="Z22" t="s">
        <v>41</v>
      </c>
      <c r="AA22" s="10">
        <v>4</v>
      </c>
      <c r="AB22" t="s">
        <v>20</v>
      </c>
      <c r="AC22" s="10">
        <v>7333.3495999999996</v>
      </c>
      <c r="AD22" s="4">
        <v>29333.398399999998</v>
      </c>
      <c r="AF22" s="20">
        <v>10</v>
      </c>
      <c r="AG22" s="18" t="s">
        <v>39</v>
      </c>
      <c r="AH22" s="18" t="s">
        <v>40</v>
      </c>
      <c r="AI22" s="18" t="s">
        <v>41</v>
      </c>
      <c r="AJ22" s="21">
        <v>12</v>
      </c>
      <c r="AK22" s="18" t="s">
        <v>20</v>
      </c>
      <c r="AL22" s="21">
        <v>7216.6850000000004</v>
      </c>
      <c r="AM22" s="19">
        <v>86600.22</v>
      </c>
      <c r="AO22" s="20" t="s">
        <v>65</v>
      </c>
      <c r="AP22" s="18" t="s">
        <v>66</v>
      </c>
      <c r="AQ22" s="18" t="s">
        <v>67</v>
      </c>
      <c r="AR22" s="21">
        <v>80</v>
      </c>
      <c r="AS22" s="18" t="s">
        <v>20</v>
      </c>
      <c r="AT22" s="21">
        <v>320</v>
      </c>
      <c r="AU22" s="19">
        <v>25600</v>
      </c>
      <c r="AW22" s="20" t="s">
        <v>65</v>
      </c>
      <c r="AX22" s="18" t="s">
        <v>66</v>
      </c>
      <c r="AY22" s="18" t="s">
        <v>67</v>
      </c>
      <c r="AZ22" s="21">
        <v>80</v>
      </c>
      <c r="BA22" s="18" t="s">
        <v>20</v>
      </c>
      <c r="BB22" s="21">
        <v>320</v>
      </c>
      <c r="BC22" s="19">
        <v>25600</v>
      </c>
    </row>
    <row r="23" spans="1:55" x14ac:dyDescent="0.35">
      <c r="A23" s="38" t="str">
        <v>CETS0026</v>
      </c>
      <c r="B23" s="31" t="str">
        <f t="shared" si="0"/>
        <v>PLASTIK SAMPAH 90 x 120 (5 LEMBAR)</v>
      </c>
      <c r="C23" s="31" t="str">
        <f t="shared" si="1"/>
        <v>CLEANING TOOLS AND SUPPLIES</v>
      </c>
      <c r="D23" s="31" t="str">
        <f t="shared" si="2"/>
        <v>pack</v>
      </c>
      <c r="E23" s="40">
        <f t="shared" si="3"/>
        <v>7699.9816000000001</v>
      </c>
      <c r="F23" s="48">
        <f t="shared" si="4"/>
        <v>51</v>
      </c>
      <c r="G23" s="48">
        <f t="shared" si="5"/>
        <v>26</v>
      </c>
      <c r="H23" s="48">
        <f t="shared" si="6"/>
        <v>-25</v>
      </c>
      <c r="I23" s="40">
        <f t="shared" si="7"/>
        <v>-192499.54</v>
      </c>
      <c r="J23" s="39" t="str">
        <f t="shared" si="8"/>
        <v>Penurunan IU</v>
      </c>
      <c r="K23" s="81" t="s">
        <v>1259</v>
      </c>
      <c r="O23" s="86" t="s">
        <v>16</v>
      </c>
      <c r="P23" s="87" t="s">
        <v>11</v>
      </c>
      <c r="Q23" t="s">
        <v>17</v>
      </c>
      <c r="V23" s="4"/>
      <c r="X23" s="3" t="s">
        <v>53</v>
      </c>
      <c r="Y23" t="s">
        <v>54</v>
      </c>
      <c r="Z23" t="s">
        <v>41</v>
      </c>
      <c r="AA23" s="10">
        <v>11</v>
      </c>
      <c r="AB23" t="s">
        <v>20</v>
      </c>
      <c r="AC23" s="10">
        <v>2993.33</v>
      </c>
      <c r="AD23" s="4">
        <v>32926.629999999997</v>
      </c>
      <c r="AF23" s="20">
        <v>11</v>
      </c>
      <c r="AG23" s="18" t="s">
        <v>50</v>
      </c>
      <c r="AH23" s="18" t="s">
        <v>51</v>
      </c>
      <c r="AI23" s="18" t="s">
        <v>41</v>
      </c>
      <c r="AJ23" s="21">
        <v>1</v>
      </c>
      <c r="AK23" s="18" t="s">
        <v>52</v>
      </c>
      <c r="AL23" s="21">
        <v>20500</v>
      </c>
      <c r="AM23" s="19">
        <v>20500</v>
      </c>
      <c r="AO23" s="20" t="s">
        <v>938</v>
      </c>
      <c r="AP23" s="18" t="s">
        <v>939</v>
      </c>
      <c r="AQ23" s="18" t="s">
        <v>67</v>
      </c>
      <c r="AR23" s="21">
        <v>0.45</v>
      </c>
      <c r="AS23" s="18" t="s">
        <v>5</v>
      </c>
      <c r="AT23" s="21">
        <v>4500</v>
      </c>
      <c r="AU23" s="19">
        <v>2025</v>
      </c>
      <c r="AW23" s="20" t="s">
        <v>938</v>
      </c>
      <c r="AX23" s="18" t="s">
        <v>939</v>
      </c>
      <c r="AY23" s="18" t="s">
        <v>67</v>
      </c>
      <c r="AZ23" s="21">
        <v>0.45</v>
      </c>
      <c r="BA23" s="18" t="s">
        <v>5</v>
      </c>
      <c r="BB23" s="21">
        <v>4500</v>
      </c>
      <c r="BC23" s="19">
        <v>2025</v>
      </c>
    </row>
    <row r="24" spans="1:55" x14ac:dyDescent="0.35">
      <c r="A24" s="38" t="str">
        <v>CETS0027</v>
      </c>
      <c r="B24" s="31" t="str">
        <f t="shared" si="0"/>
        <v>PLASTIK KRESEK HITAM 35 (Utk Tong Sampah)</v>
      </c>
      <c r="C24" s="31" t="str">
        <f t="shared" si="1"/>
        <v>CLEANING TOOLS AND SUPPLIES</v>
      </c>
      <c r="D24" s="31" t="str">
        <f t="shared" si="2"/>
        <v>pack</v>
      </c>
      <c r="E24" s="40">
        <f t="shared" si="3"/>
        <v>15232.591500000002</v>
      </c>
      <c r="F24" s="48">
        <f t="shared" si="4"/>
        <v>3</v>
      </c>
      <c r="G24" s="48">
        <f t="shared" si="5"/>
        <v>3</v>
      </c>
      <c r="H24" s="48">
        <f t="shared" si="6"/>
        <v>0</v>
      </c>
      <c r="I24" s="40">
        <f t="shared" si="7"/>
        <v>0</v>
      </c>
      <c r="J24" s="39" t="str">
        <f t="shared" si="8"/>
        <v>Tidak Ada Perubahan</v>
      </c>
      <c r="K24" s="81" t="s">
        <v>1259</v>
      </c>
      <c r="O24" s="86" t="s">
        <v>21</v>
      </c>
      <c r="P24" s="87" t="s">
        <v>11</v>
      </c>
      <c r="Q24" t="s">
        <v>482</v>
      </c>
      <c r="V24" s="4"/>
      <c r="X24" s="3" t="s">
        <v>453</v>
      </c>
      <c r="Y24" t="s">
        <v>454</v>
      </c>
      <c r="Z24" t="s">
        <v>41</v>
      </c>
      <c r="AA24" s="10">
        <v>1</v>
      </c>
      <c r="AB24" t="s">
        <v>267</v>
      </c>
      <c r="AC24" s="10">
        <v>16973.849999999999</v>
      </c>
      <c r="AD24" s="4">
        <v>16973.849999999999</v>
      </c>
      <c r="AF24" s="20">
        <v>12</v>
      </c>
      <c r="AG24" s="18" t="s">
        <v>308</v>
      </c>
      <c r="AH24" s="18" t="s">
        <v>309</v>
      </c>
      <c r="AI24" s="18" t="s">
        <v>41</v>
      </c>
      <c r="AJ24" s="21">
        <v>5</v>
      </c>
      <c r="AK24" s="18" t="s">
        <v>20</v>
      </c>
      <c r="AL24" s="21">
        <v>6800</v>
      </c>
      <c r="AM24" s="19">
        <v>34000</v>
      </c>
      <c r="AO24" s="20" t="s">
        <v>70</v>
      </c>
      <c r="AP24" s="18" t="s">
        <v>71</v>
      </c>
      <c r="AQ24" s="18" t="s">
        <v>67</v>
      </c>
      <c r="AR24" s="21">
        <v>1</v>
      </c>
      <c r="AS24" s="18" t="s">
        <v>5</v>
      </c>
      <c r="AT24" s="21">
        <v>9000</v>
      </c>
      <c r="AU24" s="19">
        <v>9000</v>
      </c>
      <c r="AW24" s="20" t="s">
        <v>70</v>
      </c>
      <c r="AX24" s="18" t="s">
        <v>71</v>
      </c>
      <c r="AY24" s="18" t="s">
        <v>67</v>
      </c>
      <c r="AZ24" s="21">
        <v>1</v>
      </c>
      <c r="BA24" s="18" t="s">
        <v>5</v>
      </c>
      <c r="BB24" s="21">
        <v>9000</v>
      </c>
      <c r="BC24" s="19">
        <v>9000</v>
      </c>
    </row>
    <row r="25" spans="1:55" x14ac:dyDescent="0.35">
      <c r="A25" s="38" t="str">
        <v>CETS0048</v>
      </c>
      <c r="B25" s="31" t="str">
        <f t="shared" si="0"/>
        <v>SEDOTAN LALAT</v>
      </c>
      <c r="C25" s="31" t="str">
        <f t="shared" si="1"/>
        <v>CLEANING TOOLS AND SUPPLIES</v>
      </c>
      <c r="D25" s="31" t="str">
        <f t="shared" si="2"/>
        <v>pcs</v>
      </c>
      <c r="E25" s="40">
        <f t="shared" si="3"/>
        <v>881.59</v>
      </c>
      <c r="F25" s="48" t="str">
        <f t="shared" si="4"/>
        <v>0</v>
      </c>
      <c r="G25" s="48">
        <f t="shared" si="5"/>
        <v>40</v>
      </c>
      <c r="H25" s="48">
        <f t="shared" si="6"/>
        <v>40</v>
      </c>
      <c r="I25" s="40">
        <f t="shared" si="7"/>
        <v>35263.599999999999</v>
      </c>
      <c r="J25" s="39" t="str">
        <f t="shared" si="8"/>
        <v>Kenaikan IU</v>
      </c>
      <c r="K25" s="81" t="s">
        <v>1259</v>
      </c>
      <c r="O25" s="86" t="s">
        <v>26</v>
      </c>
      <c r="P25" s="87" t="s">
        <v>11</v>
      </c>
      <c r="Q25" t="s">
        <v>491</v>
      </c>
      <c r="V25" s="4"/>
      <c r="X25" s="3" t="s">
        <v>407</v>
      </c>
      <c r="Y25" t="s">
        <v>408</v>
      </c>
      <c r="Z25" t="s">
        <v>41</v>
      </c>
      <c r="AA25" s="10">
        <v>2</v>
      </c>
      <c r="AB25" t="s">
        <v>267</v>
      </c>
      <c r="AC25" s="10">
        <v>41946.666700000002</v>
      </c>
      <c r="AD25" s="4">
        <v>83893.333400000003</v>
      </c>
      <c r="AF25" s="20">
        <v>13</v>
      </c>
      <c r="AG25" s="18" t="s">
        <v>53</v>
      </c>
      <c r="AH25" s="18" t="s">
        <v>54</v>
      </c>
      <c r="AI25" s="18" t="s">
        <v>41</v>
      </c>
      <c r="AJ25" s="21">
        <v>9</v>
      </c>
      <c r="AK25" s="18" t="s">
        <v>20</v>
      </c>
      <c r="AL25" s="21">
        <v>2993.33</v>
      </c>
      <c r="AM25" s="19">
        <v>26939.97</v>
      </c>
      <c r="AO25" s="20" t="s">
        <v>507</v>
      </c>
      <c r="AP25" s="18" t="s">
        <v>508</v>
      </c>
      <c r="AQ25" s="18" t="s">
        <v>67</v>
      </c>
      <c r="AR25" s="21">
        <v>2</v>
      </c>
      <c r="AS25" s="18" t="s">
        <v>5</v>
      </c>
      <c r="AT25" s="21">
        <v>6250</v>
      </c>
      <c r="AU25" s="19">
        <v>12500</v>
      </c>
      <c r="AW25" s="20" t="s">
        <v>507</v>
      </c>
      <c r="AX25" s="18" t="s">
        <v>508</v>
      </c>
      <c r="AY25" s="18" t="s">
        <v>67</v>
      </c>
      <c r="AZ25" s="21">
        <v>2</v>
      </c>
      <c r="BA25" s="18" t="s">
        <v>5</v>
      </c>
      <c r="BB25" s="21">
        <v>6250</v>
      </c>
      <c r="BC25" s="19">
        <v>12500</v>
      </c>
    </row>
    <row r="26" spans="1:55" x14ac:dyDescent="0.35">
      <c r="A26" s="38" t="str">
        <v>STA00003</v>
      </c>
      <c r="B26" s="31" t="str">
        <f t="shared" si="0"/>
        <v>AMPLOP COKLAT</v>
      </c>
      <c r="C26" s="31" t="str">
        <f t="shared" si="1"/>
        <v>STATIONARY AND OFFICE SUPPLIES</v>
      </c>
      <c r="D26" s="31" t="str">
        <f t="shared" si="2"/>
        <v>pcs</v>
      </c>
      <c r="E26" s="40">
        <f t="shared" si="3"/>
        <v>320</v>
      </c>
      <c r="F26" s="48" t="str">
        <f t="shared" si="4"/>
        <v>0</v>
      </c>
      <c r="G26" s="48">
        <f t="shared" si="5"/>
        <v>80</v>
      </c>
      <c r="H26" s="48">
        <f t="shared" si="6"/>
        <v>80</v>
      </c>
      <c r="I26" s="40">
        <f t="shared" si="7"/>
        <v>25600</v>
      </c>
      <c r="J26" s="39" t="str">
        <f t="shared" si="8"/>
        <v>Kenaikan IU</v>
      </c>
      <c r="K26" s="81" t="s">
        <v>1259</v>
      </c>
      <c r="O26" s="86" t="s">
        <v>31</v>
      </c>
      <c r="P26" s="87" t="s">
        <v>11</v>
      </c>
      <c r="Q26" t="s">
        <v>186</v>
      </c>
      <c r="V26" s="4"/>
      <c r="X26" s="3" t="s">
        <v>455</v>
      </c>
      <c r="Y26" t="s">
        <v>456</v>
      </c>
      <c r="Z26" t="s">
        <v>41</v>
      </c>
      <c r="AA26" s="10">
        <v>1</v>
      </c>
      <c r="AB26" t="s">
        <v>20</v>
      </c>
      <c r="AC26" s="10">
        <v>34900</v>
      </c>
      <c r="AD26" s="4">
        <v>34900</v>
      </c>
      <c r="AF26" s="20">
        <v>14</v>
      </c>
      <c r="AG26" s="18" t="s">
        <v>407</v>
      </c>
      <c r="AH26" s="18" t="s">
        <v>408</v>
      </c>
      <c r="AI26" s="18" t="s">
        <v>41</v>
      </c>
      <c r="AJ26" s="21">
        <v>1</v>
      </c>
      <c r="AK26" s="18" t="s">
        <v>267</v>
      </c>
      <c r="AL26" s="21">
        <v>41946.666700000002</v>
      </c>
      <c r="AM26" s="19">
        <v>41946.666700000002</v>
      </c>
      <c r="AO26" s="20" t="s">
        <v>72</v>
      </c>
      <c r="AP26" s="18" t="s">
        <v>73</v>
      </c>
      <c r="AQ26" s="18" t="s">
        <v>67</v>
      </c>
      <c r="AR26" s="21">
        <v>6</v>
      </c>
      <c r="AS26" s="18" t="s">
        <v>74</v>
      </c>
      <c r="AT26" s="21">
        <v>2907.4922999999999</v>
      </c>
      <c r="AU26" s="19">
        <v>17444.953799999999</v>
      </c>
      <c r="AW26" s="20" t="s">
        <v>72</v>
      </c>
      <c r="AX26" s="18" t="s">
        <v>73</v>
      </c>
      <c r="AY26" s="18" t="s">
        <v>67</v>
      </c>
      <c r="AZ26" s="21">
        <v>6</v>
      </c>
      <c r="BA26" s="18" t="s">
        <v>74</v>
      </c>
      <c r="BB26" s="21">
        <v>2907.4922999999999</v>
      </c>
      <c r="BC26" s="19">
        <v>17444.953799999999</v>
      </c>
    </row>
    <row r="27" spans="1:55" x14ac:dyDescent="0.35">
      <c r="A27" s="38" t="str">
        <v>STA00007</v>
      </c>
      <c r="B27" s="31" t="str">
        <f t="shared" si="0"/>
        <v>ISI CUTTER</v>
      </c>
      <c r="C27" s="31" t="str">
        <f t="shared" si="1"/>
        <v>STATIONARY AND OFFICE SUPPLIES</v>
      </c>
      <c r="D27" s="31" t="str">
        <f t="shared" si="2"/>
        <v>pack</v>
      </c>
      <c r="E27" s="40">
        <f t="shared" si="3"/>
        <v>4500</v>
      </c>
      <c r="F27" s="48" t="str">
        <f t="shared" si="4"/>
        <v>0</v>
      </c>
      <c r="G27" s="48">
        <f t="shared" si="5"/>
        <v>0.45</v>
      </c>
      <c r="H27" s="48">
        <f t="shared" si="6"/>
        <v>0.45</v>
      </c>
      <c r="I27" s="40">
        <f t="shared" si="7"/>
        <v>2025</v>
      </c>
      <c r="J27" s="39" t="str">
        <f t="shared" si="8"/>
        <v>Kenaikan IU</v>
      </c>
      <c r="K27" s="81" t="s">
        <v>1259</v>
      </c>
      <c r="O27" s="86" t="s">
        <v>35</v>
      </c>
      <c r="P27" s="87" t="s">
        <v>11</v>
      </c>
      <c r="Q27" t="s">
        <v>492</v>
      </c>
      <c r="V27" s="4"/>
      <c r="X27" s="3" t="s">
        <v>57</v>
      </c>
      <c r="Y27" t="s">
        <v>58</v>
      </c>
      <c r="Z27" t="s">
        <v>41</v>
      </c>
      <c r="AA27" s="10">
        <v>21</v>
      </c>
      <c r="AB27" t="s">
        <v>5</v>
      </c>
      <c r="AC27" s="10">
        <v>7699.2201999999997</v>
      </c>
      <c r="AD27" s="4">
        <v>161683.62419999999</v>
      </c>
      <c r="AF27" s="20">
        <v>15</v>
      </c>
      <c r="AG27" s="18" t="s">
        <v>667</v>
      </c>
      <c r="AH27" s="18" t="s">
        <v>668</v>
      </c>
      <c r="AI27" s="18" t="s">
        <v>41</v>
      </c>
      <c r="AJ27" s="21">
        <v>1</v>
      </c>
      <c r="AK27" s="18" t="s">
        <v>20</v>
      </c>
      <c r="AL27" s="21">
        <v>14915</v>
      </c>
      <c r="AM27" s="19">
        <v>14915</v>
      </c>
      <c r="AO27" s="20" t="s">
        <v>325</v>
      </c>
      <c r="AP27" s="18" t="s">
        <v>326</v>
      </c>
      <c r="AQ27" s="18" t="s">
        <v>67</v>
      </c>
      <c r="AR27" s="21">
        <v>0.1</v>
      </c>
      <c r="AS27" s="18" t="s">
        <v>5</v>
      </c>
      <c r="AT27" s="21">
        <v>46500</v>
      </c>
      <c r="AU27" s="19">
        <v>4650</v>
      </c>
      <c r="AW27" s="20" t="s">
        <v>325</v>
      </c>
      <c r="AX27" s="18" t="s">
        <v>326</v>
      </c>
      <c r="AY27" s="18" t="s">
        <v>67</v>
      </c>
      <c r="AZ27" s="21">
        <v>0.1</v>
      </c>
      <c r="BA27" s="18" t="s">
        <v>5</v>
      </c>
      <c r="BB27" s="21">
        <v>46500</v>
      </c>
      <c r="BC27" s="19">
        <v>4650</v>
      </c>
    </row>
    <row r="28" spans="1:55" x14ac:dyDescent="0.35">
      <c r="A28" s="38" t="str">
        <v>STA00019</v>
      </c>
      <c r="B28" s="31" t="str">
        <f t="shared" si="0"/>
        <v>BATERAI AAA</v>
      </c>
      <c r="C28" s="31" t="str">
        <f t="shared" si="1"/>
        <v>STATIONARY AND OFFICE SUPPLIES</v>
      </c>
      <c r="D28" s="31" t="str">
        <f t="shared" si="2"/>
        <v>pack</v>
      </c>
      <c r="E28" s="40">
        <f t="shared" si="3"/>
        <v>9000</v>
      </c>
      <c r="F28" s="48">
        <f t="shared" si="4"/>
        <v>1</v>
      </c>
      <c r="G28" s="48">
        <f t="shared" si="5"/>
        <v>1</v>
      </c>
      <c r="H28" s="48">
        <f t="shared" si="6"/>
        <v>0</v>
      </c>
      <c r="I28" s="40">
        <f t="shared" si="7"/>
        <v>0</v>
      </c>
      <c r="J28" s="39" t="str">
        <f t="shared" si="8"/>
        <v>Tidak Ada Perubahan</v>
      </c>
      <c r="K28" s="81" t="s">
        <v>1259</v>
      </c>
      <c r="O28" s="3"/>
      <c r="V28" s="4"/>
      <c r="X28" s="3" t="s">
        <v>59</v>
      </c>
      <c r="Y28" t="s">
        <v>60</v>
      </c>
      <c r="Z28" t="s">
        <v>41</v>
      </c>
      <c r="AA28" s="10">
        <v>51</v>
      </c>
      <c r="AB28" t="s">
        <v>5</v>
      </c>
      <c r="AC28" s="10">
        <v>7699.9511000000002</v>
      </c>
      <c r="AD28" s="4">
        <v>392697.5061</v>
      </c>
      <c r="AF28" s="20">
        <v>16</v>
      </c>
      <c r="AG28" s="18" t="s">
        <v>310</v>
      </c>
      <c r="AH28" s="18" t="s">
        <v>311</v>
      </c>
      <c r="AI28" s="18" t="s">
        <v>41</v>
      </c>
      <c r="AJ28" s="21">
        <v>2</v>
      </c>
      <c r="AK28" s="18" t="s">
        <v>20</v>
      </c>
      <c r="AL28" s="21">
        <v>7500</v>
      </c>
      <c r="AM28" s="19">
        <v>15000</v>
      </c>
      <c r="AO28" s="20" t="s">
        <v>357</v>
      </c>
      <c r="AP28" s="18" t="s">
        <v>358</v>
      </c>
      <c r="AQ28" s="18" t="s">
        <v>67</v>
      </c>
      <c r="AR28" s="21">
        <v>0.5</v>
      </c>
      <c r="AS28" s="18" t="s">
        <v>5</v>
      </c>
      <c r="AT28" s="21">
        <v>31592.592599999993</v>
      </c>
      <c r="AU28" s="19">
        <v>15796.2963</v>
      </c>
      <c r="AW28" s="20" t="s">
        <v>357</v>
      </c>
      <c r="AX28" s="18" t="s">
        <v>358</v>
      </c>
      <c r="AY28" s="18" t="s">
        <v>67</v>
      </c>
      <c r="AZ28" s="21">
        <v>0.5</v>
      </c>
      <c r="BA28" s="18" t="s">
        <v>5</v>
      </c>
      <c r="BB28" s="21">
        <v>31592.592599999993</v>
      </c>
      <c r="BC28" s="19">
        <v>15796.2963</v>
      </c>
    </row>
    <row r="29" spans="1:55" x14ac:dyDescent="0.35">
      <c r="A29" s="38" t="str">
        <v>STA00023</v>
      </c>
      <c r="B29" s="31" t="str">
        <f t="shared" si="0"/>
        <v>TOM&amp;JERRY 100</v>
      </c>
      <c r="C29" s="31" t="str">
        <f t="shared" si="1"/>
        <v>STATIONARY AND OFFICE SUPPLIES</v>
      </c>
      <c r="D29" s="31" t="str">
        <f t="shared" si="2"/>
        <v>pack</v>
      </c>
      <c r="E29" s="40">
        <f t="shared" si="3"/>
        <v>6250</v>
      </c>
      <c r="F29" s="48">
        <f t="shared" si="4"/>
        <v>2</v>
      </c>
      <c r="G29" s="48">
        <f t="shared" si="5"/>
        <v>2</v>
      </c>
      <c r="H29" s="48">
        <f t="shared" si="6"/>
        <v>0</v>
      </c>
      <c r="I29" s="40">
        <f t="shared" si="7"/>
        <v>0</v>
      </c>
      <c r="J29" s="39" t="str">
        <f t="shared" si="8"/>
        <v>Tidak Ada Perubahan</v>
      </c>
      <c r="K29" s="81" t="s">
        <v>1259</v>
      </c>
      <c r="O29" s="3" t="s">
        <v>42</v>
      </c>
      <c r="P29" t="s">
        <v>43</v>
      </c>
      <c r="Q29" t="s">
        <v>44</v>
      </c>
      <c r="R29" t="s">
        <v>45</v>
      </c>
      <c r="S29" t="s">
        <v>46</v>
      </c>
      <c r="T29" t="s">
        <v>47</v>
      </c>
      <c r="U29" t="s">
        <v>48</v>
      </c>
      <c r="V29" s="4" t="s">
        <v>49</v>
      </c>
      <c r="X29" s="3" t="s">
        <v>61</v>
      </c>
      <c r="Y29" t="s">
        <v>62</v>
      </c>
      <c r="Z29" t="s">
        <v>41</v>
      </c>
      <c r="AA29" s="10">
        <v>3</v>
      </c>
      <c r="AB29" t="s">
        <v>5</v>
      </c>
      <c r="AC29" s="10">
        <v>15232.591500000002</v>
      </c>
      <c r="AD29" s="4">
        <v>45697.7745</v>
      </c>
      <c r="AF29" s="20">
        <v>17</v>
      </c>
      <c r="AG29" s="18" t="s">
        <v>57</v>
      </c>
      <c r="AH29" s="18" t="s">
        <v>58</v>
      </c>
      <c r="AI29" s="18" t="s">
        <v>41</v>
      </c>
      <c r="AJ29" s="21">
        <v>9</v>
      </c>
      <c r="AK29" s="18" t="s">
        <v>5</v>
      </c>
      <c r="AL29" s="21">
        <v>7699.2201999999997</v>
      </c>
      <c r="AM29" s="19">
        <v>69292.981799999994</v>
      </c>
      <c r="AO29" s="20" t="s">
        <v>240</v>
      </c>
      <c r="AP29" s="18" t="s">
        <v>241</v>
      </c>
      <c r="AQ29" s="18" t="s">
        <v>67</v>
      </c>
      <c r="AR29" s="21">
        <v>1</v>
      </c>
      <c r="AS29" s="18" t="s">
        <v>20</v>
      </c>
      <c r="AT29" s="21">
        <v>22500</v>
      </c>
      <c r="AU29" s="19">
        <v>22500</v>
      </c>
      <c r="AW29" s="20" t="s">
        <v>240</v>
      </c>
      <c r="AX29" s="18" t="s">
        <v>241</v>
      </c>
      <c r="AY29" s="18" t="s">
        <v>67</v>
      </c>
      <c r="AZ29" s="21">
        <v>1</v>
      </c>
      <c r="BA29" s="18" t="s">
        <v>20</v>
      </c>
      <c r="BB29" s="21">
        <v>22500</v>
      </c>
      <c r="BC29" s="19">
        <v>22500</v>
      </c>
    </row>
    <row r="30" spans="1:55" x14ac:dyDescent="0.35">
      <c r="A30" s="38" t="str">
        <v>STA00028</v>
      </c>
      <c r="B30" s="31" t="str">
        <f t="shared" si="0"/>
        <v>SOLATIP KECIL 12 MM</v>
      </c>
      <c r="C30" s="31" t="str">
        <f t="shared" si="1"/>
        <v>STATIONARY AND OFFICE SUPPLIES</v>
      </c>
      <c r="D30" s="31" t="str">
        <f t="shared" si="2"/>
        <v>roll</v>
      </c>
      <c r="E30" s="40">
        <f t="shared" si="3"/>
        <v>2907.4922999999999</v>
      </c>
      <c r="F30" s="48">
        <f t="shared" si="4"/>
        <v>16</v>
      </c>
      <c r="G30" s="48">
        <f t="shared" si="5"/>
        <v>6</v>
      </c>
      <c r="H30" s="48">
        <f t="shared" si="6"/>
        <v>-10</v>
      </c>
      <c r="I30" s="40">
        <f t="shared" si="7"/>
        <v>-29074.922999999999</v>
      </c>
      <c r="J30" s="39" t="str">
        <f t="shared" si="8"/>
        <v>Penurunan IU</v>
      </c>
      <c r="K30" s="81" t="s">
        <v>1259</v>
      </c>
      <c r="O30" s="3">
        <v>1</v>
      </c>
      <c r="P30" t="s">
        <v>414</v>
      </c>
      <c r="Q30" t="s">
        <v>415</v>
      </c>
      <c r="R30" t="s">
        <v>120</v>
      </c>
      <c r="S30">
        <v>1</v>
      </c>
      <c r="T30" t="s">
        <v>20</v>
      </c>
      <c r="U30">
        <v>85000</v>
      </c>
      <c r="V30" s="4">
        <v>85000</v>
      </c>
      <c r="X30" s="3" t="s">
        <v>493</v>
      </c>
      <c r="Y30" t="s">
        <v>494</v>
      </c>
      <c r="Z30" t="s">
        <v>41</v>
      </c>
      <c r="AA30">
        <v>1</v>
      </c>
      <c r="AB30" t="s">
        <v>20</v>
      </c>
      <c r="AC30">
        <v>12200</v>
      </c>
      <c r="AD30" s="4">
        <v>12200</v>
      </c>
      <c r="AF30" s="20">
        <v>18</v>
      </c>
      <c r="AG30" s="18" t="s">
        <v>59</v>
      </c>
      <c r="AH30" s="18" t="s">
        <v>60</v>
      </c>
      <c r="AI30" s="18" t="s">
        <v>41</v>
      </c>
      <c r="AJ30" s="21">
        <v>26</v>
      </c>
      <c r="AK30" s="18" t="s">
        <v>5</v>
      </c>
      <c r="AL30" s="21">
        <v>7699.9816000000001</v>
      </c>
      <c r="AM30" s="19">
        <v>200199.52160000001</v>
      </c>
      <c r="AO30" s="20" t="s">
        <v>85</v>
      </c>
      <c r="AP30" s="18" t="s">
        <v>86</v>
      </c>
      <c r="AQ30" s="18" t="s">
        <v>67</v>
      </c>
      <c r="AR30" s="21">
        <v>1</v>
      </c>
      <c r="AS30" s="18" t="s">
        <v>87</v>
      </c>
      <c r="AT30" s="21">
        <v>16400</v>
      </c>
      <c r="AU30" s="19">
        <v>16400</v>
      </c>
      <c r="AW30" s="20" t="s">
        <v>85</v>
      </c>
      <c r="AX30" s="18" t="s">
        <v>86</v>
      </c>
      <c r="AY30" s="18" t="s">
        <v>67</v>
      </c>
      <c r="AZ30" s="21">
        <v>1</v>
      </c>
      <c r="BA30" s="18" t="s">
        <v>87</v>
      </c>
      <c r="BB30" s="21">
        <v>16400</v>
      </c>
      <c r="BC30" s="19">
        <v>16400</v>
      </c>
    </row>
    <row r="31" spans="1:55" ht="15" thickBot="1" x14ac:dyDescent="0.4">
      <c r="A31" s="38" t="str">
        <v>STA00037</v>
      </c>
      <c r="B31" s="31" t="str">
        <f t="shared" si="0"/>
        <v>KERTAS HVS A4</v>
      </c>
      <c r="C31" s="31" t="str">
        <f t="shared" si="1"/>
        <v>STATIONARY AND OFFICE SUPPLIES</v>
      </c>
      <c r="D31" s="31" t="str">
        <f t="shared" si="2"/>
        <v>pack</v>
      </c>
      <c r="E31" s="40">
        <f t="shared" si="3"/>
        <v>46500</v>
      </c>
      <c r="F31" s="48">
        <f t="shared" si="4"/>
        <v>2</v>
      </c>
      <c r="G31" s="48">
        <f t="shared" si="5"/>
        <v>0.1</v>
      </c>
      <c r="H31" s="48">
        <f t="shared" si="6"/>
        <v>-1.9</v>
      </c>
      <c r="I31" s="40">
        <f t="shared" si="7"/>
        <v>-88350</v>
      </c>
      <c r="J31" s="39" t="str">
        <f t="shared" si="8"/>
        <v>Penurunan IU</v>
      </c>
      <c r="K31" s="81" t="s">
        <v>1259</v>
      </c>
      <c r="O31" s="11" t="s">
        <v>223</v>
      </c>
      <c r="P31" s="12" t="s">
        <v>223</v>
      </c>
      <c r="Q31" s="12" t="s">
        <v>223</v>
      </c>
      <c r="R31" s="12" t="s">
        <v>223</v>
      </c>
      <c r="S31" s="12" t="s">
        <v>223</v>
      </c>
      <c r="T31" s="12" t="s">
        <v>223</v>
      </c>
      <c r="U31" s="12" t="s">
        <v>224</v>
      </c>
      <c r="V31" s="13">
        <v>85000</v>
      </c>
      <c r="X31" s="3" t="s">
        <v>460</v>
      </c>
      <c r="Y31" t="s">
        <v>461</v>
      </c>
      <c r="Z31" t="s">
        <v>117</v>
      </c>
      <c r="AA31" s="10">
        <v>3</v>
      </c>
      <c r="AB31" t="s">
        <v>20</v>
      </c>
      <c r="AC31" s="10">
        <v>142857.114</v>
      </c>
      <c r="AD31" s="4">
        <v>428571.342</v>
      </c>
      <c r="AF31" s="20">
        <v>19</v>
      </c>
      <c r="AG31" s="18" t="s">
        <v>61</v>
      </c>
      <c r="AH31" s="18" t="s">
        <v>62</v>
      </c>
      <c r="AI31" s="18" t="s">
        <v>41</v>
      </c>
      <c r="AJ31" s="21">
        <v>3</v>
      </c>
      <c r="AK31" s="18" t="s">
        <v>5</v>
      </c>
      <c r="AL31" s="21">
        <v>15232.591500000002</v>
      </c>
      <c r="AM31" s="19">
        <v>45697.7745</v>
      </c>
      <c r="AO31" s="20" t="s">
        <v>242</v>
      </c>
      <c r="AP31" s="18" t="s">
        <v>243</v>
      </c>
      <c r="AQ31" s="18" t="s">
        <v>67</v>
      </c>
      <c r="AR31" s="21">
        <v>1.7</v>
      </c>
      <c r="AS31" s="18" t="s">
        <v>87</v>
      </c>
      <c r="AT31" s="21">
        <v>13283.783799999999</v>
      </c>
      <c r="AU31" s="19">
        <v>22582.43246</v>
      </c>
      <c r="AW31" s="20" t="s">
        <v>242</v>
      </c>
      <c r="AX31" s="18" t="s">
        <v>243</v>
      </c>
      <c r="AY31" s="18" t="s">
        <v>67</v>
      </c>
      <c r="AZ31" s="21">
        <v>1.7</v>
      </c>
      <c r="BA31" s="18" t="s">
        <v>87</v>
      </c>
      <c r="BB31" s="21">
        <v>13283.783799999999</v>
      </c>
      <c r="BC31" s="19">
        <v>22582.43246</v>
      </c>
    </row>
    <row r="32" spans="1:55" ht="15.5" thickTop="1" thickBot="1" x14ac:dyDescent="0.4">
      <c r="A32" s="38" t="str">
        <v>STA00042</v>
      </c>
      <c r="B32" s="31" t="str">
        <f t="shared" si="0"/>
        <v>KARET GELANG</v>
      </c>
      <c r="C32" s="31" t="str">
        <f t="shared" si="1"/>
        <v>STATIONARY AND OFFICE SUPPLIES</v>
      </c>
      <c r="D32" s="31" t="str">
        <f t="shared" si="2"/>
        <v>pack</v>
      </c>
      <c r="E32" s="40">
        <f t="shared" si="3"/>
        <v>31592.592599999993</v>
      </c>
      <c r="F32" s="48">
        <f t="shared" si="4"/>
        <v>0.5</v>
      </c>
      <c r="G32" s="48">
        <f t="shared" si="5"/>
        <v>0.5</v>
      </c>
      <c r="H32" s="48">
        <f t="shared" si="6"/>
        <v>0</v>
      </c>
      <c r="I32" s="40">
        <f t="shared" si="7"/>
        <v>0</v>
      </c>
      <c r="J32" s="39" t="str">
        <f t="shared" si="8"/>
        <v>Tidak Ada Perubahan</v>
      </c>
      <c r="K32" s="81" t="s">
        <v>1259</v>
      </c>
      <c r="X32" s="3" t="s">
        <v>115</v>
      </c>
      <c r="Y32" t="s">
        <v>116</v>
      </c>
      <c r="Z32" t="s">
        <v>117</v>
      </c>
      <c r="AA32" s="10">
        <v>1000</v>
      </c>
      <c r="AB32" t="s">
        <v>52</v>
      </c>
      <c r="AC32" s="10">
        <v>628.57100000000003</v>
      </c>
      <c r="AD32" s="4">
        <v>628571</v>
      </c>
      <c r="AF32" s="20">
        <v>20</v>
      </c>
      <c r="AG32" s="18" t="s">
        <v>314</v>
      </c>
      <c r="AH32" s="18" t="s">
        <v>315</v>
      </c>
      <c r="AI32" s="18" t="s">
        <v>41</v>
      </c>
      <c r="AJ32" s="18">
        <v>40</v>
      </c>
      <c r="AK32" s="18" t="s">
        <v>20</v>
      </c>
      <c r="AL32" s="18">
        <v>881.59</v>
      </c>
      <c r="AM32" s="19">
        <v>35263.599999999999</v>
      </c>
      <c r="AO32" s="20" t="s">
        <v>246</v>
      </c>
      <c r="AP32" s="18" t="s">
        <v>247</v>
      </c>
      <c r="AQ32" s="18" t="s">
        <v>67</v>
      </c>
      <c r="AR32" s="21">
        <v>3</v>
      </c>
      <c r="AS32" s="18" t="s">
        <v>5</v>
      </c>
      <c r="AT32" s="21">
        <v>1400</v>
      </c>
      <c r="AU32" s="19">
        <v>4200</v>
      </c>
      <c r="AW32" s="20" t="s">
        <v>246</v>
      </c>
      <c r="AX32" s="18" t="s">
        <v>247</v>
      </c>
      <c r="AY32" s="18" t="s">
        <v>67</v>
      </c>
      <c r="AZ32" s="21">
        <v>3</v>
      </c>
      <c r="BA32" s="18" t="s">
        <v>5</v>
      </c>
      <c r="BB32" s="21">
        <v>1400</v>
      </c>
      <c r="BC32" s="19">
        <v>4200</v>
      </c>
    </row>
    <row r="33" spans="1:55" ht="15.5" thickTop="1" thickBot="1" x14ac:dyDescent="0.4">
      <c r="A33" s="38" t="str">
        <v>STA00049</v>
      </c>
      <c r="B33" s="31" t="str">
        <f t="shared" si="0"/>
        <v>TAPE DISPENSER</v>
      </c>
      <c r="C33" s="31" t="str">
        <f t="shared" si="1"/>
        <v>STATIONARY AND OFFICE SUPPLIES</v>
      </c>
      <c r="D33" s="31" t="str">
        <f t="shared" si="2"/>
        <v>pcs</v>
      </c>
      <c r="E33" s="40">
        <f t="shared" si="3"/>
        <v>22500</v>
      </c>
      <c r="F33" s="48" t="str">
        <f t="shared" si="4"/>
        <v>0</v>
      </c>
      <c r="G33" s="48">
        <f t="shared" si="5"/>
        <v>1</v>
      </c>
      <c r="H33" s="48">
        <f t="shared" si="6"/>
        <v>1</v>
      </c>
      <c r="I33" s="40">
        <f t="shared" si="7"/>
        <v>22500</v>
      </c>
      <c r="J33" s="39" t="str">
        <f t="shared" si="8"/>
        <v>Kenaikan IU</v>
      </c>
      <c r="K33" s="81" t="s">
        <v>1259</v>
      </c>
      <c r="O33" s="88" t="s">
        <v>0</v>
      </c>
      <c r="P33" s="89"/>
      <c r="Q33" s="89"/>
      <c r="R33" s="89"/>
      <c r="S33" s="89"/>
      <c r="T33" s="1"/>
      <c r="U33" s="1"/>
      <c r="V33" s="2"/>
      <c r="X33" s="3" t="s">
        <v>350</v>
      </c>
      <c r="Y33" t="s">
        <v>351</v>
      </c>
      <c r="Z33" t="s">
        <v>117</v>
      </c>
      <c r="AA33" s="10">
        <v>1</v>
      </c>
      <c r="AB33" t="s">
        <v>20</v>
      </c>
      <c r="AC33" s="10">
        <v>115000</v>
      </c>
      <c r="AD33" s="4">
        <v>115000</v>
      </c>
      <c r="AF33" s="22" t="s">
        <v>223</v>
      </c>
      <c r="AG33" s="23" t="s">
        <v>223</v>
      </c>
      <c r="AH33" s="23" t="s">
        <v>223</v>
      </c>
      <c r="AI33" s="23" t="s">
        <v>223</v>
      </c>
      <c r="AJ33" s="23" t="s">
        <v>223</v>
      </c>
      <c r="AK33" s="23" t="s">
        <v>223</v>
      </c>
      <c r="AL33" s="23" t="s">
        <v>224</v>
      </c>
      <c r="AM33" s="24">
        <v>2072043.9901999999</v>
      </c>
      <c r="AO33" s="20" t="s">
        <v>252</v>
      </c>
      <c r="AP33" s="18" t="s">
        <v>253</v>
      </c>
      <c r="AQ33" s="18" t="s">
        <v>67</v>
      </c>
      <c r="AR33" s="21">
        <v>1.3</v>
      </c>
      <c r="AS33" s="18" t="s">
        <v>5</v>
      </c>
      <c r="AT33" s="21">
        <v>50000</v>
      </c>
      <c r="AU33" s="19">
        <v>65000</v>
      </c>
      <c r="AW33" s="20" t="s">
        <v>252</v>
      </c>
      <c r="AX33" s="18" t="s">
        <v>253</v>
      </c>
      <c r="AY33" s="18" t="s">
        <v>67</v>
      </c>
      <c r="AZ33" s="21">
        <v>1.3</v>
      </c>
      <c r="BA33" s="18" t="s">
        <v>5</v>
      </c>
      <c r="BB33" s="21">
        <v>50000</v>
      </c>
      <c r="BC33" s="19">
        <v>65000</v>
      </c>
    </row>
    <row r="34" spans="1:55" x14ac:dyDescent="0.35">
      <c r="A34" s="38" t="str">
        <v>STA00051</v>
      </c>
      <c r="B34" s="31" t="str">
        <f t="shared" si="0"/>
        <v>PANADOL HIJAU</v>
      </c>
      <c r="C34" s="31" t="str">
        <f t="shared" si="1"/>
        <v>STATIONARY AND OFFICE SUPPLIES</v>
      </c>
      <c r="D34" s="31" t="str">
        <f t="shared" si="2"/>
        <v>str</v>
      </c>
      <c r="E34" s="40">
        <f t="shared" si="3"/>
        <v>16400</v>
      </c>
      <c r="F34" s="48" t="str">
        <f t="shared" si="4"/>
        <v>0</v>
      </c>
      <c r="G34" s="48">
        <f t="shared" si="5"/>
        <v>1</v>
      </c>
      <c r="H34" s="48">
        <f t="shared" si="6"/>
        <v>1</v>
      </c>
      <c r="I34" s="40">
        <f t="shared" si="7"/>
        <v>16400</v>
      </c>
      <c r="J34" s="39" t="str">
        <f t="shared" si="8"/>
        <v>Kenaikan IU</v>
      </c>
      <c r="K34" s="81" t="s">
        <v>1259</v>
      </c>
      <c r="O34" s="86" t="s">
        <v>1</v>
      </c>
      <c r="P34" s="87"/>
      <c r="Q34" s="87"/>
      <c r="R34" s="87"/>
      <c r="S34" s="87"/>
      <c r="V34" s="4"/>
      <c r="X34" s="3" t="s">
        <v>121</v>
      </c>
      <c r="Y34" t="s">
        <v>122</v>
      </c>
      <c r="Z34" t="s">
        <v>123</v>
      </c>
      <c r="AA34" s="10">
        <v>5</v>
      </c>
      <c r="AB34" t="s">
        <v>5</v>
      </c>
      <c r="AC34" s="10">
        <v>5000</v>
      </c>
      <c r="AD34" s="4">
        <v>25000</v>
      </c>
      <c r="AO34" s="20" t="s">
        <v>92</v>
      </c>
      <c r="AP34" s="18" t="s">
        <v>93</v>
      </c>
      <c r="AQ34" s="18" t="s">
        <v>67</v>
      </c>
      <c r="AR34" s="21">
        <v>80</v>
      </c>
      <c r="AS34" s="18" t="s">
        <v>94</v>
      </c>
      <c r="AT34" s="21">
        <v>11800.124100000001</v>
      </c>
      <c r="AU34" s="19">
        <v>944009.92799999996</v>
      </c>
      <c r="AW34" s="20" t="s">
        <v>92</v>
      </c>
      <c r="AX34" s="18" t="s">
        <v>93</v>
      </c>
      <c r="AY34" s="18" t="s">
        <v>67</v>
      </c>
      <c r="AZ34" s="21">
        <v>80</v>
      </c>
      <c r="BA34" s="18" t="s">
        <v>94</v>
      </c>
      <c r="BB34" s="21">
        <v>11800.124100000001</v>
      </c>
      <c r="BC34" s="19">
        <v>944009.92799999996</v>
      </c>
    </row>
    <row r="35" spans="1:55" ht="15" thickBot="1" x14ac:dyDescent="0.4">
      <c r="A35" s="38" t="str">
        <v>STA00052</v>
      </c>
      <c r="B35" s="31" t="str">
        <f t="shared" si="0"/>
        <v>PANADOL MERAH</v>
      </c>
      <c r="C35" s="31" t="str">
        <f t="shared" si="1"/>
        <v>STATIONARY AND OFFICE SUPPLIES</v>
      </c>
      <c r="D35" s="31" t="str">
        <f t="shared" si="2"/>
        <v>str</v>
      </c>
      <c r="E35" s="40">
        <f t="shared" si="3"/>
        <v>13283.783799999999</v>
      </c>
      <c r="F35" s="48">
        <f t="shared" si="4"/>
        <v>2.2999999999999998</v>
      </c>
      <c r="G35" s="48">
        <f t="shared" si="5"/>
        <v>1.7</v>
      </c>
      <c r="H35" s="48">
        <f t="shared" si="6"/>
        <v>-0.59999999999999987</v>
      </c>
      <c r="I35" s="40">
        <f t="shared" si="7"/>
        <v>-7970.2702799999979</v>
      </c>
      <c r="J35" s="39" t="str">
        <f t="shared" si="8"/>
        <v>Penurunan IU</v>
      </c>
      <c r="K35" s="81" t="s">
        <v>1259</v>
      </c>
      <c r="O35" s="3"/>
      <c r="V35" s="4"/>
      <c r="X35" s="3" t="s">
        <v>124</v>
      </c>
      <c r="Y35" t="s">
        <v>125</v>
      </c>
      <c r="Z35" t="s">
        <v>123</v>
      </c>
      <c r="AA35" s="10">
        <v>37</v>
      </c>
      <c r="AB35" t="s">
        <v>5</v>
      </c>
      <c r="AC35" s="10">
        <v>5490.1093000000001</v>
      </c>
      <c r="AD35" s="4">
        <v>203134.0441</v>
      </c>
      <c r="AO35" s="20" t="s">
        <v>100</v>
      </c>
      <c r="AP35" s="18" t="s">
        <v>101</v>
      </c>
      <c r="AQ35" s="18" t="s">
        <v>67</v>
      </c>
      <c r="AR35" s="21">
        <v>2</v>
      </c>
      <c r="AS35" s="18" t="s">
        <v>87</v>
      </c>
      <c r="AT35" s="21">
        <v>8255.5555999999997</v>
      </c>
      <c r="AU35" s="19">
        <v>16511.111199999999</v>
      </c>
      <c r="AW35" s="20" t="s">
        <v>100</v>
      </c>
      <c r="AX35" s="18" t="s">
        <v>101</v>
      </c>
      <c r="AY35" s="18" t="s">
        <v>67</v>
      </c>
      <c r="AZ35" s="21">
        <v>2</v>
      </c>
      <c r="BA35" s="18" t="s">
        <v>87</v>
      </c>
      <c r="BB35" s="21">
        <v>8255.5555999999997</v>
      </c>
      <c r="BC35" s="19">
        <v>16511.111199999999</v>
      </c>
    </row>
    <row r="36" spans="1:55" x14ac:dyDescent="0.35">
      <c r="A36" s="38" t="str">
        <v>STA00057</v>
      </c>
      <c r="B36" s="31" t="str">
        <f t="shared" si="0"/>
        <v>ISI STAPLER</v>
      </c>
      <c r="C36" s="31" t="str">
        <f t="shared" si="1"/>
        <v>STATIONARY AND OFFICE SUPPLIES</v>
      </c>
      <c r="D36" s="31" t="str">
        <f t="shared" si="2"/>
        <v>pack</v>
      </c>
      <c r="E36" s="40">
        <f t="shared" si="3"/>
        <v>1400</v>
      </c>
      <c r="F36" s="48">
        <f t="shared" si="4"/>
        <v>2</v>
      </c>
      <c r="G36" s="48">
        <f t="shared" si="5"/>
        <v>3</v>
      </c>
      <c r="H36" s="48">
        <f t="shared" si="6"/>
        <v>1</v>
      </c>
      <c r="I36" s="40">
        <f t="shared" si="7"/>
        <v>1400</v>
      </c>
      <c r="J36" s="39" t="str">
        <f t="shared" si="8"/>
        <v>Kenaikan IU</v>
      </c>
      <c r="K36" s="81" t="s">
        <v>1259</v>
      </c>
      <c r="O36" s="86" t="s">
        <v>10</v>
      </c>
      <c r="P36" s="87" t="s">
        <v>11</v>
      </c>
      <c r="Q36" t="s">
        <v>495</v>
      </c>
      <c r="V36" s="4"/>
      <c r="X36" s="3" t="s">
        <v>126</v>
      </c>
      <c r="Y36" t="s">
        <v>127</v>
      </c>
      <c r="Z36" t="s">
        <v>123</v>
      </c>
      <c r="AA36" s="10">
        <v>17</v>
      </c>
      <c r="AB36" t="s">
        <v>5</v>
      </c>
      <c r="AC36" s="10">
        <v>6661.5392000000011</v>
      </c>
      <c r="AD36" s="4">
        <v>113246.1664</v>
      </c>
      <c r="AF36" s="84" t="s">
        <v>0</v>
      </c>
      <c r="AG36" s="85"/>
      <c r="AH36" s="85"/>
      <c r="AI36" s="85"/>
      <c r="AJ36" s="85"/>
      <c r="AK36" s="16"/>
      <c r="AL36" s="16"/>
      <c r="AM36" s="17"/>
      <c r="AO36" s="20" t="s">
        <v>628</v>
      </c>
      <c r="AP36" s="18" t="s">
        <v>629</v>
      </c>
      <c r="AQ36" s="18" t="s">
        <v>67</v>
      </c>
      <c r="AR36" s="21">
        <v>1</v>
      </c>
      <c r="AS36" s="18" t="s">
        <v>20</v>
      </c>
      <c r="AT36" s="21">
        <v>28500</v>
      </c>
      <c r="AU36" s="19">
        <v>28500</v>
      </c>
      <c r="AW36" s="20" t="s">
        <v>628</v>
      </c>
      <c r="AX36" s="18" t="s">
        <v>629</v>
      </c>
      <c r="AY36" s="18" t="s">
        <v>67</v>
      </c>
      <c r="AZ36" s="21">
        <v>1</v>
      </c>
      <c r="BA36" s="18" t="s">
        <v>20</v>
      </c>
      <c r="BB36" s="21">
        <v>28500</v>
      </c>
      <c r="BC36" s="19">
        <v>28500</v>
      </c>
    </row>
    <row r="37" spans="1:55" x14ac:dyDescent="0.35">
      <c r="A37" s="38" t="str">
        <v>STA00079</v>
      </c>
      <c r="B37" s="31" t="str">
        <f t="shared" si="0"/>
        <v>BATERAI LR44 (1 PACK 5 PCS)</v>
      </c>
      <c r="C37" s="31" t="str">
        <f t="shared" si="1"/>
        <v>STATIONARY AND OFFICE SUPPLIES</v>
      </c>
      <c r="D37" s="31" t="str">
        <f t="shared" si="2"/>
        <v>pack</v>
      </c>
      <c r="E37" s="40">
        <f t="shared" si="3"/>
        <v>50000</v>
      </c>
      <c r="F37" s="48">
        <f t="shared" si="4"/>
        <v>0.5</v>
      </c>
      <c r="G37" s="48">
        <f t="shared" si="5"/>
        <v>1.3</v>
      </c>
      <c r="H37" s="48">
        <f t="shared" si="6"/>
        <v>0.8</v>
      </c>
      <c r="I37" s="40">
        <f t="shared" si="7"/>
        <v>40000</v>
      </c>
      <c r="J37" s="39" t="str">
        <f t="shared" si="8"/>
        <v>Kenaikan IU</v>
      </c>
      <c r="K37" s="81" t="s">
        <v>1259</v>
      </c>
      <c r="O37" s="86" t="s">
        <v>16</v>
      </c>
      <c r="P37" s="87" t="s">
        <v>11</v>
      </c>
      <c r="Q37" t="s">
        <v>17</v>
      </c>
      <c r="V37" s="4"/>
      <c r="X37" s="3" t="s">
        <v>128</v>
      </c>
      <c r="Y37" t="s">
        <v>129</v>
      </c>
      <c r="Z37" t="s">
        <v>123</v>
      </c>
      <c r="AA37" s="10">
        <v>1</v>
      </c>
      <c r="AB37" t="s">
        <v>74</v>
      </c>
      <c r="AC37" s="10">
        <v>139219.30540000001</v>
      </c>
      <c r="AD37" s="4">
        <v>139219.30540000001</v>
      </c>
      <c r="AF37" s="82" t="s">
        <v>1</v>
      </c>
      <c r="AG37" s="83"/>
      <c r="AH37" s="83"/>
      <c r="AI37" s="83"/>
      <c r="AJ37" s="83"/>
      <c r="AK37" s="18"/>
      <c r="AL37" s="18"/>
      <c r="AM37" s="19"/>
      <c r="AO37" s="20" t="s">
        <v>107</v>
      </c>
      <c r="AP37" s="18" t="s">
        <v>108</v>
      </c>
      <c r="AQ37" s="18" t="s">
        <v>67</v>
      </c>
      <c r="AR37" s="21">
        <v>1</v>
      </c>
      <c r="AS37" s="18" t="s">
        <v>5</v>
      </c>
      <c r="AT37" s="21">
        <v>16250</v>
      </c>
      <c r="AU37" s="19">
        <v>16250</v>
      </c>
      <c r="AW37" s="20" t="s">
        <v>107</v>
      </c>
      <c r="AX37" s="18" t="s">
        <v>108</v>
      </c>
      <c r="AY37" s="18" t="s">
        <v>67</v>
      </c>
      <c r="AZ37" s="21">
        <v>1</v>
      </c>
      <c r="BA37" s="18" t="s">
        <v>5</v>
      </c>
      <c r="BB37" s="21">
        <v>16250</v>
      </c>
      <c r="BC37" s="19">
        <v>16250</v>
      </c>
    </row>
    <row r="38" spans="1:55" x14ac:dyDescent="0.35">
      <c r="A38" s="38" t="str">
        <v>STA00080</v>
      </c>
      <c r="B38" s="31" t="str">
        <f t="shared" si="0"/>
        <v>KERTAS THERMAL 80 X 80</v>
      </c>
      <c r="C38" s="31" t="str">
        <f t="shared" si="1"/>
        <v>STATIONARY AND OFFICE SUPPLIES</v>
      </c>
      <c r="D38" s="31" t="str">
        <f t="shared" si="2"/>
        <v>ROLL</v>
      </c>
      <c r="E38" s="40">
        <f t="shared" si="3"/>
        <v>11800.124100000001</v>
      </c>
      <c r="F38" s="48">
        <f t="shared" si="4"/>
        <v>71</v>
      </c>
      <c r="G38" s="48">
        <f t="shared" si="5"/>
        <v>80</v>
      </c>
      <c r="H38" s="48">
        <f t="shared" si="6"/>
        <v>9</v>
      </c>
      <c r="I38" s="40">
        <f t="shared" si="7"/>
        <v>106201.11690000001</v>
      </c>
      <c r="J38" s="39" t="str">
        <f t="shared" si="8"/>
        <v>Kenaikan IU</v>
      </c>
      <c r="K38" s="81" t="s">
        <v>1259</v>
      </c>
      <c r="O38" s="86" t="s">
        <v>21</v>
      </c>
      <c r="P38" s="87" t="s">
        <v>11</v>
      </c>
      <c r="Q38" t="s">
        <v>482</v>
      </c>
      <c r="V38" s="4"/>
      <c r="X38" s="3" t="s">
        <v>130</v>
      </c>
      <c r="Y38" t="s">
        <v>131</v>
      </c>
      <c r="Z38" t="s">
        <v>123</v>
      </c>
      <c r="AA38" s="10">
        <v>50.94</v>
      </c>
      <c r="AB38" t="s">
        <v>5</v>
      </c>
      <c r="AC38" s="10">
        <v>6352.9243999999999</v>
      </c>
      <c r="AD38" s="4">
        <v>323617.96893600002</v>
      </c>
      <c r="AF38" s="20"/>
      <c r="AG38" s="18"/>
      <c r="AH38" s="18"/>
      <c r="AI38" s="18"/>
      <c r="AJ38" s="18"/>
      <c r="AK38" s="18"/>
      <c r="AL38" s="18"/>
      <c r="AM38" s="19"/>
      <c r="AO38" s="20" t="s">
        <v>364</v>
      </c>
      <c r="AP38" s="18" t="s">
        <v>365</v>
      </c>
      <c r="AQ38" s="18" t="s">
        <v>67</v>
      </c>
      <c r="AR38" s="21">
        <v>0.8</v>
      </c>
      <c r="AS38" s="18" t="s">
        <v>52</v>
      </c>
      <c r="AT38" s="21">
        <v>16193.448200000001</v>
      </c>
      <c r="AU38" s="19">
        <v>12954.75856</v>
      </c>
      <c r="AW38" s="20" t="s">
        <v>364</v>
      </c>
      <c r="AX38" s="18" t="s">
        <v>365</v>
      </c>
      <c r="AY38" s="18" t="s">
        <v>67</v>
      </c>
      <c r="AZ38" s="21">
        <v>0.8</v>
      </c>
      <c r="BA38" s="18" t="s">
        <v>52</v>
      </c>
      <c r="BB38" s="21">
        <v>16193.448200000001</v>
      </c>
      <c r="BC38" s="19">
        <v>12954.75856</v>
      </c>
    </row>
    <row r="39" spans="1:55" x14ac:dyDescent="0.35">
      <c r="A39" s="38" t="str">
        <v>STA00094</v>
      </c>
      <c r="B39" s="31" t="str">
        <f t="shared" si="0"/>
        <v>OBAT PROMAG</v>
      </c>
      <c r="C39" s="31" t="str">
        <f t="shared" si="1"/>
        <v>STATIONARY AND OFFICE SUPPLIES</v>
      </c>
      <c r="D39" s="31" t="str">
        <f t="shared" si="2"/>
        <v>str</v>
      </c>
      <c r="E39" s="40">
        <f t="shared" si="3"/>
        <v>8255.5555999999997</v>
      </c>
      <c r="F39" s="48" t="str">
        <f t="shared" si="4"/>
        <v>0</v>
      </c>
      <c r="G39" s="48">
        <f t="shared" si="5"/>
        <v>2</v>
      </c>
      <c r="H39" s="48">
        <f t="shared" si="6"/>
        <v>2</v>
      </c>
      <c r="I39" s="40">
        <f t="shared" si="7"/>
        <v>16511.111199999999</v>
      </c>
      <c r="J39" s="39" t="str">
        <f t="shared" si="8"/>
        <v>Kenaikan IU</v>
      </c>
      <c r="K39" s="81" t="s">
        <v>1259</v>
      </c>
      <c r="O39" s="86" t="s">
        <v>26</v>
      </c>
      <c r="P39" s="87" t="s">
        <v>11</v>
      </c>
      <c r="Q39" t="s">
        <v>496</v>
      </c>
      <c r="V39" s="4"/>
      <c r="X39" s="3" t="s">
        <v>132</v>
      </c>
      <c r="Y39" t="s">
        <v>133</v>
      </c>
      <c r="Z39" t="s">
        <v>123</v>
      </c>
      <c r="AA39" s="10">
        <v>225</v>
      </c>
      <c r="AB39" t="s">
        <v>134</v>
      </c>
      <c r="AC39" s="10">
        <v>13000</v>
      </c>
      <c r="AD39" s="4">
        <v>2925000</v>
      </c>
      <c r="AF39" s="82" t="s">
        <v>10</v>
      </c>
      <c r="AG39" s="83" t="s">
        <v>11</v>
      </c>
      <c r="AH39" s="18" t="s">
        <v>935</v>
      </c>
      <c r="AI39" s="18"/>
      <c r="AJ39" s="18"/>
      <c r="AK39" s="18"/>
      <c r="AL39" s="18"/>
      <c r="AM39" s="19"/>
      <c r="AO39" s="20" t="s">
        <v>113</v>
      </c>
      <c r="AP39" s="18" t="s">
        <v>114</v>
      </c>
      <c r="AQ39" s="18" t="s">
        <v>67</v>
      </c>
      <c r="AR39" s="18">
        <v>500</v>
      </c>
      <c r="AS39" s="18" t="s">
        <v>20</v>
      </c>
      <c r="AT39" s="18">
        <v>63.2</v>
      </c>
      <c r="AU39" s="19">
        <v>31600</v>
      </c>
      <c r="AW39" s="20" t="s">
        <v>113</v>
      </c>
      <c r="AX39" s="18" t="s">
        <v>114</v>
      </c>
      <c r="AY39" s="18" t="s">
        <v>67</v>
      </c>
      <c r="AZ39" s="18">
        <v>500</v>
      </c>
      <c r="BA39" s="18" t="s">
        <v>20</v>
      </c>
      <c r="BB39" s="18">
        <v>63.2</v>
      </c>
      <c r="BC39" s="19">
        <v>31600</v>
      </c>
    </row>
    <row r="40" spans="1:55" x14ac:dyDescent="0.35">
      <c r="A40" s="38" t="str">
        <v>STA00097</v>
      </c>
      <c r="B40" s="31" t="str">
        <f t="shared" si="0"/>
        <v>BIOPLACENTON</v>
      </c>
      <c r="C40" s="31" t="str">
        <f t="shared" si="1"/>
        <v>STATIONARY AND OFFICE SUPPLIES</v>
      </c>
      <c r="D40" s="31" t="str">
        <f t="shared" si="2"/>
        <v>pcs</v>
      </c>
      <c r="E40" s="40">
        <f t="shared" si="3"/>
        <v>28500</v>
      </c>
      <c r="F40" s="48" t="str">
        <f t="shared" si="4"/>
        <v>0</v>
      </c>
      <c r="G40" s="48">
        <f t="shared" si="5"/>
        <v>1</v>
      </c>
      <c r="H40" s="48">
        <f t="shared" si="6"/>
        <v>1</v>
      </c>
      <c r="I40" s="40">
        <f t="shared" si="7"/>
        <v>28500</v>
      </c>
      <c r="J40" s="39" t="str">
        <f t="shared" si="8"/>
        <v>Kenaikan IU</v>
      </c>
      <c r="K40" s="81" t="s">
        <v>1259</v>
      </c>
      <c r="O40" s="86" t="s">
        <v>31</v>
      </c>
      <c r="P40" s="87" t="s">
        <v>11</v>
      </c>
      <c r="Q40" t="s">
        <v>109</v>
      </c>
      <c r="V40" s="4"/>
      <c r="X40" s="3" t="s">
        <v>135</v>
      </c>
      <c r="Y40" t="s">
        <v>136</v>
      </c>
      <c r="Z40" t="s">
        <v>123</v>
      </c>
      <c r="AA40" s="10">
        <v>21</v>
      </c>
      <c r="AB40" t="s">
        <v>5</v>
      </c>
      <c r="AC40" s="10">
        <v>5467.1634999999997</v>
      </c>
      <c r="AD40" s="4">
        <v>114810.4335</v>
      </c>
      <c r="AF40" s="82" t="s">
        <v>16</v>
      </c>
      <c r="AG40" s="83" t="s">
        <v>11</v>
      </c>
      <c r="AH40" s="18" t="s">
        <v>211</v>
      </c>
      <c r="AI40" s="18"/>
      <c r="AJ40" s="18"/>
      <c r="AK40" s="18"/>
      <c r="AL40" s="18"/>
      <c r="AM40" s="19"/>
      <c r="AO40" s="20" t="s">
        <v>115</v>
      </c>
      <c r="AP40" s="18" t="s">
        <v>116</v>
      </c>
      <c r="AQ40" s="18" t="s">
        <v>117</v>
      </c>
      <c r="AR40" s="21">
        <v>1500</v>
      </c>
      <c r="AS40" s="18" t="s">
        <v>52</v>
      </c>
      <c r="AT40" s="21">
        <v>600</v>
      </c>
      <c r="AU40" s="19">
        <v>900000</v>
      </c>
      <c r="AW40" s="20" t="s">
        <v>115</v>
      </c>
      <c r="AX40" s="18" t="s">
        <v>116</v>
      </c>
      <c r="AY40" s="18" t="s">
        <v>117</v>
      </c>
      <c r="AZ40" s="21">
        <v>1500</v>
      </c>
      <c r="BA40" s="18" t="s">
        <v>52</v>
      </c>
      <c r="BB40" s="21">
        <v>600</v>
      </c>
      <c r="BC40" s="19">
        <v>900000</v>
      </c>
    </row>
    <row r="41" spans="1:55" x14ac:dyDescent="0.35">
      <c r="A41" s="38" t="str">
        <v>STA00109</v>
      </c>
      <c r="B41" s="31" t="str">
        <f t="shared" si="0"/>
        <v>STOCK CARD</v>
      </c>
      <c r="C41" s="31" t="str">
        <f t="shared" si="1"/>
        <v>STATIONARY AND OFFICE SUPPLIES</v>
      </c>
      <c r="D41" s="31" t="str">
        <f t="shared" si="2"/>
        <v>pack</v>
      </c>
      <c r="E41" s="40">
        <f t="shared" si="3"/>
        <v>16250</v>
      </c>
      <c r="F41" s="48" t="str">
        <f t="shared" si="4"/>
        <v>0</v>
      </c>
      <c r="G41" s="48">
        <f t="shared" si="5"/>
        <v>1</v>
      </c>
      <c r="H41" s="48">
        <f t="shared" si="6"/>
        <v>1</v>
      </c>
      <c r="I41" s="40">
        <f t="shared" si="7"/>
        <v>16250</v>
      </c>
      <c r="J41" s="39" t="str">
        <f t="shared" si="8"/>
        <v>Kenaikan IU</v>
      </c>
      <c r="K41" s="81" t="s">
        <v>1259</v>
      </c>
      <c r="O41" s="86" t="s">
        <v>35</v>
      </c>
      <c r="P41" s="87" t="s">
        <v>11</v>
      </c>
      <c r="Q41" t="s">
        <v>497</v>
      </c>
      <c r="V41" s="4"/>
      <c r="X41" s="3" t="s">
        <v>137</v>
      </c>
      <c r="Y41" t="s">
        <v>138</v>
      </c>
      <c r="Z41" t="s">
        <v>123</v>
      </c>
      <c r="AA41" s="10">
        <v>33</v>
      </c>
      <c r="AB41" t="s">
        <v>5</v>
      </c>
      <c r="AC41" s="10">
        <v>16072.954900000002</v>
      </c>
      <c r="AD41" s="4">
        <v>530407.51170000003</v>
      </c>
      <c r="AF41" s="82" t="s">
        <v>21</v>
      </c>
      <c r="AG41" s="83" t="s">
        <v>11</v>
      </c>
      <c r="AH41" s="18" t="s">
        <v>482</v>
      </c>
      <c r="AI41" s="18"/>
      <c r="AJ41" s="18"/>
      <c r="AK41" s="18"/>
      <c r="AL41" s="18"/>
      <c r="AM41" s="19"/>
      <c r="AO41" s="20" t="s">
        <v>316</v>
      </c>
      <c r="AP41" s="18" t="s">
        <v>317</v>
      </c>
      <c r="AQ41" s="18" t="s">
        <v>117</v>
      </c>
      <c r="AR41" s="21">
        <v>1</v>
      </c>
      <c r="AS41" s="18" t="s">
        <v>20</v>
      </c>
      <c r="AT41" s="21">
        <v>465300</v>
      </c>
      <c r="AU41" s="19">
        <v>465300</v>
      </c>
      <c r="AW41" s="20" t="s">
        <v>316</v>
      </c>
      <c r="AX41" s="18" t="s">
        <v>317</v>
      </c>
      <c r="AY41" s="18" t="s">
        <v>117</v>
      </c>
      <c r="AZ41" s="21">
        <v>1</v>
      </c>
      <c r="BA41" s="18" t="s">
        <v>20</v>
      </c>
      <c r="BB41" s="21">
        <v>465300</v>
      </c>
      <c r="BC41" s="19">
        <v>465300</v>
      </c>
    </row>
    <row r="42" spans="1:55" x14ac:dyDescent="0.35">
      <c r="A42" s="38" t="str">
        <v>STA00115</v>
      </c>
      <c r="B42" s="31" t="str">
        <f t="shared" si="0"/>
        <v>STICKER SAUCE</v>
      </c>
      <c r="C42" s="31" t="str">
        <f t="shared" si="1"/>
        <v>STATIONARY AND OFFICE SUPPLIES</v>
      </c>
      <c r="D42" s="31" t="str">
        <f t="shared" si="2"/>
        <v>lembar</v>
      </c>
      <c r="E42" s="40">
        <f t="shared" si="3"/>
        <v>16193.448200000001</v>
      </c>
      <c r="F42" s="48">
        <f t="shared" si="4"/>
        <v>1.2</v>
      </c>
      <c r="G42" s="48">
        <f t="shared" si="5"/>
        <v>0.8</v>
      </c>
      <c r="H42" s="48">
        <f t="shared" si="6"/>
        <v>-0.39999999999999991</v>
      </c>
      <c r="I42" s="40">
        <f t="shared" si="7"/>
        <v>-6477.3792799999992</v>
      </c>
      <c r="J42" s="39" t="str">
        <f t="shared" si="8"/>
        <v>Penurunan IU</v>
      </c>
      <c r="K42" s="81" t="s">
        <v>1259</v>
      </c>
      <c r="O42" s="3"/>
      <c r="V42" s="4"/>
      <c r="X42" s="3" t="s">
        <v>139</v>
      </c>
      <c r="Y42" t="s">
        <v>140</v>
      </c>
      <c r="Z42" t="s">
        <v>123</v>
      </c>
      <c r="AA42" s="10">
        <v>9</v>
      </c>
      <c r="AB42" t="s">
        <v>5</v>
      </c>
      <c r="AC42" s="10">
        <v>42247.700700000001</v>
      </c>
      <c r="AD42" s="4">
        <v>380229.3063</v>
      </c>
      <c r="AF42" s="82" t="s">
        <v>26</v>
      </c>
      <c r="AG42" s="83" t="s">
        <v>11</v>
      </c>
      <c r="AH42" s="18" t="s">
        <v>936</v>
      </c>
      <c r="AI42" s="18"/>
      <c r="AJ42" s="18"/>
      <c r="AK42" s="18"/>
      <c r="AL42" s="18"/>
      <c r="AM42" s="19"/>
      <c r="AO42" s="20" t="s">
        <v>121</v>
      </c>
      <c r="AP42" s="18" t="s">
        <v>122</v>
      </c>
      <c r="AQ42" s="18" t="s">
        <v>123</v>
      </c>
      <c r="AR42" s="21">
        <v>1</v>
      </c>
      <c r="AS42" s="18" t="s">
        <v>5</v>
      </c>
      <c r="AT42" s="21">
        <v>5000</v>
      </c>
      <c r="AU42" s="19">
        <v>5000</v>
      </c>
      <c r="AW42" s="20" t="s">
        <v>121</v>
      </c>
      <c r="AX42" s="18" t="s">
        <v>122</v>
      </c>
      <c r="AY42" s="18" t="s">
        <v>123</v>
      </c>
      <c r="AZ42" s="21">
        <v>1</v>
      </c>
      <c r="BA42" s="18" t="s">
        <v>5</v>
      </c>
      <c r="BB42" s="21">
        <v>5000</v>
      </c>
      <c r="BC42" s="19">
        <v>5000</v>
      </c>
    </row>
    <row r="43" spans="1:55" x14ac:dyDescent="0.35">
      <c r="A43" s="38" t="str">
        <v>STA00183</v>
      </c>
      <c r="B43" s="31" t="str">
        <f t="shared" si="0"/>
        <v>STICKER TANGGAL EXP WATERPROOF@500PCS</v>
      </c>
      <c r="C43" s="31" t="str">
        <f t="shared" si="1"/>
        <v>STATIONARY AND OFFICE SUPPLIES</v>
      </c>
      <c r="D43" s="31" t="str">
        <f t="shared" si="2"/>
        <v>pcs</v>
      </c>
      <c r="E43" s="40">
        <f t="shared" si="3"/>
        <v>63.2</v>
      </c>
      <c r="F43" s="48" t="str">
        <f t="shared" si="4"/>
        <v>0</v>
      </c>
      <c r="G43" s="48">
        <f t="shared" si="5"/>
        <v>500</v>
      </c>
      <c r="H43" s="48">
        <f t="shared" si="6"/>
        <v>500</v>
      </c>
      <c r="I43" s="40">
        <f t="shared" si="7"/>
        <v>31600</v>
      </c>
      <c r="J43" s="39" t="str">
        <f t="shared" si="8"/>
        <v>Kenaikan IU</v>
      </c>
      <c r="K43" s="81" t="s">
        <v>1259</v>
      </c>
      <c r="O43" s="3" t="s">
        <v>42</v>
      </c>
      <c r="P43" t="s">
        <v>43</v>
      </c>
      <c r="Q43" t="s">
        <v>44</v>
      </c>
      <c r="R43" t="s">
        <v>45</v>
      </c>
      <c r="S43" t="s">
        <v>46</v>
      </c>
      <c r="T43" t="s">
        <v>47</v>
      </c>
      <c r="U43" t="s">
        <v>48</v>
      </c>
      <c r="V43" s="4" t="s">
        <v>49</v>
      </c>
      <c r="X43" s="3" t="s">
        <v>141</v>
      </c>
      <c r="Y43" t="s">
        <v>142</v>
      </c>
      <c r="Z43" t="s">
        <v>123</v>
      </c>
      <c r="AA43" s="10">
        <v>5</v>
      </c>
      <c r="AB43" t="s">
        <v>5</v>
      </c>
      <c r="AC43" s="10">
        <v>41886.423499999997</v>
      </c>
      <c r="AD43" s="4">
        <v>209432.11749999999</v>
      </c>
      <c r="AF43" s="82" t="s">
        <v>31</v>
      </c>
      <c r="AG43" s="83" t="s">
        <v>11</v>
      </c>
      <c r="AH43" s="18" t="s">
        <v>109</v>
      </c>
      <c r="AI43" s="18"/>
      <c r="AJ43" s="18"/>
      <c r="AK43" s="18"/>
      <c r="AL43" s="18"/>
      <c r="AM43" s="19"/>
      <c r="AO43" s="20" t="s">
        <v>124</v>
      </c>
      <c r="AP43" s="18" t="s">
        <v>125</v>
      </c>
      <c r="AQ43" s="18" t="s">
        <v>123</v>
      </c>
      <c r="AR43" s="21">
        <v>12</v>
      </c>
      <c r="AS43" s="18" t="s">
        <v>5</v>
      </c>
      <c r="AT43" s="21">
        <v>5713.9939000000004</v>
      </c>
      <c r="AU43" s="19">
        <v>68567.926800000001</v>
      </c>
      <c r="AW43" s="20" t="s">
        <v>124</v>
      </c>
      <c r="AX43" s="18" t="s">
        <v>125</v>
      </c>
      <c r="AY43" s="18" t="s">
        <v>123</v>
      </c>
      <c r="AZ43" s="21">
        <v>12</v>
      </c>
      <c r="BA43" s="18" t="s">
        <v>5</v>
      </c>
      <c r="BB43" s="21">
        <v>5713.9939000000004</v>
      </c>
      <c r="BC43" s="19">
        <v>68567.926800000001</v>
      </c>
    </row>
    <row r="44" spans="1:55" x14ac:dyDescent="0.35">
      <c r="A44" s="38" t="str">
        <v>MKT00032</v>
      </c>
      <c r="B44" s="31" t="str">
        <f t="shared" si="0"/>
        <v>FLYER A5</v>
      </c>
      <c r="C44" s="31" t="str">
        <f t="shared" si="1"/>
        <v>MARKETING</v>
      </c>
      <c r="D44" s="31" t="str">
        <f t="shared" si="2"/>
        <v>lembar</v>
      </c>
      <c r="E44" s="40">
        <f t="shared" si="3"/>
        <v>600</v>
      </c>
      <c r="F44" s="48">
        <f t="shared" si="4"/>
        <v>1000</v>
      </c>
      <c r="G44" s="48">
        <f t="shared" si="5"/>
        <v>1500</v>
      </c>
      <c r="H44" s="48">
        <f t="shared" si="6"/>
        <v>500</v>
      </c>
      <c r="I44" s="40">
        <f t="shared" si="7"/>
        <v>300000</v>
      </c>
      <c r="J44" s="39" t="str">
        <f t="shared" si="8"/>
        <v>Kenaikan IU</v>
      </c>
      <c r="K44" s="81" t="s">
        <v>1259</v>
      </c>
      <c r="O44" s="3">
        <v>1</v>
      </c>
      <c r="P44" t="s">
        <v>484</v>
      </c>
      <c r="Q44" t="s">
        <v>485</v>
      </c>
      <c r="R44" t="s">
        <v>67</v>
      </c>
      <c r="S44" s="10">
        <v>5</v>
      </c>
      <c r="T44" t="s">
        <v>486</v>
      </c>
      <c r="U44" s="10">
        <v>8500</v>
      </c>
      <c r="V44" s="4">
        <v>42500</v>
      </c>
      <c r="X44" s="3" t="s">
        <v>143</v>
      </c>
      <c r="Y44" t="s">
        <v>144</v>
      </c>
      <c r="Z44" t="s">
        <v>123</v>
      </c>
      <c r="AA44" s="10">
        <v>0.5</v>
      </c>
      <c r="AB44" t="s">
        <v>5</v>
      </c>
      <c r="AC44" s="10">
        <v>43000</v>
      </c>
      <c r="AD44" s="4">
        <v>21500</v>
      </c>
      <c r="AF44" s="82" t="s">
        <v>35</v>
      </c>
      <c r="AG44" s="83" t="s">
        <v>11</v>
      </c>
      <c r="AH44" s="18" t="s">
        <v>937</v>
      </c>
      <c r="AI44" s="18"/>
      <c r="AJ44" s="18"/>
      <c r="AK44" s="18"/>
      <c r="AL44" s="18"/>
      <c r="AM44" s="19"/>
      <c r="AO44" s="20" t="s">
        <v>126</v>
      </c>
      <c r="AP44" s="18" t="s">
        <v>127</v>
      </c>
      <c r="AQ44" s="18" t="s">
        <v>123</v>
      </c>
      <c r="AR44" s="21">
        <v>11</v>
      </c>
      <c r="AS44" s="18" t="s">
        <v>5</v>
      </c>
      <c r="AT44" s="21">
        <v>6661.539200000002</v>
      </c>
      <c r="AU44" s="19">
        <v>73276.931200000006</v>
      </c>
      <c r="AW44" s="20" t="s">
        <v>126</v>
      </c>
      <c r="AX44" s="18" t="s">
        <v>127</v>
      </c>
      <c r="AY44" s="18" t="s">
        <v>123</v>
      </c>
      <c r="AZ44" s="21">
        <v>11</v>
      </c>
      <c r="BA44" s="18" t="s">
        <v>5</v>
      </c>
      <c r="BB44" s="21">
        <v>6661.539200000002</v>
      </c>
      <c r="BC44" s="19">
        <v>73276.931200000006</v>
      </c>
    </row>
    <row r="45" spans="1:55" x14ac:dyDescent="0.35">
      <c r="A45" s="38" t="str">
        <v>MKT00035</v>
      </c>
      <c r="B45" s="31" t="str">
        <f t="shared" si="0"/>
        <v>LIGHT BOX</v>
      </c>
      <c r="C45" s="31" t="str">
        <f t="shared" si="1"/>
        <v>MARKETING</v>
      </c>
      <c r="D45" s="31" t="str">
        <f t="shared" si="2"/>
        <v>pcs</v>
      </c>
      <c r="E45" s="40">
        <f t="shared" si="3"/>
        <v>465300</v>
      </c>
      <c r="F45" s="48" t="str">
        <f t="shared" si="4"/>
        <v>0</v>
      </c>
      <c r="G45" s="48">
        <f t="shared" si="5"/>
        <v>1</v>
      </c>
      <c r="H45" s="48">
        <f t="shared" si="6"/>
        <v>1</v>
      </c>
      <c r="I45" s="40">
        <f t="shared" si="7"/>
        <v>465300</v>
      </c>
      <c r="J45" s="39" t="str">
        <f t="shared" si="8"/>
        <v>Kenaikan IU</v>
      </c>
      <c r="K45" s="81" t="s">
        <v>1259</v>
      </c>
      <c r="O45" s="3">
        <v>2</v>
      </c>
      <c r="P45" t="s">
        <v>244</v>
      </c>
      <c r="Q45" t="s">
        <v>245</v>
      </c>
      <c r="R45" t="s">
        <v>67</v>
      </c>
      <c r="S45">
        <v>1</v>
      </c>
      <c r="T45" t="s">
        <v>20</v>
      </c>
      <c r="U45">
        <v>6000</v>
      </c>
      <c r="V45" s="4">
        <v>6000</v>
      </c>
      <c r="X45" s="3" t="s">
        <v>145</v>
      </c>
      <c r="Y45" t="s">
        <v>146</v>
      </c>
      <c r="Z45" t="s">
        <v>123</v>
      </c>
      <c r="AA45" s="10">
        <v>148.77000000000001</v>
      </c>
      <c r="AB45" t="s">
        <v>5</v>
      </c>
      <c r="AC45" s="10">
        <v>4604.1441000000004</v>
      </c>
      <c r="AD45" s="4">
        <v>684958.51775700005</v>
      </c>
      <c r="AF45" s="20"/>
      <c r="AG45" s="18"/>
      <c r="AH45" s="18"/>
      <c r="AI45" s="18"/>
      <c r="AJ45" s="18"/>
      <c r="AK45" s="18"/>
      <c r="AL45" s="18"/>
      <c r="AM45" s="19"/>
      <c r="AO45" s="20" t="s">
        <v>128</v>
      </c>
      <c r="AP45" s="18" t="s">
        <v>129</v>
      </c>
      <c r="AQ45" s="18" t="s">
        <v>123</v>
      </c>
      <c r="AR45" s="21">
        <v>3</v>
      </c>
      <c r="AS45" s="18" t="s">
        <v>74</v>
      </c>
      <c r="AT45" s="21">
        <v>139219.30540000001</v>
      </c>
      <c r="AU45" s="19">
        <v>417657.91619999998</v>
      </c>
      <c r="AW45" s="20" t="s">
        <v>128</v>
      </c>
      <c r="AX45" s="18" t="s">
        <v>129</v>
      </c>
      <c r="AY45" s="18" t="s">
        <v>123</v>
      </c>
      <c r="AZ45" s="21">
        <v>3</v>
      </c>
      <c r="BA45" s="18" t="s">
        <v>74</v>
      </c>
      <c r="BB45" s="21">
        <v>139219.30540000001</v>
      </c>
      <c r="BC45" s="19">
        <v>417657.91619999998</v>
      </c>
    </row>
    <row r="46" spans="1:55" ht="15" thickBot="1" x14ac:dyDescent="0.4">
      <c r="A46" s="38" t="str">
        <v>NCG00018</v>
      </c>
      <c r="B46" s="31" t="str">
        <f t="shared" si="0"/>
        <v>SARUNG TANGAN PELASTIK</v>
      </c>
      <c r="C46" s="31" t="str">
        <f t="shared" si="1"/>
        <v>NCG</v>
      </c>
      <c r="D46" s="31" t="str">
        <f t="shared" si="2"/>
        <v>pack</v>
      </c>
      <c r="E46" s="40">
        <f t="shared" si="3"/>
        <v>5000</v>
      </c>
      <c r="F46" s="48">
        <f t="shared" si="4"/>
        <v>5</v>
      </c>
      <c r="G46" s="48">
        <f t="shared" si="5"/>
        <v>1</v>
      </c>
      <c r="H46" s="48">
        <f t="shared" si="6"/>
        <v>-4</v>
      </c>
      <c r="I46" s="40">
        <f t="shared" si="7"/>
        <v>-20000</v>
      </c>
      <c r="J46" s="39" t="str">
        <f t="shared" si="8"/>
        <v>Penurunan IU</v>
      </c>
      <c r="K46" s="81" t="s">
        <v>1259</v>
      </c>
      <c r="O46" s="11" t="s">
        <v>223</v>
      </c>
      <c r="P46" s="12" t="s">
        <v>223</v>
      </c>
      <c r="Q46" s="12" t="s">
        <v>223</v>
      </c>
      <c r="R46" s="12" t="s">
        <v>223</v>
      </c>
      <c r="S46" s="12" t="s">
        <v>223</v>
      </c>
      <c r="T46" s="12" t="s">
        <v>223</v>
      </c>
      <c r="U46" s="12" t="s">
        <v>224</v>
      </c>
      <c r="V46" s="13">
        <v>48500</v>
      </c>
      <c r="X46" s="3" t="s">
        <v>147</v>
      </c>
      <c r="Y46" t="s">
        <v>148</v>
      </c>
      <c r="Z46" t="s">
        <v>123</v>
      </c>
      <c r="AA46" s="10">
        <v>1.9</v>
      </c>
      <c r="AB46" t="s">
        <v>5</v>
      </c>
      <c r="AC46" s="10">
        <v>14756.4103</v>
      </c>
      <c r="AD46" s="4">
        <v>28037.17957</v>
      </c>
      <c r="AF46" s="20" t="s">
        <v>42</v>
      </c>
      <c r="AG46" s="18" t="s">
        <v>43</v>
      </c>
      <c r="AH46" s="18" t="s">
        <v>44</v>
      </c>
      <c r="AI46" s="18" t="s">
        <v>45</v>
      </c>
      <c r="AJ46" s="18" t="s">
        <v>46</v>
      </c>
      <c r="AK46" s="18" t="s">
        <v>47</v>
      </c>
      <c r="AL46" s="18" t="s">
        <v>48</v>
      </c>
      <c r="AM46" s="19" t="s">
        <v>49</v>
      </c>
      <c r="AO46" s="20" t="s">
        <v>130</v>
      </c>
      <c r="AP46" s="18" t="s">
        <v>131</v>
      </c>
      <c r="AQ46" s="18" t="s">
        <v>123</v>
      </c>
      <c r="AR46" s="21">
        <v>49.06</v>
      </c>
      <c r="AS46" s="18" t="s">
        <v>5</v>
      </c>
      <c r="AT46" s="21">
        <v>6353.7389999999996</v>
      </c>
      <c r="AU46" s="19">
        <v>311714.43534000003</v>
      </c>
      <c r="AW46" s="20" t="s">
        <v>130</v>
      </c>
      <c r="AX46" s="18" t="s">
        <v>131</v>
      </c>
      <c r="AY46" s="18" t="s">
        <v>123</v>
      </c>
      <c r="AZ46" s="21">
        <v>49.06</v>
      </c>
      <c r="BA46" s="18" t="s">
        <v>5</v>
      </c>
      <c r="BB46" s="21">
        <v>6353.7389999999996</v>
      </c>
      <c r="BC46" s="19">
        <v>311714.43534000003</v>
      </c>
    </row>
    <row r="47" spans="1:55" ht="15.5" thickTop="1" thickBot="1" x14ac:dyDescent="0.4">
      <c r="A47" s="38" t="str">
        <v>NCGK0001</v>
      </c>
      <c r="B47" s="31" t="str">
        <f t="shared" si="0"/>
        <v>PLASTIK PE 2 KG 20 x 35 (Kitchen)</v>
      </c>
      <c r="C47" s="31" t="str">
        <f t="shared" si="1"/>
        <v>NCG</v>
      </c>
      <c r="D47" s="31" t="str">
        <f t="shared" si="2"/>
        <v>pack</v>
      </c>
      <c r="E47" s="40">
        <f t="shared" si="3"/>
        <v>5713.9939000000004</v>
      </c>
      <c r="F47" s="48">
        <f t="shared" si="4"/>
        <v>37</v>
      </c>
      <c r="G47" s="48">
        <f t="shared" si="5"/>
        <v>12</v>
      </c>
      <c r="H47" s="48">
        <f t="shared" si="6"/>
        <v>-25</v>
      </c>
      <c r="I47" s="40">
        <f t="shared" si="7"/>
        <v>-142849.8475</v>
      </c>
      <c r="J47" s="39" t="str">
        <f t="shared" si="8"/>
        <v>Penurunan IU</v>
      </c>
      <c r="K47" s="81" t="s">
        <v>1259</v>
      </c>
      <c r="X47" s="3" t="s">
        <v>421</v>
      </c>
      <c r="Y47" t="s">
        <v>422</v>
      </c>
      <c r="Z47" t="s">
        <v>151</v>
      </c>
      <c r="AA47" s="10">
        <v>10</v>
      </c>
      <c r="AB47" t="s">
        <v>20</v>
      </c>
      <c r="AC47" s="10">
        <v>49000</v>
      </c>
      <c r="AD47" s="4">
        <v>490000</v>
      </c>
      <c r="AF47" s="20">
        <v>1</v>
      </c>
      <c r="AG47" s="18" t="s">
        <v>65</v>
      </c>
      <c r="AH47" s="18" t="s">
        <v>66</v>
      </c>
      <c r="AI47" s="18" t="s">
        <v>67</v>
      </c>
      <c r="AJ47" s="21">
        <v>80</v>
      </c>
      <c r="AK47" s="18" t="s">
        <v>20</v>
      </c>
      <c r="AL47" s="21">
        <v>320</v>
      </c>
      <c r="AM47" s="19">
        <v>25600</v>
      </c>
      <c r="AO47" s="20" t="s">
        <v>132</v>
      </c>
      <c r="AP47" s="18" t="s">
        <v>133</v>
      </c>
      <c r="AQ47" s="18" t="s">
        <v>123</v>
      </c>
      <c r="AR47" s="21">
        <v>239</v>
      </c>
      <c r="AS47" s="18" t="s">
        <v>134</v>
      </c>
      <c r="AT47" s="21">
        <v>13000</v>
      </c>
      <c r="AU47" s="19">
        <v>3107000</v>
      </c>
      <c r="AW47" s="20" t="s">
        <v>132</v>
      </c>
      <c r="AX47" s="18" t="s">
        <v>133</v>
      </c>
      <c r="AY47" s="18" t="s">
        <v>123</v>
      </c>
      <c r="AZ47" s="21">
        <v>239</v>
      </c>
      <c r="BA47" s="18" t="s">
        <v>134</v>
      </c>
      <c r="BB47" s="21">
        <v>13000</v>
      </c>
      <c r="BC47" s="19">
        <v>3107000</v>
      </c>
    </row>
    <row r="48" spans="1:55" ht="15" thickTop="1" x14ac:dyDescent="0.35">
      <c r="A48" s="38" t="str">
        <v>NCGK0003</v>
      </c>
      <c r="B48" s="31" t="str">
        <f t="shared" si="0"/>
        <v>PLASTIK PE 1 KG 15 x 30</v>
      </c>
      <c r="C48" s="31" t="str">
        <f t="shared" si="1"/>
        <v>NCG</v>
      </c>
      <c r="D48" s="31" t="str">
        <f t="shared" si="2"/>
        <v>pack</v>
      </c>
      <c r="E48" s="40">
        <f t="shared" si="3"/>
        <v>6661.539200000002</v>
      </c>
      <c r="F48" s="48">
        <f t="shared" si="4"/>
        <v>17</v>
      </c>
      <c r="G48" s="48">
        <f t="shared" si="5"/>
        <v>11</v>
      </c>
      <c r="H48" s="48">
        <f t="shared" si="6"/>
        <v>-6</v>
      </c>
      <c r="I48" s="40">
        <f t="shared" si="7"/>
        <v>-39969.23520000001</v>
      </c>
      <c r="J48" s="39" t="str">
        <f t="shared" si="8"/>
        <v>Penurunan IU</v>
      </c>
      <c r="K48" s="81" t="s">
        <v>1259</v>
      </c>
      <c r="O48" s="88" t="s">
        <v>0</v>
      </c>
      <c r="P48" s="89"/>
      <c r="Q48" s="89"/>
      <c r="R48" s="89"/>
      <c r="S48" s="89"/>
      <c r="T48" s="1"/>
      <c r="U48" s="1"/>
      <c r="V48" s="2"/>
      <c r="X48" s="3" t="s">
        <v>154</v>
      </c>
      <c r="Y48" t="s">
        <v>155</v>
      </c>
      <c r="Z48" t="s">
        <v>151</v>
      </c>
      <c r="AA48" s="10">
        <v>224</v>
      </c>
      <c r="AB48" t="s">
        <v>20</v>
      </c>
      <c r="AC48" s="10">
        <v>966.13890000000004</v>
      </c>
      <c r="AD48" s="4">
        <v>216415.11360000001</v>
      </c>
      <c r="AF48" s="20">
        <v>2</v>
      </c>
      <c r="AG48" s="18" t="s">
        <v>938</v>
      </c>
      <c r="AH48" s="18" t="s">
        <v>939</v>
      </c>
      <c r="AI48" s="18" t="s">
        <v>67</v>
      </c>
      <c r="AJ48" s="21">
        <v>0.45</v>
      </c>
      <c r="AK48" s="18" t="s">
        <v>5</v>
      </c>
      <c r="AL48" s="21">
        <v>4500</v>
      </c>
      <c r="AM48" s="19">
        <v>2025</v>
      </c>
      <c r="AO48" s="20" t="s">
        <v>135</v>
      </c>
      <c r="AP48" s="18" t="s">
        <v>136</v>
      </c>
      <c r="AQ48" s="18" t="s">
        <v>123</v>
      </c>
      <c r="AR48" s="21">
        <v>36</v>
      </c>
      <c r="AS48" s="18" t="s">
        <v>5</v>
      </c>
      <c r="AT48" s="21">
        <v>5467.1634999999997</v>
      </c>
      <c r="AU48" s="19">
        <v>196817.886</v>
      </c>
      <c r="AW48" s="20" t="s">
        <v>135</v>
      </c>
      <c r="AX48" s="18" t="s">
        <v>136</v>
      </c>
      <c r="AY48" s="18" t="s">
        <v>123</v>
      </c>
      <c r="AZ48" s="21">
        <v>36</v>
      </c>
      <c r="BA48" s="18" t="s">
        <v>5</v>
      </c>
      <c r="BB48" s="21">
        <v>5467.1634999999997</v>
      </c>
      <c r="BC48" s="19">
        <v>196817.886</v>
      </c>
    </row>
    <row r="49" spans="1:55" x14ac:dyDescent="0.35">
      <c r="A49" s="38" t="str">
        <v>NCGK0005</v>
      </c>
      <c r="B49" s="31" t="str">
        <f t="shared" si="0"/>
        <v>CLING WRAP 45 x 50 @ 6 ROLL</v>
      </c>
      <c r="C49" s="31" t="str">
        <f t="shared" si="1"/>
        <v>NCG</v>
      </c>
      <c r="D49" s="31" t="str">
        <f t="shared" si="2"/>
        <v>roll</v>
      </c>
      <c r="E49" s="40">
        <f t="shared" si="3"/>
        <v>139219.30540000001</v>
      </c>
      <c r="F49" s="48">
        <f t="shared" si="4"/>
        <v>1</v>
      </c>
      <c r="G49" s="48">
        <f t="shared" si="5"/>
        <v>3</v>
      </c>
      <c r="H49" s="48">
        <f t="shared" si="6"/>
        <v>2</v>
      </c>
      <c r="I49" s="40">
        <f t="shared" si="7"/>
        <v>278438.61080000002</v>
      </c>
      <c r="J49" s="39" t="str">
        <f t="shared" si="8"/>
        <v>Kenaikan IU</v>
      </c>
      <c r="K49" s="81" t="s">
        <v>1259</v>
      </c>
      <c r="O49" s="86" t="s">
        <v>1</v>
      </c>
      <c r="P49" s="87"/>
      <c r="Q49" s="87"/>
      <c r="R49" s="87"/>
      <c r="S49" s="87"/>
      <c r="V49" s="4"/>
      <c r="X49" s="3" t="s">
        <v>498</v>
      </c>
      <c r="Y49" t="s">
        <v>499</v>
      </c>
      <c r="Z49" t="s">
        <v>151</v>
      </c>
      <c r="AA49" s="10">
        <v>4</v>
      </c>
      <c r="AB49" t="s">
        <v>20</v>
      </c>
      <c r="AC49" s="10">
        <v>52200</v>
      </c>
      <c r="AD49" s="4">
        <v>208800</v>
      </c>
      <c r="AF49" s="20">
        <v>3</v>
      </c>
      <c r="AG49" s="18" t="s">
        <v>70</v>
      </c>
      <c r="AH49" s="18" t="s">
        <v>71</v>
      </c>
      <c r="AI49" s="18" t="s">
        <v>67</v>
      </c>
      <c r="AJ49" s="21">
        <v>1</v>
      </c>
      <c r="AK49" s="18" t="s">
        <v>5</v>
      </c>
      <c r="AL49" s="21">
        <v>9000</v>
      </c>
      <c r="AM49" s="19">
        <v>9000</v>
      </c>
      <c r="AO49" s="20" t="s">
        <v>137</v>
      </c>
      <c r="AP49" s="18" t="s">
        <v>138</v>
      </c>
      <c r="AQ49" s="18" t="s">
        <v>123</v>
      </c>
      <c r="AR49" s="21">
        <v>38.770000000000003</v>
      </c>
      <c r="AS49" s="18" t="s">
        <v>5</v>
      </c>
      <c r="AT49" s="21">
        <v>16097.7562</v>
      </c>
      <c r="AU49" s="19">
        <v>624110.007874</v>
      </c>
      <c r="AW49" s="20" t="s">
        <v>137</v>
      </c>
      <c r="AX49" s="18" t="s">
        <v>138</v>
      </c>
      <c r="AY49" s="18" t="s">
        <v>123</v>
      </c>
      <c r="AZ49" s="21">
        <v>38.770000000000003</v>
      </c>
      <c r="BA49" s="18" t="s">
        <v>5</v>
      </c>
      <c r="BB49" s="21">
        <v>16097.7562</v>
      </c>
      <c r="BC49" s="19">
        <v>624110.007874</v>
      </c>
    </row>
    <row r="50" spans="1:55" x14ac:dyDescent="0.35">
      <c r="A50" s="38" t="str">
        <v>NCGK0006</v>
      </c>
      <c r="B50" s="31" t="str">
        <f t="shared" si="0"/>
        <v>TISSUE SEE-U HANDTOWELS @ 20 PACK</v>
      </c>
      <c r="C50" s="31" t="str">
        <f t="shared" si="1"/>
        <v>NCG</v>
      </c>
      <c r="D50" s="31" t="str">
        <f t="shared" si="2"/>
        <v>pack</v>
      </c>
      <c r="E50" s="40">
        <f t="shared" si="3"/>
        <v>6353.7389999999996</v>
      </c>
      <c r="F50" s="48">
        <f t="shared" si="4"/>
        <v>50.94</v>
      </c>
      <c r="G50" s="48">
        <f t="shared" si="5"/>
        <v>49.06</v>
      </c>
      <c r="H50" s="48">
        <f t="shared" si="6"/>
        <v>-1.8799999999999955</v>
      </c>
      <c r="I50" s="40">
        <f t="shared" si="7"/>
        <v>-11945.029319999971</v>
      </c>
      <c r="J50" s="39" t="str">
        <f t="shared" si="8"/>
        <v>Penurunan IU</v>
      </c>
      <c r="K50" s="81" t="s">
        <v>1259</v>
      </c>
      <c r="O50" s="3"/>
      <c r="V50" s="4"/>
      <c r="X50" s="3" t="s">
        <v>156</v>
      </c>
      <c r="Y50" t="s">
        <v>157</v>
      </c>
      <c r="Z50" t="s">
        <v>151</v>
      </c>
      <c r="AA50" s="10">
        <v>50</v>
      </c>
      <c r="AB50" t="s">
        <v>20</v>
      </c>
      <c r="AC50" s="10">
        <v>2393.1999999999998</v>
      </c>
      <c r="AD50" s="4">
        <v>119660</v>
      </c>
      <c r="AF50" s="20">
        <v>4</v>
      </c>
      <c r="AG50" s="18" t="s">
        <v>507</v>
      </c>
      <c r="AH50" s="18" t="s">
        <v>508</v>
      </c>
      <c r="AI50" s="18" t="s">
        <v>67</v>
      </c>
      <c r="AJ50" s="21">
        <v>2</v>
      </c>
      <c r="AK50" s="18" t="s">
        <v>5</v>
      </c>
      <c r="AL50" s="21">
        <v>6250</v>
      </c>
      <c r="AM50" s="19">
        <v>12500</v>
      </c>
      <c r="AO50" s="20" t="s">
        <v>139</v>
      </c>
      <c r="AP50" s="18" t="s">
        <v>140</v>
      </c>
      <c r="AQ50" s="18" t="s">
        <v>123</v>
      </c>
      <c r="AR50" s="21">
        <v>7.5</v>
      </c>
      <c r="AS50" s="18" t="s">
        <v>5</v>
      </c>
      <c r="AT50" s="21">
        <v>42804.378799999999</v>
      </c>
      <c r="AU50" s="19">
        <v>321032.84100000001</v>
      </c>
      <c r="AW50" s="20" t="s">
        <v>139</v>
      </c>
      <c r="AX50" s="18" t="s">
        <v>140</v>
      </c>
      <c r="AY50" s="18" t="s">
        <v>123</v>
      </c>
      <c r="AZ50" s="21">
        <v>7.5</v>
      </c>
      <c r="BA50" s="18" t="s">
        <v>5</v>
      </c>
      <c r="BB50" s="21">
        <v>42804.378799999999</v>
      </c>
      <c r="BC50" s="19">
        <v>321032.84100000001</v>
      </c>
    </row>
    <row r="51" spans="1:55" x14ac:dyDescent="0.35">
      <c r="A51" s="38" t="str">
        <v>NCGK0007</v>
      </c>
      <c r="B51" s="31" t="str">
        <f t="shared" si="0"/>
        <v>GAS BUTANE PORTABLE PURITY 230G @24 CAN</v>
      </c>
      <c r="C51" s="31" t="str">
        <f t="shared" si="1"/>
        <v>NCG</v>
      </c>
      <c r="D51" s="31" t="str">
        <f t="shared" si="2"/>
        <v>can</v>
      </c>
      <c r="E51" s="40">
        <f t="shared" si="3"/>
        <v>13000</v>
      </c>
      <c r="F51" s="48">
        <f t="shared" si="4"/>
        <v>225</v>
      </c>
      <c r="G51" s="48">
        <f t="shared" si="5"/>
        <v>239</v>
      </c>
      <c r="H51" s="48">
        <f t="shared" si="6"/>
        <v>14</v>
      </c>
      <c r="I51" s="40">
        <f t="shared" si="7"/>
        <v>182000</v>
      </c>
      <c r="J51" s="39" t="str">
        <f t="shared" si="8"/>
        <v>Kenaikan IU</v>
      </c>
      <c r="K51" s="81" t="s">
        <v>1259</v>
      </c>
      <c r="O51" s="86" t="s">
        <v>10</v>
      </c>
      <c r="P51" s="87" t="s">
        <v>11</v>
      </c>
      <c r="Q51" t="s">
        <v>500</v>
      </c>
      <c r="V51" s="4"/>
      <c r="X51" s="3" t="s">
        <v>272</v>
      </c>
      <c r="Y51" t="s">
        <v>273</v>
      </c>
      <c r="Z51" t="s">
        <v>151</v>
      </c>
      <c r="AA51" s="10">
        <v>15</v>
      </c>
      <c r="AB51" t="s">
        <v>5</v>
      </c>
      <c r="AC51" s="10">
        <v>2831.7543999999998</v>
      </c>
      <c r="AD51" s="4">
        <v>42476.315999999999</v>
      </c>
      <c r="AF51" s="20">
        <v>5</v>
      </c>
      <c r="AG51" s="18" t="s">
        <v>72</v>
      </c>
      <c r="AH51" s="18" t="s">
        <v>73</v>
      </c>
      <c r="AI51" s="18" t="s">
        <v>67</v>
      </c>
      <c r="AJ51" s="21">
        <v>6</v>
      </c>
      <c r="AK51" s="18" t="s">
        <v>74</v>
      </c>
      <c r="AL51" s="21">
        <v>2907.4922999999999</v>
      </c>
      <c r="AM51" s="19">
        <v>17444.953799999999</v>
      </c>
      <c r="AO51" s="20" t="s">
        <v>141</v>
      </c>
      <c r="AP51" s="18" t="s">
        <v>142</v>
      </c>
      <c r="AQ51" s="18" t="s">
        <v>123</v>
      </c>
      <c r="AR51" s="21">
        <v>1.5</v>
      </c>
      <c r="AS51" s="18" t="s">
        <v>5</v>
      </c>
      <c r="AT51" s="21">
        <v>41886.423499999997</v>
      </c>
      <c r="AU51" s="19">
        <v>62829.635249999999</v>
      </c>
      <c r="AW51" s="20" t="s">
        <v>141</v>
      </c>
      <c r="AX51" s="18" t="s">
        <v>142</v>
      </c>
      <c r="AY51" s="18" t="s">
        <v>123</v>
      </c>
      <c r="AZ51" s="21">
        <v>1.5</v>
      </c>
      <c r="BA51" s="18" t="s">
        <v>5</v>
      </c>
      <c r="BB51" s="21">
        <v>41886.423499999997</v>
      </c>
      <c r="BC51" s="19">
        <v>62829.635249999999</v>
      </c>
    </row>
    <row r="52" spans="1:55" x14ac:dyDescent="0.35">
      <c r="A52" s="38" t="str">
        <v>NCGK0008</v>
      </c>
      <c r="B52" s="31" t="str">
        <f t="shared" si="0"/>
        <v>PLASTIK PE 1/4 KG 10x20</v>
      </c>
      <c r="C52" s="31" t="str">
        <f t="shared" si="1"/>
        <v>NCG</v>
      </c>
      <c r="D52" s="31" t="str">
        <f t="shared" si="2"/>
        <v>pack</v>
      </c>
      <c r="E52" s="40">
        <f t="shared" si="3"/>
        <v>5467.1634999999997</v>
      </c>
      <c r="F52" s="48">
        <f t="shared" si="4"/>
        <v>21</v>
      </c>
      <c r="G52" s="48">
        <f t="shared" si="5"/>
        <v>36</v>
      </c>
      <c r="H52" s="48">
        <f t="shared" si="6"/>
        <v>15</v>
      </c>
      <c r="I52" s="40">
        <f t="shared" si="7"/>
        <v>82007.452499999999</v>
      </c>
      <c r="J52" s="39" t="str">
        <f t="shared" si="8"/>
        <v>Kenaikan IU</v>
      </c>
      <c r="K52" s="81" t="s">
        <v>1259</v>
      </c>
      <c r="O52" s="86" t="s">
        <v>16</v>
      </c>
      <c r="P52" s="87" t="s">
        <v>11</v>
      </c>
      <c r="Q52" t="s">
        <v>17</v>
      </c>
      <c r="V52" s="4"/>
      <c r="X52" s="3" t="s">
        <v>423</v>
      </c>
      <c r="Y52" t="s">
        <v>424</v>
      </c>
      <c r="Z52" t="s">
        <v>151</v>
      </c>
      <c r="AA52" s="10">
        <v>7</v>
      </c>
      <c r="AB52" t="s">
        <v>20</v>
      </c>
      <c r="AC52" s="10">
        <v>5962.519299999999</v>
      </c>
      <c r="AD52" s="4">
        <v>41737.6351</v>
      </c>
      <c r="AF52" s="20">
        <v>6</v>
      </c>
      <c r="AG52" s="18" t="s">
        <v>325</v>
      </c>
      <c r="AH52" s="18" t="s">
        <v>326</v>
      </c>
      <c r="AI52" s="18" t="s">
        <v>67</v>
      </c>
      <c r="AJ52" s="21">
        <v>0.1</v>
      </c>
      <c r="AK52" s="18" t="s">
        <v>5</v>
      </c>
      <c r="AL52" s="21">
        <v>46500</v>
      </c>
      <c r="AM52" s="19">
        <v>4650</v>
      </c>
      <c r="AO52" s="20" t="s">
        <v>905</v>
      </c>
      <c r="AP52" s="18" t="s">
        <v>906</v>
      </c>
      <c r="AQ52" s="18" t="s">
        <v>123</v>
      </c>
      <c r="AR52" s="21">
        <v>1</v>
      </c>
      <c r="AS52" s="18" t="s">
        <v>20</v>
      </c>
      <c r="AT52" s="21">
        <v>16736</v>
      </c>
      <c r="AU52" s="19">
        <v>16736</v>
      </c>
      <c r="AW52" s="20" t="s">
        <v>905</v>
      </c>
      <c r="AX52" s="18" t="s">
        <v>906</v>
      </c>
      <c r="AY52" s="18" t="s">
        <v>123</v>
      </c>
      <c r="AZ52" s="21">
        <v>1</v>
      </c>
      <c r="BA52" s="18" t="s">
        <v>20</v>
      </c>
      <c r="BB52" s="21">
        <v>16736</v>
      </c>
      <c r="BC52" s="19">
        <v>16736</v>
      </c>
    </row>
    <row r="53" spans="1:55" x14ac:dyDescent="0.35">
      <c r="A53" s="38" t="str">
        <v>NCGK0009</v>
      </c>
      <c r="B53" s="31" t="str">
        <f t="shared" si="0"/>
        <v>PLASTIK PE 10 KG 40 x 60</v>
      </c>
      <c r="C53" s="31" t="str">
        <f t="shared" si="1"/>
        <v>NCG</v>
      </c>
      <c r="D53" s="31" t="str">
        <f t="shared" si="2"/>
        <v>pack</v>
      </c>
      <c r="E53" s="40">
        <f t="shared" si="3"/>
        <v>16097.7562</v>
      </c>
      <c r="F53" s="48">
        <f t="shared" si="4"/>
        <v>33</v>
      </c>
      <c r="G53" s="48">
        <f t="shared" si="5"/>
        <v>38.770000000000003</v>
      </c>
      <c r="H53" s="48">
        <f t="shared" si="6"/>
        <v>5.7700000000000031</v>
      </c>
      <c r="I53" s="40">
        <f t="shared" si="7"/>
        <v>92884.053274000049</v>
      </c>
      <c r="J53" s="39" t="str">
        <f t="shared" si="8"/>
        <v>Kenaikan IU</v>
      </c>
      <c r="K53" s="81" t="s">
        <v>1259</v>
      </c>
      <c r="O53" s="86" t="s">
        <v>21</v>
      </c>
      <c r="P53" s="87" t="s">
        <v>11</v>
      </c>
      <c r="Q53" t="s">
        <v>482</v>
      </c>
      <c r="V53" s="4"/>
      <c r="X53" s="3" t="s">
        <v>501</v>
      </c>
      <c r="Y53" t="s">
        <v>502</v>
      </c>
      <c r="Z53" t="s">
        <v>151</v>
      </c>
      <c r="AA53" s="10">
        <v>6</v>
      </c>
      <c r="AB53" t="s">
        <v>20</v>
      </c>
      <c r="AC53" s="10">
        <v>5000</v>
      </c>
      <c r="AD53" s="4">
        <v>30000</v>
      </c>
      <c r="AF53" s="20">
        <v>7</v>
      </c>
      <c r="AG53" s="18" t="s">
        <v>357</v>
      </c>
      <c r="AH53" s="18" t="s">
        <v>358</v>
      </c>
      <c r="AI53" s="18" t="s">
        <v>67</v>
      </c>
      <c r="AJ53" s="21">
        <v>0.5</v>
      </c>
      <c r="AK53" s="18" t="s">
        <v>5</v>
      </c>
      <c r="AL53" s="21">
        <v>31592.592599999993</v>
      </c>
      <c r="AM53" s="19">
        <v>15796.2963</v>
      </c>
      <c r="AO53" s="20" t="s">
        <v>145</v>
      </c>
      <c r="AP53" s="18" t="s">
        <v>146</v>
      </c>
      <c r="AQ53" s="18" t="s">
        <v>123</v>
      </c>
      <c r="AR53" s="21">
        <v>123.23</v>
      </c>
      <c r="AS53" s="18" t="s">
        <v>5</v>
      </c>
      <c r="AT53" s="21">
        <v>4604.1441999999997</v>
      </c>
      <c r="AU53" s="19">
        <v>567368.68976600002</v>
      </c>
      <c r="AW53" s="20" t="s">
        <v>145</v>
      </c>
      <c r="AX53" s="18" t="s">
        <v>146</v>
      </c>
      <c r="AY53" s="18" t="s">
        <v>123</v>
      </c>
      <c r="AZ53" s="21">
        <v>123.23</v>
      </c>
      <c r="BA53" s="18" t="s">
        <v>5</v>
      </c>
      <c r="BB53" s="21">
        <v>4604.1441999999997</v>
      </c>
      <c r="BC53" s="19">
        <v>567368.68976600002</v>
      </c>
    </row>
    <row r="54" spans="1:55" x14ac:dyDescent="0.35">
      <c r="A54" s="38" t="str">
        <v>NCGK0011</v>
      </c>
      <c r="B54" s="31" t="str">
        <f t="shared" si="0"/>
        <v>HAND GLOVES NITRILE SIZE M</v>
      </c>
      <c r="C54" s="31" t="str">
        <f t="shared" si="1"/>
        <v>NCG</v>
      </c>
      <c r="D54" s="31" t="str">
        <f t="shared" si="2"/>
        <v>pack</v>
      </c>
      <c r="E54" s="40">
        <f t="shared" si="3"/>
        <v>42804.378799999999</v>
      </c>
      <c r="F54" s="48">
        <f t="shared" si="4"/>
        <v>9</v>
      </c>
      <c r="G54" s="48">
        <f t="shared" si="5"/>
        <v>7.5</v>
      </c>
      <c r="H54" s="48">
        <f t="shared" si="6"/>
        <v>-1.5</v>
      </c>
      <c r="I54" s="40">
        <f t="shared" si="7"/>
        <v>-64206.568199999994</v>
      </c>
      <c r="J54" s="39" t="str">
        <f t="shared" si="8"/>
        <v>Penurunan IU</v>
      </c>
      <c r="K54" s="81" t="s">
        <v>1259</v>
      </c>
      <c r="O54" s="86" t="s">
        <v>26</v>
      </c>
      <c r="P54" s="87" t="s">
        <v>11</v>
      </c>
      <c r="Q54" t="s">
        <v>503</v>
      </c>
      <c r="V54" s="4"/>
      <c r="X54" s="3" t="s">
        <v>274</v>
      </c>
      <c r="Y54" t="s">
        <v>275</v>
      </c>
      <c r="Z54" t="s">
        <v>151</v>
      </c>
      <c r="AA54" s="10">
        <v>1</v>
      </c>
      <c r="AB54" t="s">
        <v>160</v>
      </c>
      <c r="AC54" s="10">
        <v>19500</v>
      </c>
      <c r="AD54" s="4">
        <v>19500</v>
      </c>
      <c r="AF54" s="20">
        <v>8</v>
      </c>
      <c r="AG54" s="18" t="s">
        <v>240</v>
      </c>
      <c r="AH54" s="18" t="s">
        <v>241</v>
      </c>
      <c r="AI54" s="18" t="s">
        <v>67</v>
      </c>
      <c r="AJ54" s="21">
        <v>1</v>
      </c>
      <c r="AK54" s="18" t="s">
        <v>20</v>
      </c>
      <c r="AL54" s="21">
        <v>22500</v>
      </c>
      <c r="AM54" s="19">
        <v>22500</v>
      </c>
      <c r="AO54" s="20" t="s">
        <v>147</v>
      </c>
      <c r="AP54" s="18" t="s">
        <v>148</v>
      </c>
      <c r="AQ54" s="18" t="s">
        <v>123</v>
      </c>
      <c r="AR54" s="21">
        <v>0.34</v>
      </c>
      <c r="AS54" s="18" t="s">
        <v>5</v>
      </c>
      <c r="AT54" s="21">
        <v>14756.4103</v>
      </c>
      <c r="AU54" s="19">
        <v>5017.179502</v>
      </c>
      <c r="AW54" s="20" t="s">
        <v>147</v>
      </c>
      <c r="AX54" s="18" t="s">
        <v>148</v>
      </c>
      <c r="AY54" s="18" t="s">
        <v>123</v>
      </c>
      <c r="AZ54" s="21">
        <v>0.34</v>
      </c>
      <c r="BA54" s="18" t="s">
        <v>5</v>
      </c>
      <c r="BB54" s="21">
        <v>14756.4103</v>
      </c>
      <c r="BC54" s="19">
        <v>5017.179502</v>
      </c>
    </row>
    <row r="55" spans="1:55" x14ac:dyDescent="0.35">
      <c r="A55" s="38" t="str">
        <v>NCGK0012</v>
      </c>
      <c r="B55" s="31" t="str">
        <f t="shared" si="0"/>
        <v>HAND GLOVES NITRILE SIZE L</v>
      </c>
      <c r="C55" s="31" t="str">
        <f t="shared" si="1"/>
        <v>NCG</v>
      </c>
      <c r="D55" s="31" t="str">
        <f t="shared" si="2"/>
        <v>pack</v>
      </c>
      <c r="E55" s="40">
        <f t="shared" si="3"/>
        <v>41886.423499999997</v>
      </c>
      <c r="F55" s="48">
        <f t="shared" si="4"/>
        <v>5</v>
      </c>
      <c r="G55" s="48">
        <f t="shared" si="5"/>
        <v>1.5</v>
      </c>
      <c r="H55" s="48">
        <f t="shared" si="6"/>
        <v>-3.5</v>
      </c>
      <c r="I55" s="40">
        <f t="shared" si="7"/>
        <v>-146602.48225</v>
      </c>
      <c r="J55" s="39" t="str">
        <f t="shared" si="8"/>
        <v>Penurunan IU</v>
      </c>
      <c r="K55" s="81" t="s">
        <v>1259</v>
      </c>
      <c r="O55" s="86" t="s">
        <v>31</v>
      </c>
      <c r="P55" s="87" t="s">
        <v>11</v>
      </c>
      <c r="Q55" t="s">
        <v>198</v>
      </c>
      <c r="V55" s="4"/>
      <c r="X55" s="3" t="s">
        <v>158</v>
      </c>
      <c r="Y55" t="s">
        <v>159</v>
      </c>
      <c r="Z55" t="s">
        <v>151</v>
      </c>
      <c r="AA55">
        <v>13</v>
      </c>
      <c r="AB55" t="s">
        <v>160</v>
      </c>
      <c r="AC55">
        <v>11281.264599999999</v>
      </c>
      <c r="AD55" s="4">
        <v>146656.43979999999</v>
      </c>
      <c r="AF55" s="20">
        <v>9</v>
      </c>
      <c r="AG55" s="18" t="s">
        <v>85</v>
      </c>
      <c r="AH55" s="18" t="s">
        <v>86</v>
      </c>
      <c r="AI55" s="18" t="s">
        <v>67</v>
      </c>
      <c r="AJ55" s="21">
        <v>1</v>
      </c>
      <c r="AK55" s="18" t="s">
        <v>87</v>
      </c>
      <c r="AL55" s="21">
        <v>16400</v>
      </c>
      <c r="AM55" s="19">
        <v>16400</v>
      </c>
      <c r="AO55" s="20" t="s">
        <v>418</v>
      </c>
      <c r="AP55" s="18" t="s">
        <v>419</v>
      </c>
      <c r="AQ55" s="18" t="s">
        <v>151</v>
      </c>
      <c r="AR55" s="21">
        <v>1</v>
      </c>
      <c r="AS55" s="18" t="s">
        <v>420</v>
      </c>
      <c r="AT55" s="21">
        <v>5454.13</v>
      </c>
      <c r="AU55" s="19">
        <v>5454.13</v>
      </c>
      <c r="AW55" s="20" t="s">
        <v>418</v>
      </c>
      <c r="AX55" s="18" t="s">
        <v>419</v>
      </c>
      <c r="AY55" s="18" t="s">
        <v>151</v>
      </c>
      <c r="AZ55" s="21">
        <v>1</v>
      </c>
      <c r="BA55" s="18" t="s">
        <v>420</v>
      </c>
      <c r="BB55" s="21">
        <v>5454.13</v>
      </c>
      <c r="BC55" s="19">
        <v>5454.13</v>
      </c>
    </row>
    <row r="56" spans="1:55" x14ac:dyDescent="0.35">
      <c r="A56" s="38" t="str">
        <v>NCGK0017</v>
      </c>
      <c r="B56" s="31" t="str">
        <f t="shared" si="0"/>
        <v>REFILL PEMANTIK GAS KITCHEN</v>
      </c>
      <c r="C56" s="31" t="str">
        <f t="shared" si="1"/>
        <v>NCG</v>
      </c>
      <c r="D56" s="31" t="str">
        <f t="shared" si="2"/>
        <v>pcs</v>
      </c>
      <c r="E56" s="40">
        <f t="shared" si="3"/>
        <v>16736</v>
      </c>
      <c r="F56" s="48" t="str">
        <f t="shared" si="4"/>
        <v>0</v>
      </c>
      <c r="G56" s="48">
        <f t="shared" si="5"/>
        <v>1</v>
      </c>
      <c r="H56" s="48">
        <f t="shared" si="6"/>
        <v>1</v>
      </c>
      <c r="I56" s="40">
        <f t="shared" si="7"/>
        <v>16736</v>
      </c>
      <c r="J56" s="39" t="str">
        <f t="shared" si="8"/>
        <v>Kenaikan IU</v>
      </c>
      <c r="K56" s="81" t="s">
        <v>1260</v>
      </c>
      <c r="O56" s="86" t="s">
        <v>35</v>
      </c>
      <c r="P56" s="87" t="s">
        <v>11</v>
      </c>
      <c r="Q56" t="s">
        <v>504</v>
      </c>
      <c r="V56" s="4"/>
      <c r="X56" s="3" t="s">
        <v>505</v>
      </c>
      <c r="Y56" t="s">
        <v>506</v>
      </c>
      <c r="Z56" t="s">
        <v>67</v>
      </c>
      <c r="AA56" s="10">
        <v>2</v>
      </c>
      <c r="AB56" t="s">
        <v>20</v>
      </c>
      <c r="AC56" s="10">
        <v>12208.333333333334</v>
      </c>
      <c r="AD56" s="4">
        <v>24416.666667000001</v>
      </c>
      <c r="AF56" s="20">
        <v>10</v>
      </c>
      <c r="AG56" s="18" t="s">
        <v>242</v>
      </c>
      <c r="AH56" s="18" t="s">
        <v>243</v>
      </c>
      <c r="AI56" s="18" t="s">
        <v>67</v>
      </c>
      <c r="AJ56" s="21">
        <v>1.7</v>
      </c>
      <c r="AK56" s="18" t="s">
        <v>87</v>
      </c>
      <c r="AL56" s="21">
        <v>13283.783799999999</v>
      </c>
      <c r="AM56" s="19">
        <v>22582.43246</v>
      </c>
      <c r="AO56" s="20" t="s">
        <v>154</v>
      </c>
      <c r="AP56" s="18" t="s">
        <v>155</v>
      </c>
      <c r="AQ56" s="18" t="s">
        <v>151</v>
      </c>
      <c r="AR56" s="21">
        <v>90</v>
      </c>
      <c r="AS56" s="18" t="s">
        <v>20</v>
      </c>
      <c r="AT56" s="21">
        <v>966.13890000000004</v>
      </c>
      <c r="AU56" s="19">
        <v>86952.501000000004</v>
      </c>
      <c r="AW56" s="20" t="s">
        <v>154</v>
      </c>
      <c r="AX56" s="18" t="s">
        <v>155</v>
      </c>
      <c r="AY56" s="18" t="s">
        <v>151</v>
      </c>
      <c r="AZ56" s="21">
        <v>90</v>
      </c>
      <c r="BA56" s="18" t="s">
        <v>20</v>
      </c>
      <c r="BB56" s="21">
        <v>966.13890000000004</v>
      </c>
      <c r="BC56" s="19">
        <v>86952.501000000004</v>
      </c>
    </row>
    <row r="57" spans="1:55" x14ac:dyDescent="0.35">
      <c r="A57" s="38" t="str">
        <v>NCGS0001</v>
      </c>
      <c r="B57" s="31" t="str">
        <f t="shared" si="0"/>
        <v>TISSUE COCKTAIL NAPKIN 11x11 (48 PACK)</v>
      </c>
      <c r="C57" s="31" t="str">
        <f t="shared" si="1"/>
        <v>NCG</v>
      </c>
      <c r="D57" s="31" t="str">
        <f t="shared" si="2"/>
        <v>pack</v>
      </c>
      <c r="E57" s="40">
        <f t="shared" si="3"/>
        <v>4604.1441999999997</v>
      </c>
      <c r="F57" s="48">
        <f t="shared" si="4"/>
        <v>148.77000000000001</v>
      </c>
      <c r="G57" s="48">
        <f t="shared" si="5"/>
        <v>123.23</v>
      </c>
      <c r="H57" s="48">
        <f t="shared" si="6"/>
        <v>-25.540000000000006</v>
      </c>
      <c r="I57" s="40">
        <f t="shared" si="7"/>
        <v>-117589.84286800002</v>
      </c>
      <c r="J57" s="39" t="str">
        <f t="shared" si="8"/>
        <v>Penurunan IU</v>
      </c>
      <c r="K57" s="81" t="s">
        <v>1259</v>
      </c>
      <c r="O57" s="3"/>
      <c r="V57" s="4"/>
      <c r="X57" s="3" t="s">
        <v>70</v>
      </c>
      <c r="Y57" t="s">
        <v>71</v>
      </c>
      <c r="Z57" t="s">
        <v>67</v>
      </c>
      <c r="AA57" s="10">
        <v>1</v>
      </c>
      <c r="AB57" t="s">
        <v>5</v>
      </c>
      <c r="AC57" s="10">
        <v>9000</v>
      </c>
      <c r="AD57" s="4">
        <v>9000</v>
      </c>
      <c r="AF57" s="20">
        <v>11</v>
      </c>
      <c r="AG57" s="18" t="s">
        <v>246</v>
      </c>
      <c r="AH57" s="18" t="s">
        <v>247</v>
      </c>
      <c r="AI57" s="18" t="s">
        <v>67</v>
      </c>
      <c r="AJ57" s="21">
        <v>3</v>
      </c>
      <c r="AK57" s="18" t="s">
        <v>5</v>
      </c>
      <c r="AL57" s="21">
        <v>1400</v>
      </c>
      <c r="AM57" s="19">
        <v>4200</v>
      </c>
      <c r="AO57" s="20" t="s">
        <v>272</v>
      </c>
      <c r="AP57" s="18" t="s">
        <v>273</v>
      </c>
      <c r="AQ57" s="18" t="s">
        <v>151</v>
      </c>
      <c r="AR57" s="21">
        <v>0.59</v>
      </c>
      <c r="AS57" s="18" t="s">
        <v>5</v>
      </c>
      <c r="AT57" s="21">
        <v>2831.7543999999998</v>
      </c>
      <c r="AU57" s="19">
        <v>1670.7350960000001</v>
      </c>
      <c r="AW57" s="20" t="s">
        <v>272</v>
      </c>
      <c r="AX57" s="18" t="s">
        <v>273</v>
      </c>
      <c r="AY57" s="18" t="s">
        <v>151</v>
      </c>
      <c r="AZ57" s="21">
        <v>0.59</v>
      </c>
      <c r="BA57" s="18" t="s">
        <v>5</v>
      </c>
      <c r="BB57" s="21">
        <v>2831.7543999999998</v>
      </c>
      <c r="BC57" s="19">
        <v>1670.7350960000001</v>
      </c>
    </row>
    <row r="58" spans="1:55" x14ac:dyDescent="0.35">
      <c r="A58" s="38" t="str">
        <v>NCGS0002</v>
      </c>
      <c r="B58" s="31" t="str">
        <f t="shared" si="0"/>
        <v>TUSUK GIGI ION @ 500 PCS</v>
      </c>
      <c r="C58" s="31" t="str">
        <f t="shared" si="1"/>
        <v>NCG</v>
      </c>
      <c r="D58" s="31" t="str">
        <f t="shared" si="2"/>
        <v>pack</v>
      </c>
      <c r="E58" s="40">
        <f t="shared" si="3"/>
        <v>14756.4103</v>
      </c>
      <c r="F58" s="48">
        <f t="shared" si="4"/>
        <v>1.9</v>
      </c>
      <c r="G58" s="48">
        <f t="shared" si="5"/>
        <v>0.34</v>
      </c>
      <c r="H58" s="48">
        <f t="shared" si="6"/>
        <v>-1.5599999999999998</v>
      </c>
      <c r="I58" s="40">
        <f t="shared" si="7"/>
        <v>-23020.000067999998</v>
      </c>
      <c r="J58" s="39" t="str">
        <f t="shared" si="8"/>
        <v>Penurunan IU</v>
      </c>
      <c r="K58" s="81" t="s">
        <v>1259</v>
      </c>
      <c r="O58" s="3" t="s">
        <v>42</v>
      </c>
      <c r="P58" t="s">
        <v>43</v>
      </c>
      <c r="Q58" t="s">
        <v>44</v>
      </c>
      <c r="R58" t="s">
        <v>45</v>
      </c>
      <c r="S58" t="s">
        <v>46</v>
      </c>
      <c r="T58" t="s">
        <v>47</v>
      </c>
      <c r="U58" t="s">
        <v>48</v>
      </c>
      <c r="V58" s="4" t="s">
        <v>49</v>
      </c>
      <c r="X58" s="3" t="s">
        <v>230</v>
      </c>
      <c r="Y58" t="s">
        <v>231</v>
      </c>
      <c r="Z58" t="s">
        <v>67</v>
      </c>
      <c r="AA58" s="10">
        <v>5</v>
      </c>
      <c r="AB58" t="s">
        <v>5</v>
      </c>
      <c r="AC58" s="10">
        <v>9000</v>
      </c>
      <c r="AD58" s="4">
        <v>45000</v>
      </c>
      <c r="AF58" s="20">
        <v>12</v>
      </c>
      <c r="AG58" s="18" t="s">
        <v>252</v>
      </c>
      <c r="AH58" s="18" t="s">
        <v>253</v>
      </c>
      <c r="AI58" s="18" t="s">
        <v>67</v>
      </c>
      <c r="AJ58" s="21">
        <v>1.3</v>
      </c>
      <c r="AK58" s="18" t="s">
        <v>5</v>
      </c>
      <c r="AL58" s="21">
        <v>50000</v>
      </c>
      <c r="AM58" s="19">
        <v>65000</v>
      </c>
      <c r="AO58" s="20" t="s">
        <v>423</v>
      </c>
      <c r="AP58" s="18" t="s">
        <v>424</v>
      </c>
      <c r="AQ58" s="18" t="s">
        <v>151</v>
      </c>
      <c r="AR58" s="21">
        <v>2</v>
      </c>
      <c r="AS58" s="18" t="s">
        <v>20</v>
      </c>
      <c r="AT58" s="21">
        <v>5962.519299999999</v>
      </c>
      <c r="AU58" s="19">
        <v>11925.0386</v>
      </c>
      <c r="AW58" s="20" t="s">
        <v>423</v>
      </c>
      <c r="AX58" s="18" t="s">
        <v>424</v>
      </c>
      <c r="AY58" s="18" t="s">
        <v>151</v>
      </c>
      <c r="AZ58" s="21">
        <v>2</v>
      </c>
      <c r="BA58" s="18" t="s">
        <v>20</v>
      </c>
      <c r="BB58" s="21">
        <v>5962.519299999999</v>
      </c>
      <c r="BC58" s="19">
        <v>11925.0386</v>
      </c>
    </row>
    <row r="59" spans="1:55" x14ac:dyDescent="0.35">
      <c r="A59" s="38" t="str">
        <v>OTH00018</v>
      </c>
      <c r="B59" s="31" t="str">
        <f t="shared" si="0"/>
        <v>BOTOL SPRAY 500 ML</v>
      </c>
      <c r="C59" s="31" t="str">
        <f t="shared" si="1"/>
        <v>OTHERS</v>
      </c>
      <c r="D59" s="31" t="str">
        <f t="shared" si="2"/>
        <v>pca</v>
      </c>
      <c r="E59" s="40">
        <f t="shared" si="3"/>
        <v>5454.13</v>
      </c>
      <c r="F59" s="48" t="str">
        <f t="shared" si="4"/>
        <v>0</v>
      </c>
      <c r="G59" s="48">
        <f t="shared" si="5"/>
        <v>1</v>
      </c>
      <c r="H59" s="48">
        <f t="shared" si="6"/>
        <v>1</v>
      </c>
      <c r="I59" s="40">
        <f t="shared" si="7"/>
        <v>5454.13</v>
      </c>
      <c r="J59" s="39" t="str">
        <f t="shared" si="8"/>
        <v>Kenaikan IU</v>
      </c>
      <c r="K59" s="81" t="s">
        <v>1259</v>
      </c>
      <c r="O59" s="3">
        <v>1</v>
      </c>
      <c r="P59" t="s">
        <v>488</v>
      </c>
      <c r="Q59" t="s">
        <v>489</v>
      </c>
      <c r="R59" t="s">
        <v>182</v>
      </c>
      <c r="S59" s="10">
        <v>1</v>
      </c>
      <c r="T59" t="s">
        <v>20</v>
      </c>
      <c r="U59" s="10">
        <v>61972.25</v>
      </c>
      <c r="V59" s="4">
        <v>61972.25</v>
      </c>
      <c r="X59" s="3" t="s">
        <v>507</v>
      </c>
      <c r="Y59" t="s">
        <v>508</v>
      </c>
      <c r="Z59" t="s">
        <v>67</v>
      </c>
      <c r="AA59" s="10">
        <v>2</v>
      </c>
      <c r="AB59" t="s">
        <v>5</v>
      </c>
      <c r="AC59" s="10">
        <v>6250</v>
      </c>
      <c r="AD59" s="4">
        <v>12500</v>
      </c>
      <c r="AF59" s="20">
        <v>13</v>
      </c>
      <c r="AG59" s="18" t="s">
        <v>92</v>
      </c>
      <c r="AH59" s="18" t="s">
        <v>93</v>
      </c>
      <c r="AI59" s="18" t="s">
        <v>67</v>
      </c>
      <c r="AJ59" s="21">
        <v>80</v>
      </c>
      <c r="AK59" s="18" t="s">
        <v>94</v>
      </c>
      <c r="AL59" s="21">
        <v>11800.124100000001</v>
      </c>
      <c r="AM59" s="19">
        <v>944009.92799999996</v>
      </c>
      <c r="AO59" s="20" t="s">
        <v>943</v>
      </c>
      <c r="AP59" s="18" t="s">
        <v>944</v>
      </c>
      <c r="AQ59" s="18" t="s">
        <v>151</v>
      </c>
      <c r="AR59" s="18">
        <v>10</v>
      </c>
      <c r="AS59" s="18" t="s">
        <v>20</v>
      </c>
      <c r="AT59" s="18">
        <v>4945</v>
      </c>
      <c r="AU59" s="19">
        <v>49450</v>
      </c>
      <c r="AW59" s="20" t="s">
        <v>943</v>
      </c>
      <c r="AX59" s="18" t="s">
        <v>944</v>
      </c>
      <c r="AY59" s="18" t="s">
        <v>151</v>
      </c>
      <c r="AZ59" s="18">
        <v>10</v>
      </c>
      <c r="BA59" s="18" t="s">
        <v>20</v>
      </c>
      <c r="BB59" s="18">
        <v>4945</v>
      </c>
      <c r="BC59" s="19">
        <v>49450</v>
      </c>
    </row>
    <row r="60" spans="1:55" x14ac:dyDescent="0.35">
      <c r="A60" s="38" t="str">
        <v>OTH00064</v>
      </c>
      <c r="B60" s="31" t="str">
        <f t="shared" si="0"/>
        <v>LILIN MEJA / TEALIGHT</v>
      </c>
      <c r="C60" s="31" t="str">
        <f t="shared" si="1"/>
        <v>OTHERS</v>
      </c>
      <c r="D60" s="31" t="str">
        <f t="shared" si="2"/>
        <v>pcs</v>
      </c>
      <c r="E60" s="40">
        <f t="shared" si="3"/>
        <v>966.13890000000004</v>
      </c>
      <c r="F60" s="48">
        <f t="shared" si="4"/>
        <v>224</v>
      </c>
      <c r="G60" s="48">
        <f t="shared" si="5"/>
        <v>90</v>
      </c>
      <c r="H60" s="48">
        <f t="shared" si="6"/>
        <v>-134</v>
      </c>
      <c r="I60" s="40">
        <f t="shared" si="7"/>
        <v>-129462.61260000001</v>
      </c>
      <c r="J60" s="39" t="str">
        <f t="shared" si="8"/>
        <v>Penurunan IU</v>
      </c>
      <c r="K60" s="81" t="s">
        <v>1259</v>
      </c>
      <c r="O60" s="3">
        <v>2</v>
      </c>
      <c r="P60" t="s">
        <v>383</v>
      </c>
      <c r="Q60" t="s">
        <v>384</v>
      </c>
      <c r="R60" t="s">
        <v>182</v>
      </c>
      <c r="S60">
        <v>40</v>
      </c>
      <c r="T60" t="s">
        <v>20</v>
      </c>
      <c r="U60">
        <v>0</v>
      </c>
      <c r="V60" s="4">
        <v>0</v>
      </c>
      <c r="X60" s="3" t="s">
        <v>509</v>
      </c>
      <c r="Y60" t="s">
        <v>510</v>
      </c>
      <c r="Z60" t="s">
        <v>67</v>
      </c>
      <c r="AA60" s="10">
        <v>2</v>
      </c>
      <c r="AB60" t="s">
        <v>5</v>
      </c>
      <c r="AC60" s="10">
        <v>6250</v>
      </c>
      <c r="AD60" s="4">
        <v>12500</v>
      </c>
      <c r="AF60" s="20">
        <v>14</v>
      </c>
      <c r="AG60" s="18" t="s">
        <v>100</v>
      </c>
      <c r="AH60" s="18" t="s">
        <v>101</v>
      </c>
      <c r="AI60" s="18" t="s">
        <v>67</v>
      </c>
      <c r="AJ60" s="21">
        <v>2</v>
      </c>
      <c r="AK60" s="18" t="s">
        <v>87</v>
      </c>
      <c r="AL60" s="21">
        <v>8255.5555999999997</v>
      </c>
      <c r="AM60" s="19">
        <v>16511.111199999999</v>
      </c>
      <c r="AO60" s="20" t="s">
        <v>284</v>
      </c>
      <c r="AP60" s="18" t="s">
        <v>285</v>
      </c>
      <c r="AQ60" s="18" t="s">
        <v>165</v>
      </c>
      <c r="AR60" s="21">
        <v>2</v>
      </c>
      <c r="AS60" s="18" t="s">
        <v>20</v>
      </c>
      <c r="AT60" s="21">
        <v>17129.86</v>
      </c>
      <c r="AU60" s="19">
        <v>34259.72</v>
      </c>
      <c r="AW60" s="20" t="s">
        <v>284</v>
      </c>
      <c r="AX60" s="18" t="s">
        <v>285</v>
      </c>
      <c r="AY60" s="18" t="s">
        <v>165</v>
      </c>
      <c r="AZ60" s="21">
        <v>2</v>
      </c>
      <c r="BA60" s="18" t="s">
        <v>20</v>
      </c>
      <c r="BB60" s="21">
        <v>17129.86</v>
      </c>
      <c r="BC60" s="19">
        <v>34259.72</v>
      </c>
    </row>
    <row r="61" spans="1:55" ht="15" thickBot="1" x14ac:dyDescent="0.4">
      <c r="A61" s="38" t="str">
        <v>OTH00092</v>
      </c>
      <c r="B61" s="31" t="str">
        <f t="shared" si="0"/>
        <v>KABEL TIES 10 CM</v>
      </c>
      <c r="C61" s="31" t="str">
        <f t="shared" si="1"/>
        <v>OTHERS</v>
      </c>
      <c r="D61" s="31" t="str">
        <f t="shared" si="2"/>
        <v>pack</v>
      </c>
      <c r="E61" s="40">
        <f t="shared" si="3"/>
        <v>2831.7543999999998</v>
      </c>
      <c r="F61" s="48">
        <f t="shared" si="4"/>
        <v>15</v>
      </c>
      <c r="G61" s="48">
        <f t="shared" si="5"/>
        <v>0.59</v>
      </c>
      <c r="H61" s="48">
        <f t="shared" si="6"/>
        <v>-14.41</v>
      </c>
      <c r="I61" s="40">
        <f t="shared" si="7"/>
        <v>-40805.580903999995</v>
      </c>
      <c r="J61" s="39" t="str">
        <f t="shared" si="8"/>
        <v>Penurunan IU</v>
      </c>
      <c r="K61" s="81" t="s">
        <v>1259</v>
      </c>
      <c r="O61" s="11" t="s">
        <v>223</v>
      </c>
      <c r="P61" s="12" t="s">
        <v>223</v>
      </c>
      <c r="Q61" s="12" t="s">
        <v>223</v>
      </c>
      <c r="R61" s="12" t="s">
        <v>223</v>
      </c>
      <c r="S61" s="12" t="s">
        <v>223</v>
      </c>
      <c r="T61" s="12" t="s">
        <v>223</v>
      </c>
      <c r="U61" s="12" t="s">
        <v>224</v>
      </c>
      <c r="V61" s="13">
        <v>61972.25</v>
      </c>
      <c r="X61" s="3" t="s">
        <v>232</v>
      </c>
      <c r="Y61" t="s">
        <v>233</v>
      </c>
      <c r="Z61" t="s">
        <v>67</v>
      </c>
      <c r="AA61" s="10">
        <v>2</v>
      </c>
      <c r="AB61" t="s">
        <v>20</v>
      </c>
      <c r="AC61" s="10">
        <v>6430</v>
      </c>
      <c r="AD61" s="4">
        <v>12860</v>
      </c>
      <c r="AF61" s="20">
        <v>15</v>
      </c>
      <c r="AG61" s="18" t="s">
        <v>628</v>
      </c>
      <c r="AH61" s="18" t="s">
        <v>629</v>
      </c>
      <c r="AI61" s="18" t="s">
        <v>67</v>
      </c>
      <c r="AJ61" s="21">
        <v>1</v>
      </c>
      <c r="AK61" s="18" t="s">
        <v>20</v>
      </c>
      <c r="AL61" s="21">
        <v>28500</v>
      </c>
      <c r="AM61" s="19">
        <v>28500</v>
      </c>
      <c r="AO61" s="20" t="s">
        <v>176</v>
      </c>
      <c r="AP61" s="18" t="s">
        <v>177</v>
      </c>
      <c r="AQ61" s="18" t="s">
        <v>165</v>
      </c>
      <c r="AR61" s="21">
        <v>4</v>
      </c>
      <c r="AS61" s="18" t="s">
        <v>20</v>
      </c>
      <c r="AT61" s="21">
        <v>11004.578599999999</v>
      </c>
      <c r="AU61" s="19">
        <v>44018.314400000003</v>
      </c>
      <c r="AW61" s="20" t="s">
        <v>176</v>
      </c>
      <c r="AX61" s="18" t="s">
        <v>177</v>
      </c>
      <c r="AY61" s="18" t="s">
        <v>165</v>
      </c>
      <c r="AZ61" s="21">
        <v>4</v>
      </c>
      <c r="BA61" s="18" t="s">
        <v>20</v>
      </c>
      <c r="BB61" s="21">
        <v>11004.578599999999</v>
      </c>
      <c r="BC61" s="19">
        <v>44018.314400000003</v>
      </c>
    </row>
    <row r="62" spans="1:55" ht="15.5" thickTop="1" thickBot="1" x14ac:dyDescent="0.4">
      <c r="A62" s="38" t="str">
        <v>OTH00098</v>
      </c>
      <c r="B62" s="31" t="str">
        <f t="shared" si="0"/>
        <v>TEMPAT LILIN KRISTAL BENING</v>
      </c>
      <c r="C62" s="31" t="str">
        <f t="shared" si="1"/>
        <v>OTHERS</v>
      </c>
      <c r="D62" s="31" t="str">
        <f t="shared" si="2"/>
        <v>pcs</v>
      </c>
      <c r="E62" s="40">
        <f t="shared" si="3"/>
        <v>5962.519299999999</v>
      </c>
      <c r="F62" s="48">
        <f t="shared" si="4"/>
        <v>7</v>
      </c>
      <c r="G62" s="48">
        <f t="shared" si="5"/>
        <v>2</v>
      </c>
      <c r="H62" s="48">
        <f t="shared" si="6"/>
        <v>-5</v>
      </c>
      <c r="I62" s="40">
        <f t="shared" si="7"/>
        <v>-29812.596499999996</v>
      </c>
      <c r="J62" s="39" t="str">
        <f t="shared" si="8"/>
        <v>Penurunan IU</v>
      </c>
      <c r="K62" s="81" t="s">
        <v>1259</v>
      </c>
      <c r="X62" s="3" t="s">
        <v>388</v>
      </c>
      <c r="Y62" t="s">
        <v>389</v>
      </c>
      <c r="Z62" t="s">
        <v>67</v>
      </c>
      <c r="AA62" s="10">
        <v>22</v>
      </c>
      <c r="AB62" t="s">
        <v>20</v>
      </c>
      <c r="AC62" s="10">
        <v>2639</v>
      </c>
      <c r="AD62" s="4">
        <v>58058</v>
      </c>
      <c r="AF62" s="20">
        <v>16</v>
      </c>
      <c r="AG62" s="18" t="s">
        <v>107</v>
      </c>
      <c r="AH62" s="18" t="s">
        <v>108</v>
      </c>
      <c r="AI62" s="18" t="s">
        <v>67</v>
      </c>
      <c r="AJ62" s="21">
        <v>1</v>
      </c>
      <c r="AK62" s="18" t="s">
        <v>5</v>
      </c>
      <c r="AL62" s="21">
        <v>16250</v>
      </c>
      <c r="AM62" s="19">
        <v>16250</v>
      </c>
      <c r="AO62" s="20" t="s">
        <v>433</v>
      </c>
      <c r="AP62" s="18" t="s">
        <v>434</v>
      </c>
      <c r="AQ62" s="18" t="s">
        <v>165</v>
      </c>
      <c r="AR62" s="21">
        <v>1</v>
      </c>
      <c r="AS62" s="18" t="s">
        <v>20</v>
      </c>
      <c r="AT62" s="21">
        <v>8750</v>
      </c>
      <c r="AU62" s="19">
        <v>8750</v>
      </c>
      <c r="AW62" s="20" t="s">
        <v>433</v>
      </c>
      <c r="AX62" s="18" t="s">
        <v>434</v>
      </c>
      <c r="AY62" s="18" t="s">
        <v>165</v>
      </c>
      <c r="AZ62" s="21">
        <v>1</v>
      </c>
      <c r="BA62" s="18" t="s">
        <v>20</v>
      </c>
      <c r="BB62" s="21">
        <v>8750</v>
      </c>
      <c r="BC62" s="19">
        <v>8750</v>
      </c>
    </row>
    <row r="63" spans="1:55" ht="15" thickTop="1" x14ac:dyDescent="0.35">
      <c r="A63" s="38" t="str">
        <v>OTH00211</v>
      </c>
      <c r="B63" s="31" t="str">
        <f t="shared" si="0"/>
        <v>STICKER SAMPAH ORGANIK ANORGANIK</v>
      </c>
      <c r="C63" s="31" t="str">
        <f t="shared" si="1"/>
        <v>OTHERS</v>
      </c>
      <c r="D63" s="31" t="str">
        <f t="shared" si="2"/>
        <v>pcs</v>
      </c>
      <c r="E63" s="40">
        <f t="shared" si="3"/>
        <v>4945</v>
      </c>
      <c r="F63" s="48" t="str">
        <f t="shared" si="4"/>
        <v>0</v>
      </c>
      <c r="G63" s="48">
        <f t="shared" si="5"/>
        <v>10</v>
      </c>
      <c r="H63" s="48">
        <f t="shared" si="6"/>
        <v>10</v>
      </c>
      <c r="I63" s="40">
        <f t="shared" si="7"/>
        <v>49450</v>
      </c>
      <c r="J63" s="39" t="str">
        <f t="shared" si="8"/>
        <v>Kenaikan IU</v>
      </c>
      <c r="K63" s="81" t="s">
        <v>1261</v>
      </c>
      <c r="O63" s="88" t="s">
        <v>0</v>
      </c>
      <c r="P63" s="89"/>
      <c r="Q63" s="89"/>
      <c r="R63" s="89"/>
      <c r="S63" s="89"/>
      <c r="T63" s="1"/>
      <c r="U63" s="1"/>
      <c r="V63" s="2"/>
      <c r="X63" s="3" t="s">
        <v>72</v>
      </c>
      <c r="Y63" t="s">
        <v>73</v>
      </c>
      <c r="Z63" t="s">
        <v>67</v>
      </c>
      <c r="AA63" s="10">
        <v>16</v>
      </c>
      <c r="AB63" t="s">
        <v>74</v>
      </c>
      <c r="AC63" s="10">
        <v>3073.1077</v>
      </c>
      <c r="AD63" s="4">
        <v>49169.7232</v>
      </c>
      <c r="AF63" s="20">
        <v>17</v>
      </c>
      <c r="AG63" s="18" t="s">
        <v>364</v>
      </c>
      <c r="AH63" s="18" t="s">
        <v>365</v>
      </c>
      <c r="AI63" s="18" t="s">
        <v>67</v>
      </c>
      <c r="AJ63" s="21">
        <v>0.8</v>
      </c>
      <c r="AK63" s="18" t="s">
        <v>52</v>
      </c>
      <c r="AL63" s="21">
        <v>16193.448200000001</v>
      </c>
      <c r="AM63" s="19">
        <v>12954.75856</v>
      </c>
      <c r="AO63" s="20" t="s">
        <v>650</v>
      </c>
      <c r="AP63" s="18" t="s">
        <v>651</v>
      </c>
      <c r="AQ63" s="18" t="s">
        <v>165</v>
      </c>
      <c r="AR63" s="21">
        <v>3</v>
      </c>
      <c r="AS63" s="18" t="s">
        <v>20</v>
      </c>
      <c r="AT63" s="21">
        <v>7250</v>
      </c>
      <c r="AU63" s="19">
        <v>21750</v>
      </c>
      <c r="AW63" s="20" t="s">
        <v>650</v>
      </c>
      <c r="AX63" s="18" t="s">
        <v>651</v>
      </c>
      <c r="AY63" s="18" t="s">
        <v>165</v>
      </c>
      <c r="AZ63" s="21">
        <v>3</v>
      </c>
      <c r="BA63" s="18" t="s">
        <v>20</v>
      </c>
      <c r="BB63" s="21">
        <v>7250</v>
      </c>
      <c r="BC63" s="19">
        <v>21750</v>
      </c>
    </row>
    <row r="64" spans="1:55" x14ac:dyDescent="0.35">
      <c r="A64" s="38" t="str">
        <v>KW000019</v>
      </c>
      <c r="B64" s="31" t="str">
        <f t="shared" si="0"/>
        <v>FOOD TONG/CAPITAN MAKANAN LUBANG STAINLESS9 INCH</v>
      </c>
      <c r="C64" s="31" t="str">
        <f t="shared" si="1"/>
        <v>KITCHENWARE TOOLS</v>
      </c>
      <c r="D64" s="31" t="str">
        <f t="shared" si="2"/>
        <v>pcs</v>
      </c>
      <c r="E64" s="40">
        <f t="shared" si="3"/>
        <v>17129.86</v>
      </c>
      <c r="F64" s="48">
        <f t="shared" si="4"/>
        <v>30</v>
      </c>
      <c r="G64" s="48">
        <f t="shared" si="5"/>
        <v>2</v>
      </c>
      <c r="H64" s="48">
        <f t="shared" si="6"/>
        <v>-28</v>
      </c>
      <c r="I64" s="40">
        <f t="shared" si="7"/>
        <v>-479636.08</v>
      </c>
      <c r="J64" s="39" t="str">
        <f t="shared" si="8"/>
        <v>Penurunan IU</v>
      </c>
      <c r="K64" s="81" t="s">
        <v>1262</v>
      </c>
      <c r="O64" s="86" t="s">
        <v>1</v>
      </c>
      <c r="P64" s="87"/>
      <c r="Q64" s="87"/>
      <c r="R64" s="87"/>
      <c r="S64" s="87"/>
      <c r="V64" s="4"/>
      <c r="X64" s="3" t="s">
        <v>77</v>
      </c>
      <c r="Y64" t="s">
        <v>78</v>
      </c>
      <c r="Z64" t="s">
        <v>67</v>
      </c>
      <c r="AA64" s="10">
        <v>1</v>
      </c>
      <c r="AB64" t="s">
        <v>20</v>
      </c>
      <c r="AC64" s="10">
        <v>6500</v>
      </c>
      <c r="AD64" s="4">
        <v>6500</v>
      </c>
      <c r="AF64" s="20">
        <v>18</v>
      </c>
      <c r="AG64" s="18" t="s">
        <v>113</v>
      </c>
      <c r="AH64" s="18" t="s">
        <v>114</v>
      </c>
      <c r="AI64" s="18" t="s">
        <v>67</v>
      </c>
      <c r="AJ64" s="18">
        <v>500</v>
      </c>
      <c r="AK64" s="18" t="s">
        <v>20</v>
      </c>
      <c r="AL64" s="18">
        <v>63.2</v>
      </c>
      <c r="AM64" s="19">
        <v>31600</v>
      </c>
      <c r="AO64" s="20" t="s">
        <v>294</v>
      </c>
      <c r="AP64" s="18" t="s">
        <v>295</v>
      </c>
      <c r="AQ64" s="18" t="s">
        <v>165</v>
      </c>
      <c r="AR64" s="21">
        <v>2</v>
      </c>
      <c r="AS64" s="18" t="s">
        <v>20</v>
      </c>
      <c r="AT64" s="21">
        <v>16527.600600000002</v>
      </c>
      <c r="AU64" s="19">
        <v>33055.201200000003</v>
      </c>
      <c r="AW64" s="20" t="s">
        <v>294</v>
      </c>
      <c r="AX64" s="18" t="s">
        <v>295</v>
      </c>
      <c r="AY64" s="18" t="s">
        <v>165</v>
      </c>
      <c r="AZ64" s="21">
        <v>2</v>
      </c>
      <c r="BA64" s="18" t="s">
        <v>20</v>
      </c>
      <c r="BB64" s="21">
        <v>16527.600600000002</v>
      </c>
      <c r="BC64" s="19">
        <v>33055.201200000003</v>
      </c>
    </row>
    <row r="65" spans="1:55" ht="15" thickBot="1" x14ac:dyDescent="0.4">
      <c r="A65" s="38" t="str">
        <v>KW00089</v>
      </c>
      <c r="B65" s="31" t="str">
        <f t="shared" si="0"/>
        <v>DRAWER ORGANIZER 26X8.5X4</v>
      </c>
      <c r="C65" s="31" t="str">
        <f t="shared" si="1"/>
        <v>KITCHENWARE TOOLS</v>
      </c>
      <c r="D65" s="31" t="str">
        <f t="shared" si="2"/>
        <v>pcs</v>
      </c>
      <c r="E65" s="40">
        <f t="shared" si="3"/>
        <v>11004.578599999999</v>
      </c>
      <c r="F65" s="48">
        <f t="shared" si="4"/>
        <v>7</v>
      </c>
      <c r="G65" s="48">
        <f t="shared" si="5"/>
        <v>4</v>
      </c>
      <c r="H65" s="48">
        <f t="shared" si="6"/>
        <v>-3</v>
      </c>
      <c r="I65" s="40">
        <f t="shared" si="7"/>
        <v>-33013.735799999995</v>
      </c>
      <c r="J65" s="39" t="str">
        <f t="shared" si="8"/>
        <v>Penurunan IU</v>
      </c>
      <c r="K65" s="81" t="s">
        <v>1263</v>
      </c>
      <c r="O65" s="3"/>
      <c r="V65" s="4"/>
      <c r="X65" s="3" t="s">
        <v>79</v>
      </c>
      <c r="Y65" t="s">
        <v>80</v>
      </c>
      <c r="Z65" t="s">
        <v>67</v>
      </c>
      <c r="AA65" s="10">
        <v>2</v>
      </c>
      <c r="AB65" t="s">
        <v>20</v>
      </c>
      <c r="AC65" s="10">
        <v>15000</v>
      </c>
      <c r="AD65" s="4">
        <v>30000</v>
      </c>
      <c r="AF65" s="22" t="s">
        <v>223</v>
      </c>
      <c r="AG65" s="23" t="s">
        <v>223</v>
      </c>
      <c r="AH65" s="23" t="s">
        <v>223</v>
      </c>
      <c r="AI65" s="23" t="s">
        <v>223</v>
      </c>
      <c r="AJ65" s="23" t="s">
        <v>223</v>
      </c>
      <c r="AK65" s="23" t="s">
        <v>223</v>
      </c>
      <c r="AL65" s="23" t="s">
        <v>224</v>
      </c>
      <c r="AM65" s="24">
        <v>1267524.4803199999</v>
      </c>
      <c r="AO65" s="20" t="s">
        <v>919</v>
      </c>
      <c r="AP65" s="18" t="s">
        <v>920</v>
      </c>
      <c r="AQ65" s="18" t="s">
        <v>165</v>
      </c>
      <c r="AR65" s="21">
        <v>2</v>
      </c>
      <c r="AS65" s="18" t="s">
        <v>20</v>
      </c>
      <c r="AT65" s="21">
        <v>157500</v>
      </c>
      <c r="AU65" s="19">
        <v>315000</v>
      </c>
      <c r="AW65" s="20" t="s">
        <v>919</v>
      </c>
      <c r="AX65" s="18" t="s">
        <v>920</v>
      </c>
      <c r="AY65" s="18" t="s">
        <v>165</v>
      </c>
      <c r="AZ65" s="21">
        <v>2</v>
      </c>
      <c r="BA65" s="18" t="s">
        <v>20</v>
      </c>
      <c r="BB65" s="21">
        <v>157500</v>
      </c>
      <c r="BC65" s="19">
        <v>315000</v>
      </c>
    </row>
    <row r="66" spans="1:55" x14ac:dyDescent="0.35">
      <c r="A66" s="38" t="str">
        <v>KW00119</v>
      </c>
      <c r="B66" s="31" t="str">
        <f t="shared" si="0"/>
        <v>SENDOK KITCHEN</v>
      </c>
      <c r="C66" s="31" t="str">
        <f t="shared" si="1"/>
        <v>KITCHENWARE TOOLS</v>
      </c>
      <c r="D66" s="31" t="str">
        <f t="shared" si="2"/>
        <v>pcs</v>
      </c>
      <c r="E66" s="40">
        <f t="shared" si="3"/>
        <v>8750</v>
      </c>
      <c r="F66" s="48" t="str">
        <f t="shared" si="4"/>
        <v>0</v>
      </c>
      <c r="G66" s="48">
        <f t="shared" si="5"/>
        <v>1</v>
      </c>
      <c r="H66" s="48">
        <f t="shared" si="6"/>
        <v>1</v>
      </c>
      <c r="I66" s="40">
        <f t="shared" si="7"/>
        <v>8750</v>
      </c>
      <c r="J66" s="39" t="str">
        <f t="shared" si="8"/>
        <v>Kenaikan IU</v>
      </c>
      <c r="K66" s="81" t="s">
        <v>1264</v>
      </c>
      <c r="O66" s="86" t="s">
        <v>10</v>
      </c>
      <c r="P66" s="87" t="s">
        <v>11</v>
      </c>
      <c r="Q66" t="s">
        <v>511</v>
      </c>
      <c r="V66" s="4"/>
      <c r="X66" s="3" t="s">
        <v>325</v>
      </c>
      <c r="Y66" t="s">
        <v>326</v>
      </c>
      <c r="Z66" t="s">
        <v>67</v>
      </c>
      <c r="AA66" s="10">
        <v>2</v>
      </c>
      <c r="AB66" t="s">
        <v>5</v>
      </c>
      <c r="AC66" s="10">
        <v>46500</v>
      </c>
      <c r="AD66" s="4">
        <v>93000</v>
      </c>
      <c r="AO66" s="20" t="s">
        <v>436</v>
      </c>
      <c r="AP66" s="18" t="s">
        <v>437</v>
      </c>
      <c r="AQ66" s="18" t="s">
        <v>165</v>
      </c>
      <c r="AR66" s="21">
        <v>1</v>
      </c>
      <c r="AS66" s="18" t="s">
        <v>5</v>
      </c>
      <c r="AT66" s="21">
        <v>8000</v>
      </c>
      <c r="AU66" s="19">
        <v>8000</v>
      </c>
      <c r="AW66" s="20" t="s">
        <v>436</v>
      </c>
      <c r="AX66" s="18" t="s">
        <v>437</v>
      </c>
      <c r="AY66" s="18" t="s">
        <v>165</v>
      </c>
      <c r="AZ66" s="21">
        <v>1</v>
      </c>
      <c r="BA66" s="18" t="s">
        <v>5</v>
      </c>
      <c r="BB66" s="21">
        <v>8000</v>
      </c>
      <c r="BC66" s="19">
        <v>8000</v>
      </c>
    </row>
    <row r="67" spans="1:55" ht="15" thickBot="1" x14ac:dyDescent="0.4">
      <c r="A67" s="38" t="str">
        <v>KW00120</v>
      </c>
      <c r="B67" s="31" t="str">
        <f t="shared" si="0"/>
        <v>CHOPSTICK HEXAGONAL</v>
      </c>
      <c r="C67" s="31" t="str">
        <f t="shared" si="1"/>
        <v>KITCHENWARE TOOLS</v>
      </c>
      <c r="D67" s="31" t="str">
        <f t="shared" si="2"/>
        <v>pcs</v>
      </c>
      <c r="E67" s="40">
        <f t="shared" si="3"/>
        <v>7250</v>
      </c>
      <c r="F67" s="48" t="str">
        <f t="shared" si="4"/>
        <v>0</v>
      </c>
      <c r="G67" s="48">
        <f t="shared" si="5"/>
        <v>3</v>
      </c>
      <c r="H67" s="48">
        <f t="shared" si="6"/>
        <v>3</v>
      </c>
      <c r="I67" s="40">
        <f t="shared" si="7"/>
        <v>21750</v>
      </c>
      <c r="J67" s="39" t="str">
        <f t="shared" si="8"/>
        <v>Kenaikan IU</v>
      </c>
      <c r="K67" s="81" t="s">
        <v>1264</v>
      </c>
      <c r="O67" s="86" t="s">
        <v>16</v>
      </c>
      <c r="P67" s="87" t="s">
        <v>11</v>
      </c>
      <c r="Q67" t="s">
        <v>17</v>
      </c>
      <c r="V67" s="4"/>
      <c r="X67" s="3" t="s">
        <v>512</v>
      </c>
      <c r="Y67" t="s">
        <v>513</v>
      </c>
      <c r="Z67" t="s">
        <v>67</v>
      </c>
      <c r="AA67" s="10">
        <v>2</v>
      </c>
      <c r="AB67" t="s">
        <v>486</v>
      </c>
      <c r="AC67" s="10">
        <v>31500</v>
      </c>
      <c r="AD67" s="4">
        <v>63000</v>
      </c>
      <c r="AO67" s="20" t="s">
        <v>184</v>
      </c>
      <c r="AP67" s="18" t="s">
        <v>185</v>
      </c>
      <c r="AQ67" s="18" t="s">
        <v>182</v>
      </c>
      <c r="AR67" s="21">
        <v>4</v>
      </c>
      <c r="AS67" s="18" t="s">
        <v>20</v>
      </c>
      <c r="AT67" s="21">
        <v>1954.48</v>
      </c>
      <c r="AU67" s="19">
        <v>7817.92</v>
      </c>
      <c r="AW67" s="20" t="s">
        <v>184</v>
      </c>
      <c r="AX67" s="18" t="s">
        <v>185</v>
      </c>
      <c r="AY67" s="18" t="s">
        <v>182</v>
      </c>
      <c r="AZ67" s="21">
        <v>4</v>
      </c>
      <c r="BA67" s="18" t="s">
        <v>20</v>
      </c>
      <c r="BB67" s="21">
        <v>1954.48</v>
      </c>
      <c r="BC67" s="19">
        <v>7817.92</v>
      </c>
    </row>
    <row r="68" spans="1:55" x14ac:dyDescent="0.35">
      <c r="A68" s="38" t="str">
        <v>KW00137</v>
      </c>
      <c r="B68" s="31" t="str">
        <f t="shared" si="0"/>
        <v>SPATULA SILIKON GAGANG KAYU</v>
      </c>
      <c r="C68" s="31" t="str">
        <f t="shared" si="1"/>
        <v>KITCHENWARE TOOLS</v>
      </c>
      <c r="D68" s="31" t="str">
        <f t="shared" si="2"/>
        <v>pcs</v>
      </c>
      <c r="E68" s="40">
        <f t="shared" si="3"/>
        <v>16527.600600000002</v>
      </c>
      <c r="F68" s="48">
        <f t="shared" si="4"/>
        <v>12</v>
      </c>
      <c r="G68" s="48">
        <f t="shared" si="5"/>
        <v>2</v>
      </c>
      <c r="H68" s="48">
        <f t="shared" si="6"/>
        <v>-10</v>
      </c>
      <c r="I68" s="40">
        <f t="shared" si="7"/>
        <v>-165276.00600000002</v>
      </c>
      <c r="J68" s="39" t="str">
        <f t="shared" si="8"/>
        <v>Penurunan IU</v>
      </c>
      <c r="K68" s="81" t="s">
        <v>1265</v>
      </c>
      <c r="O68" s="86" t="s">
        <v>21</v>
      </c>
      <c r="P68" s="87" t="s">
        <v>11</v>
      </c>
      <c r="Q68" t="s">
        <v>482</v>
      </c>
      <c r="V68" s="4"/>
      <c r="X68" s="3" t="s">
        <v>484</v>
      </c>
      <c r="Y68" t="s">
        <v>485</v>
      </c>
      <c r="Z68" t="s">
        <v>67</v>
      </c>
      <c r="AA68" s="10">
        <v>2</v>
      </c>
      <c r="AB68" t="s">
        <v>486</v>
      </c>
      <c r="AC68" s="10">
        <v>8500</v>
      </c>
      <c r="AD68" s="4">
        <v>17000</v>
      </c>
      <c r="AF68" s="84" t="s">
        <v>0</v>
      </c>
      <c r="AG68" s="85"/>
      <c r="AH68" s="85"/>
      <c r="AI68" s="85"/>
      <c r="AJ68" s="85"/>
      <c r="AK68" s="16"/>
      <c r="AL68" s="16"/>
      <c r="AM68" s="17"/>
      <c r="AO68" s="20" t="s">
        <v>187</v>
      </c>
      <c r="AP68" s="18" t="s">
        <v>188</v>
      </c>
      <c r="AQ68" s="18" t="s">
        <v>182</v>
      </c>
      <c r="AR68" s="21">
        <v>4</v>
      </c>
      <c r="AS68" s="18" t="s">
        <v>20</v>
      </c>
      <c r="AT68" s="21">
        <v>3229</v>
      </c>
      <c r="AU68" s="19">
        <v>12916</v>
      </c>
      <c r="AW68" s="20" t="s">
        <v>187</v>
      </c>
      <c r="AX68" s="18" t="s">
        <v>188</v>
      </c>
      <c r="AY68" s="18" t="s">
        <v>182</v>
      </c>
      <c r="AZ68" s="21">
        <v>4</v>
      </c>
      <c r="BA68" s="18" t="s">
        <v>20</v>
      </c>
      <c r="BB68" s="21">
        <v>3229</v>
      </c>
      <c r="BC68" s="19">
        <v>12916</v>
      </c>
    </row>
    <row r="69" spans="1:55" ht="15" thickBot="1" x14ac:dyDescent="0.4">
      <c r="A69" s="38" t="str">
        <v>KW00159</v>
      </c>
      <c r="B69" s="31" t="str">
        <f t="shared" si="0"/>
        <v>RICE NET</v>
      </c>
      <c r="C69" s="31" t="str">
        <f t="shared" si="1"/>
        <v>KITCHENWARE TOOLS</v>
      </c>
      <c r="D69" s="31" t="str">
        <f t="shared" si="2"/>
        <v>pcs</v>
      </c>
      <c r="E69" s="40">
        <f t="shared" si="3"/>
        <v>157500</v>
      </c>
      <c r="F69" s="48" t="str">
        <f t="shared" si="4"/>
        <v>0</v>
      </c>
      <c r="G69" s="48">
        <f t="shared" si="5"/>
        <v>2</v>
      </c>
      <c r="H69" s="48">
        <f t="shared" si="6"/>
        <v>2</v>
      </c>
      <c r="I69" s="40">
        <f t="shared" si="7"/>
        <v>315000</v>
      </c>
      <c r="J69" s="39" t="str">
        <f t="shared" si="8"/>
        <v>Kenaikan IU</v>
      </c>
      <c r="K69" s="81" t="s">
        <v>1266</v>
      </c>
      <c r="O69" s="86" t="s">
        <v>26</v>
      </c>
      <c r="P69" s="87" t="s">
        <v>11</v>
      </c>
      <c r="Q69" t="s">
        <v>514</v>
      </c>
      <c r="V69" s="4"/>
      <c r="X69" s="3" t="s">
        <v>81</v>
      </c>
      <c r="Y69" t="s">
        <v>82</v>
      </c>
      <c r="Z69" t="s">
        <v>67</v>
      </c>
      <c r="AA69" s="10">
        <v>2</v>
      </c>
      <c r="AB69" t="s">
        <v>20</v>
      </c>
      <c r="AC69" s="10">
        <v>9750</v>
      </c>
      <c r="AD69" s="4">
        <v>19500</v>
      </c>
      <c r="AF69" s="82" t="s">
        <v>1</v>
      </c>
      <c r="AG69" s="83"/>
      <c r="AH69" s="83"/>
      <c r="AI69" s="83"/>
      <c r="AJ69" s="83"/>
      <c r="AK69" s="18"/>
      <c r="AL69" s="18"/>
      <c r="AM69" s="19"/>
      <c r="AO69" s="22" t="s">
        <v>442</v>
      </c>
      <c r="AP69" s="23" t="s">
        <v>443</v>
      </c>
      <c r="AQ69" s="23" t="s">
        <v>192</v>
      </c>
      <c r="AR69" s="23">
        <v>6</v>
      </c>
      <c r="AS69" s="23" t="s">
        <v>20</v>
      </c>
      <c r="AT69" s="23">
        <v>18480</v>
      </c>
      <c r="AU69" s="24">
        <v>110880</v>
      </c>
      <c r="AW69" s="22" t="s">
        <v>442</v>
      </c>
      <c r="AX69" s="23" t="s">
        <v>443</v>
      </c>
      <c r="AY69" s="23" t="s">
        <v>192</v>
      </c>
      <c r="AZ69" s="23">
        <v>6</v>
      </c>
      <c r="BA69" s="23" t="s">
        <v>20</v>
      </c>
      <c r="BB69" s="23">
        <v>18480</v>
      </c>
      <c r="BC69" s="24">
        <v>110880</v>
      </c>
    </row>
    <row r="70" spans="1:55" ht="15" thickTop="1" x14ac:dyDescent="0.35">
      <c r="A70" s="38" t="str">
        <v>KW00380</v>
      </c>
      <c r="B70" s="31" t="str">
        <f t="shared" si="0"/>
        <v>SENDOK PUDING (UNTUK SAUCE SAMJANG) PACK@50PCS</v>
      </c>
      <c r="C70" s="31" t="str">
        <f t="shared" si="1"/>
        <v>KITCHENWARE TOOLS</v>
      </c>
      <c r="D70" s="31" t="str">
        <f t="shared" si="2"/>
        <v>pack</v>
      </c>
      <c r="E70" s="40">
        <f t="shared" si="3"/>
        <v>8000</v>
      </c>
      <c r="F70" s="48">
        <f t="shared" si="4"/>
        <v>2</v>
      </c>
      <c r="G70" s="48">
        <f t="shared" si="5"/>
        <v>1</v>
      </c>
      <c r="H70" s="48">
        <f t="shared" si="6"/>
        <v>-1</v>
      </c>
      <c r="I70" s="40">
        <f t="shared" si="7"/>
        <v>-8000</v>
      </c>
      <c r="J70" s="39" t="str">
        <f t="shared" si="8"/>
        <v>Penurunan IU</v>
      </c>
      <c r="K70" s="81" t="s">
        <v>1259</v>
      </c>
      <c r="O70" s="86" t="s">
        <v>31</v>
      </c>
      <c r="P70" s="87" t="s">
        <v>11</v>
      </c>
      <c r="Q70" t="s">
        <v>32</v>
      </c>
      <c r="V70" s="4"/>
      <c r="X70" s="3" t="s">
        <v>357</v>
      </c>
      <c r="Y70" t="s">
        <v>358</v>
      </c>
      <c r="Z70" t="s">
        <v>67</v>
      </c>
      <c r="AA70" s="10">
        <v>0.5</v>
      </c>
      <c r="AB70" t="s">
        <v>5</v>
      </c>
      <c r="AC70" s="10">
        <v>31592.592599999996</v>
      </c>
      <c r="AD70" s="4">
        <v>15796.2963</v>
      </c>
      <c r="AF70" s="20"/>
      <c r="AG70" s="18"/>
      <c r="AH70" s="18"/>
      <c r="AI70" s="18"/>
      <c r="AJ70" s="18"/>
      <c r="AK70" s="18"/>
      <c r="AL70" s="18"/>
      <c r="AM70" s="19"/>
      <c r="AW70" s="7" t="s">
        <v>217</v>
      </c>
      <c r="AX70" s="1" t="s">
        <v>218</v>
      </c>
      <c r="AY70" s="1" t="s">
        <v>4</v>
      </c>
      <c r="AZ70" s="8">
        <v>0.56999999999999995</v>
      </c>
      <c r="BA70" s="1" t="s">
        <v>9</v>
      </c>
      <c r="BB70" s="8">
        <v>55300</v>
      </c>
      <c r="BC70" s="2">
        <v>31521</v>
      </c>
    </row>
    <row r="71" spans="1:55" x14ac:dyDescent="0.35">
      <c r="A71" s="38" t="str">
        <v>TCT00004</v>
      </c>
      <c r="B71" s="31" t="str">
        <f t="shared" ref="B71:B134" si="9">_xlfn.XLOOKUP(A71, AW$2:AW$500, AX$2:AX$500, "", 0)</f>
        <v>MTE SUMPIT STAINLESS SUS304</v>
      </c>
      <c r="C71" s="31" t="str">
        <f t="shared" ref="C71:C134" si="10">_xlfn.XLOOKUP(A71, AW$2:AW$500, AY$2:AY$500, "", 0)</f>
        <v>CUTELERIES</v>
      </c>
      <c r="D71" s="31" t="str">
        <f t="shared" ref="D71:D134" si="11">_xlfn.XLOOKUP(A71, AW$2:AW$500, BA$2:BA$500, "", 0)</f>
        <v>pcs</v>
      </c>
      <c r="E71" s="40">
        <f t="shared" ref="E71:E134" si="12">_xlfn.XLOOKUP(A71, AW$2:AW$500, BB$2:BB$500, "", 0)</f>
        <v>1954.48</v>
      </c>
      <c r="F71" s="48">
        <f t="shared" ref="F71:F134" si="13">_xlfn.XLOOKUP(A71, X$3:X$500, AA$3:AA$500, "0", 0)</f>
        <v>31</v>
      </c>
      <c r="G71" s="48">
        <f t="shared" ref="G71:G134" si="14">_xlfn.XLOOKUP(A71, AO$2:AO$500, AR$2:AR$500, "0", 0)</f>
        <v>4</v>
      </c>
      <c r="H71" s="48">
        <f t="shared" ref="H71:H134" si="15">G71-F71</f>
        <v>-27</v>
      </c>
      <c r="I71" s="40">
        <f t="shared" ref="I71:I134" si="16">H71*E71</f>
        <v>-52770.96</v>
      </c>
      <c r="J71" s="39" t="str">
        <f t="shared" ref="J71:J134" si="17">CHOOSE(SIGN(G71 - F71) + 2, "Penurunan IU", "Tidak Ada Perubahan", "Kenaikan IU")</f>
        <v>Penurunan IU</v>
      </c>
      <c r="K71" s="81" t="s">
        <v>1259</v>
      </c>
      <c r="O71" s="86" t="s">
        <v>35</v>
      </c>
      <c r="P71" s="87" t="s">
        <v>11</v>
      </c>
      <c r="Q71" t="s">
        <v>515</v>
      </c>
      <c r="V71" s="4"/>
      <c r="X71" s="3" t="s">
        <v>83</v>
      </c>
      <c r="Y71" t="s">
        <v>84</v>
      </c>
      <c r="Z71" t="s">
        <v>67</v>
      </c>
      <c r="AA71" s="10">
        <v>2</v>
      </c>
      <c r="AB71" t="s">
        <v>20</v>
      </c>
      <c r="AC71" s="10">
        <v>7250</v>
      </c>
      <c r="AD71" s="4">
        <v>14500</v>
      </c>
      <c r="AF71" s="82" t="s">
        <v>10</v>
      </c>
      <c r="AG71" s="83" t="s">
        <v>11</v>
      </c>
      <c r="AH71" s="18" t="s">
        <v>940</v>
      </c>
      <c r="AI71" s="18"/>
      <c r="AJ71" s="18"/>
      <c r="AK71" s="18"/>
      <c r="AL71" s="18"/>
      <c r="AM71" s="19"/>
      <c r="AW71" s="5" t="s">
        <v>18</v>
      </c>
      <c r="AX71" s="6" t="s">
        <v>19</v>
      </c>
      <c r="AY71" s="6" t="s">
        <v>4</v>
      </c>
      <c r="AZ71" s="10">
        <v>0.3</v>
      </c>
      <c r="BA71" s="6" t="s">
        <v>20</v>
      </c>
      <c r="BB71" s="10">
        <v>151400</v>
      </c>
      <c r="BC71" s="4">
        <v>45420</v>
      </c>
    </row>
    <row r="72" spans="1:55" x14ac:dyDescent="0.35">
      <c r="A72" s="38" t="str">
        <v>TCT00008</v>
      </c>
      <c r="B72" s="31" t="str">
        <f t="shared" si="9"/>
        <v>SENDOK KOREA STAINLESS SUJEO SUS304</v>
      </c>
      <c r="C72" s="31" t="str">
        <f t="shared" si="10"/>
        <v>CUTELERIES</v>
      </c>
      <c r="D72" s="31" t="str">
        <f t="shared" si="11"/>
        <v>pcs</v>
      </c>
      <c r="E72" s="40">
        <f t="shared" si="12"/>
        <v>3229</v>
      </c>
      <c r="F72" s="48">
        <f t="shared" si="13"/>
        <v>28</v>
      </c>
      <c r="G72" s="48">
        <f t="shared" si="14"/>
        <v>4</v>
      </c>
      <c r="H72" s="48">
        <f t="shared" si="15"/>
        <v>-24</v>
      </c>
      <c r="I72" s="40">
        <f t="shared" si="16"/>
        <v>-77496</v>
      </c>
      <c r="J72" s="39" t="str">
        <f t="shared" si="17"/>
        <v>Penurunan IU</v>
      </c>
      <c r="K72" s="81" t="s">
        <v>1259</v>
      </c>
      <c r="O72" s="3"/>
      <c r="V72" s="4"/>
      <c r="X72" s="3" t="s">
        <v>242</v>
      </c>
      <c r="Y72" t="s">
        <v>243</v>
      </c>
      <c r="Z72" t="s">
        <v>67</v>
      </c>
      <c r="AA72" s="10">
        <v>2.2999999999999998</v>
      </c>
      <c r="AB72" t="s">
        <v>87</v>
      </c>
      <c r="AC72" s="10">
        <v>14500</v>
      </c>
      <c r="AD72" s="4">
        <v>33350</v>
      </c>
      <c r="AF72" s="82" t="s">
        <v>16</v>
      </c>
      <c r="AG72" s="83" t="s">
        <v>11</v>
      </c>
      <c r="AH72" s="18" t="s">
        <v>211</v>
      </c>
      <c r="AI72" s="18"/>
      <c r="AJ72" s="18"/>
      <c r="AK72" s="18"/>
      <c r="AL72" s="18"/>
      <c r="AM72" s="19"/>
      <c r="AW72" s="5" t="s">
        <v>219</v>
      </c>
      <c r="AX72" s="6" t="s">
        <v>220</v>
      </c>
      <c r="AY72" s="6" t="s">
        <v>4</v>
      </c>
      <c r="AZ72" s="10">
        <v>0.04</v>
      </c>
      <c r="BA72" s="6" t="s">
        <v>25</v>
      </c>
      <c r="BB72" s="10">
        <v>79237</v>
      </c>
      <c r="BC72" s="4">
        <v>3169.48</v>
      </c>
    </row>
    <row r="73" spans="1:55" x14ac:dyDescent="0.35">
      <c r="A73" s="38" t="str">
        <v>TGW00009</v>
      </c>
      <c r="B73" s="31" t="str">
        <f t="shared" si="9"/>
        <v>IGIGLORI M6003 GELAS HITAM KOREA</v>
      </c>
      <c r="C73" s="31" t="str">
        <f t="shared" si="10"/>
        <v>TABLEWARE</v>
      </c>
      <c r="D73" s="31" t="str">
        <f t="shared" si="11"/>
        <v>pcs</v>
      </c>
      <c r="E73" s="40">
        <f t="shared" si="12"/>
        <v>18480</v>
      </c>
      <c r="F73" s="48">
        <f t="shared" si="13"/>
        <v>23</v>
      </c>
      <c r="G73" s="48">
        <f t="shared" si="14"/>
        <v>6</v>
      </c>
      <c r="H73" s="48">
        <f t="shared" si="15"/>
        <v>-17</v>
      </c>
      <c r="I73" s="40">
        <f t="shared" si="16"/>
        <v>-314160</v>
      </c>
      <c r="J73" s="39" t="str">
        <f t="shared" si="17"/>
        <v>Penurunan IU</v>
      </c>
      <c r="K73" s="81" t="s">
        <v>1259</v>
      </c>
      <c r="O73" s="3" t="s">
        <v>42</v>
      </c>
      <c r="P73" t="s">
        <v>43</v>
      </c>
      <c r="Q73" t="s">
        <v>44</v>
      </c>
      <c r="R73" t="s">
        <v>45</v>
      </c>
      <c r="S73" t="s">
        <v>46</v>
      </c>
      <c r="T73" t="s">
        <v>47</v>
      </c>
      <c r="U73" t="s">
        <v>48</v>
      </c>
      <c r="V73" s="4" t="s">
        <v>49</v>
      </c>
      <c r="X73" s="3" t="s">
        <v>246</v>
      </c>
      <c r="Y73" t="s">
        <v>247</v>
      </c>
      <c r="Z73" t="s">
        <v>67</v>
      </c>
      <c r="AA73" s="10">
        <v>2</v>
      </c>
      <c r="AB73" t="s">
        <v>5</v>
      </c>
      <c r="AC73" s="10">
        <v>1400</v>
      </c>
      <c r="AD73" s="4">
        <v>2800</v>
      </c>
      <c r="AF73" s="82" t="s">
        <v>21</v>
      </c>
      <c r="AG73" s="83" t="s">
        <v>11</v>
      </c>
      <c r="AH73" s="18" t="s">
        <v>482</v>
      </c>
      <c r="AI73" s="18"/>
      <c r="AJ73" s="18"/>
      <c r="AK73" s="18"/>
      <c r="AL73" s="18"/>
      <c r="AM73" s="19"/>
      <c r="AW73" s="5" t="s">
        <v>57</v>
      </c>
      <c r="AX73" s="6" t="s">
        <v>58</v>
      </c>
      <c r="AY73" s="6" t="s">
        <v>41</v>
      </c>
      <c r="AZ73" s="6">
        <v>5</v>
      </c>
      <c r="BA73" s="6" t="s">
        <v>5</v>
      </c>
      <c r="BB73" s="6">
        <v>7699.2201999999997</v>
      </c>
      <c r="BC73" s="4">
        <v>38496.101000000002</v>
      </c>
    </row>
    <row r="74" spans="1:55" x14ac:dyDescent="0.35">
      <c r="A74" s="38" t="str">
        <v>MRP00030</v>
      </c>
      <c r="B74" s="31" t="str">
        <f t="shared" si="9"/>
        <v>PP SEDIMENT FILTER CARTRIDGE 5 MIKRON 20 INCH D10,7CM</v>
      </c>
      <c r="C74" s="31" t="str">
        <f t="shared" si="10"/>
        <v>IT GA AND MRP STOCK</v>
      </c>
      <c r="D74" s="31" t="str">
        <f t="shared" si="11"/>
        <v>pcs</v>
      </c>
      <c r="E74" s="40">
        <f t="shared" si="12"/>
        <v>85000</v>
      </c>
      <c r="F74" s="48">
        <f t="shared" si="13"/>
        <v>1</v>
      </c>
      <c r="G74" s="48" t="str">
        <f t="shared" si="14"/>
        <v>0</v>
      </c>
      <c r="H74" s="48">
        <f t="shared" si="15"/>
        <v>-1</v>
      </c>
      <c r="I74" s="40">
        <f t="shared" si="16"/>
        <v>-85000</v>
      </c>
      <c r="J74" s="39" t="str">
        <f t="shared" si="17"/>
        <v>Penurunan IU</v>
      </c>
      <c r="K74" s="81" t="s">
        <v>1267</v>
      </c>
      <c r="O74" s="3">
        <v>1</v>
      </c>
      <c r="P74" t="s">
        <v>214</v>
      </c>
      <c r="Q74" t="s">
        <v>215</v>
      </c>
      <c r="R74" t="s">
        <v>4</v>
      </c>
      <c r="S74" s="10">
        <v>0.6</v>
      </c>
      <c r="T74" t="s">
        <v>216</v>
      </c>
      <c r="U74" s="10">
        <v>55300</v>
      </c>
      <c r="V74" s="4">
        <v>33180</v>
      </c>
      <c r="X74" s="3" t="s">
        <v>327</v>
      </c>
      <c r="Y74" t="s">
        <v>328</v>
      </c>
      <c r="Z74" t="s">
        <v>67</v>
      </c>
      <c r="AA74" s="10">
        <v>2</v>
      </c>
      <c r="AB74" t="s">
        <v>5</v>
      </c>
      <c r="AC74" s="10">
        <v>6250</v>
      </c>
      <c r="AD74" s="4">
        <v>12500</v>
      </c>
      <c r="AF74" s="82" t="s">
        <v>26</v>
      </c>
      <c r="AG74" s="83" t="s">
        <v>11</v>
      </c>
      <c r="AH74" s="18" t="s">
        <v>941</v>
      </c>
      <c r="AI74" s="18"/>
      <c r="AJ74" s="18"/>
      <c r="AK74" s="18"/>
      <c r="AL74" s="18"/>
      <c r="AM74" s="19"/>
      <c r="AW74" s="5" t="s">
        <v>414</v>
      </c>
      <c r="AX74" s="6" t="s">
        <v>415</v>
      </c>
      <c r="AY74" s="6" t="s">
        <v>120</v>
      </c>
      <c r="AZ74" s="6">
        <v>1</v>
      </c>
      <c r="BA74" s="6" t="s">
        <v>20</v>
      </c>
      <c r="BB74" s="6">
        <v>85000</v>
      </c>
      <c r="BC74" s="4">
        <v>85000</v>
      </c>
    </row>
    <row r="75" spans="1:55" x14ac:dyDescent="0.35">
      <c r="A75" s="38" t="str">
        <v>STA00040</v>
      </c>
      <c r="B75" s="31" t="str">
        <f t="shared" si="9"/>
        <v>BUKU TULIS HARDCOVER</v>
      </c>
      <c r="C75" s="31" t="str">
        <f t="shared" si="10"/>
        <v>STATIONARY AND OFFICE SUPPLIES</v>
      </c>
      <c r="D75" s="31" t="str">
        <f t="shared" si="11"/>
        <v>bk</v>
      </c>
      <c r="E75" s="40">
        <f t="shared" si="12"/>
        <v>8500</v>
      </c>
      <c r="F75" s="48">
        <f t="shared" si="13"/>
        <v>5</v>
      </c>
      <c r="G75" s="48" t="str">
        <f t="shared" si="14"/>
        <v>0</v>
      </c>
      <c r="H75" s="48">
        <f t="shared" si="15"/>
        <v>-5</v>
      </c>
      <c r="I75" s="40">
        <f t="shared" si="16"/>
        <v>-42500</v>
      </c>
      <c r="J75" s="39" t="str">
        <f t="shared" si="17"/>
        <v>Penurunan IU</v>
      </c>
      <c r="K75" s="81" t="s">
        <v>1259</v>
      </c>
      <c r="O75" s="3">
        <v>2</v>
      </c>
      <c r="P75" t="s">
        <v>2</v>
      </c>
      <c r="Q75" t="s">
        <v>3</v>
      </c>
      <c r="R75" t="s">
        <v>4</v>
      </c>
      <c r="S75" s="10">
        <v>6</v>
      </c>
      <c r="T75" t="s">
        <v>5</v>
      </c>
      <c r="U75" s="10">
        <v>21245.238099999999</v>
      </c>
      <c r="V75" s="4">
        <v>127471.4286</v>
      </c>
      <c r="X75" s="3" t="s">
        <v>516</v>
      </c>
      <c r="Y75" t="s">
        <v>517</v>
      </c>
      <c r="Z75" t="s">
        <v>67</v>
      </c>
      <c r="AA75" s="10">
        <v>2</v>
      </c>
      <c r="AB75" t="s">
        <v>5</v>
      </c>
      <c r="AC75" s="10">
        <v>10000</v>
      </c>
      <c r="AD75" s="4">
        <v>20000</v>
      </c>
      <c r="AF75" s="82" t="s">
        <v>31</v>
      </c>
      <c r="AG75" s="83" t="s">
        <v>11</v>
      </c>
      <c r="AH75" s="18" t="s">
        <v>186</v>
      </c>
      <c r="AI75" s="18"/>
      <c r="AJ75" s="18"/>
      <c r="AK75" s="18"/>
      <c r="AL75" s="18"/>
      <c r="AM75" s="19"/>
      <c r="AW75" s="5" t="s">
        <v>484</v>
      </c>
      <c r="AX75" s="6" t="s">
        <v>485</v>
      </c>
      <c r="AY75" s="6" t="s">
        <v>67</v>
      </c>
      <c r="AZ75" s="10">
        <v>5</v>
      </c>
      <c r="BA75" s="6" t="s">
        <v>486</v>
      </c>
      <c r="BB75" s="10">
        <v>8500</v>
      </c>
      <c r="BC75" s="4">
        <v>42500</v>
      </c>
    </row>
    <row r="76" spans="1:55" x14ac:dyDescent="0.35">
      <c r="A76" s="38" t="str">
        <v>STA00055</v>
      </c>
      <c r="B76" s="31" t="str">
        <f t="shared" si="9"/>
        <v>SPIDOL SNOWMAN - HITAM</v>
      </c>
      <c r="C76" s="31" t="str">
        <f t="shared" si="10"/>
        <v>STATIONARY AND OFFICE SUPPLIES</v>
      </c>
      <c r="D76" s="31" t="str">
        <f t="shared" si="11"/>
        <v>pcs</v>
      </c>
      <c r="E76" s="40">
        <f t="shared" si="12"/>
        <v>6000</v>
      </c>
      <c r="F76" s="48">
        <f t="shared" si="13"/>
        <v>1</v>
      </c>
      <c r="G76" s="48" t="str">
        <f t="shared" si="14"/>
        <v>0</v>
      </c>
      <c r="H76" s="48">
        <f t="shared" si="15"/>
        <v>-1</v>
      </c>
      <c r="I76" s="40">
        <f t="shared" si="16"/>
        <v>-6000</v>
      </c>
      <c r="J76" s="39" t="str">
        <f t="shared" si="17"/>
        <v>Penurunan IU</v>
      </c>
      <c r="K76" s="81" t="s">
        <v>1259</v>
      </c>
      <c r="O76" s="3">
        <v>3</v>
      </c>
      <c r="P76" t="s">
        <v>7</v>
      </c>
      <c r="Q76" t="s">
        <v>8</v>
      </c>
      <c r="R76" t="s">
        <v>4</v>
      </c>
      <c r="S76" s="10">
        <v>0.56999999999999995</v>
      </c>
      <c r="T76" t="s">
        <v>9</v>
      </c>
      <c r="U76" s="10">
        <v>133200</v>
      </c>
      <c r="V76" s="4">
        <v>75924</v>
      </c>
      <c r="X76" s="3" t="s">
        <v>252</v>
      </c>
      <c r="Y76" t="s">
        <v>253</v>
      </c>
      <c r="Z76" t="s">
        <v>67</v>
      </c>
      <c r="AA76" s="10">
        <v>0.5</v>
      </c>
      <c r="AB76" t="s">
        <v>5</v>
      </c>
      <c r="AC76" s="10">
        <v>50000</v>
      </c>
      <c r="AD76" s="4">
        <v>25000</v>
      </c>
      <c r="AF76" s="82" t="s">
        <v>35</v>
      </c>
      <c r="AG76" s="83" t="s">
        <v>11</v>
      </c>
      <c r="AH76" s="18" t="s">
        <v>942</v>
      </c>
      <c r="AI76" s="18"/>
      <c r="AJ76" s="18"/>
      <c r="AK76" s="18"/>
      <c r="AL76" s="18"/>
      <c r="AM76" s="19"/>
      <c r="AW76" s="5" t="s">
        <v>244</v>
      </c>
      <c r="AX76" s="6" t="s">
        <v>245</v>
      </c>
      <c r="AY76" s="6" t="s">
        <v>67</v>
      </c>
      <c r="AZ76" s="6">
        <v>1</v>
      </c>
      <c r="BA76" s="6" t="s">
        <v>20</v>
      </c>
      <c r="BB76" s="6">
        <v>6000</v>
      </c>
      <c r="BC76" s="4">
        <v>6000</v>
      </c>
    </row>
    <row r="77" spans="1:55" x14ac:dyDescent="0.35">
      <c r="A77" s="38" t="str">
        <v>TCT00015</v>
      </c>
      <c r="B77" s="31" t="str">
        <f t="shared" si="9"/>
        <v>PREMIUM STAINLESS  PIRING ANAK</v>
      </c>
      <c r="C77" s="31" t="str">
        <f t="shared" si="10"/>
        <v>CUTELERIES</v>
      </c>
      <c r="D77" s="31" t="str">
        <f t="shared" si="11"/>
        <v>pcs</v>
      </c>
      <c r="E77" s="40">
        <f t="shared" si="12"/>
        <v>61972.25</v>
      </c>
      <c r="F77" s="48">
        <f t="shared" si="13"/>
        <v>1</v>
      </c>
      <c r="G77" s="48" t="str">
        <f t="shared" si="14"/>
        <v>0</v>
      </c>
      <c r="H77" s="48">
        <f t="shared" si="15"/>
        <v>-1</v>
      </c>
      <c r="I77" s="40">
        <f t="shared" si="16"/>
        <v>-61972.25</v>
      </c>
      <c r="J77" s="39" t="str">
        <f t="shared" si="17"/>
        <v>Penurunan IU</v>
      </c>
      <c r="K77" s="81" t="s">
        <v>1259</v>
      </c>
      <c r="O77" s="3">
        <v>4</v>
      </c>
      <c r="P77" t="s">
        <v>13</v>
      </c>
      <c r="Q77" t="s">
        <v>14</v>
      </c>
      <c r="R77" t="s">
        <v>4</v>
      </c>
      <c r="S77" s="10">
        <v>0.81</v>
      </c>
      <c r="T77" t="s">
        <v>15</v>
      </c>
      <c r="U77" s="10">
        <v>77700</v>
      </c>
      <c r="V77" s="4">
        <v>62937</v>
      </c>
      <c r="X77" s="3" t="s">
        <v>92</v>
      </c>
      <c r="Y77" t="s">
        <v>93</v>
      </c>
      <c r="Z77" t="s">
        <v>67</v>
      </c>
      <c r="AA77" s="10">
        <v>71</v>
      </c>
      <c r="AB77" t="s">
        <v>94</v>
      </c>
      <c r="AC77" s="10">
        <v>11801.674800000001</v>
      </c>
      <c r="AD77" s="4">
        <v>837918.91079999995</v>
      </c>
      <c r="AF77" s="20"/>
      <c r="AG77" s="18"/>
      <c r="AH77" s="18"/>
      <c r="AI77" s="18"/>
      <c r="AJ77" s="18"/>
      <c r="AK77" s="18"/>
      <c r="AL77" s="18"/>
      <c r="AM77" s="19"/>
      <c r="AW77" s="5" t="s">
        <v>488</v>
      </c>
      <c r="AX77" s="6" t="s">
        <v>489</v>
      </c>
      <c r="AY77" s="6" t="s">
        <v>182</v>
      </c>
      <c r="AZ77" s="10">
        <v>1</v>
      </c>
      <c r="BA77" s="6" t="s">
        <v>20</v>
      </c>
      <c r="BB77" s="10">
        <v>61972.25</v>
      </c>
      <c r="BC77" s="4">
        <v>61972.25</v>
      </c>
    </row>
    <row r="78" spans="1:55" x14ac:dyDescent="0.35">
      <c r="A78" s="38" t="str">
        <v>TCT00021</v>
      </c>
      <c r="B78" s="31" t="str">
        <f t="shared" si="9"/>
        <v>HANDLE KAYU MATERIAL</v>
      </c>
      <c r="C78" s="31" t="str">
        <f t="shared" si="10"/>
        <v>CUTELERIES</v>
      </c>
      <c r="D78" s="31" t="str">
        <f t="shared" si="11"/>
        <v>pcs</v>
      </c>
      <c r="E78" s="40">
        <f t="shared" si="12"/>
        <v>0</v>
      </c>
      <c r="F78" s="48">
        <f t="shared" si="13"/>
        <v>40</v>
      </c>
      <c r="G78" s="48" t="str">
        <f t="shared" si="14"/>
        <v>0</v>
      </c>
      <c r="H78" s="48">
        <f t="shared" si="15"/>
        <v>-40</v>
      </c>
      <c r="I78" s="40">
        <f t="shared" si="16"/>
        <v>0</v>
      </c>
      <c r="J78" s="39" t="str">
        <f t="shared" si="17"/>
        <v>Penurunan IU</v>
      </c>
      <c r="K78" s="81" t="s">
        <v>1259</v>
      </c>
      <c r="O78" s="3">
        <v>5</v>
      </c>
      <c r="P78" t="s">
        <v>219</v>
      </c>
      <c r="Q78" t="s">
        <v>220</v>
      </c>
      <c r="R78" t="s">
        <v>4</v>
      </c>
      <c r="S78" s="10">
        <v>7</v>
      </c>
      <c r="T78" t="s">
        <v>25</v>
      </c>
      <c r="U78" s="10">
        <v>79237</v>
      </c>
      <c r="V78" s="4">
        <v>554659</v>
      </c>
      <c r="X78" s="3" t="s">
        <v>518</v>
      </c>
      <c r="Y78" t="s">
        <v>519</v>
      </c>
      <c r="Z78" t="s">
        <v>67</v>
      </c>
      <c r="AA78" s="10">
        <v>1</v>
      </c>
      <c r="AB78" t="s">
        <v>98</v>
      </c>
      <c r="AC78" s="10">
        <v>16000</v>
      </c>
      <c r="AD78" s="4">
        <v>16000</v>
      </c>
      <c r="AF78" s="20" t="s">
        <v>42</v>
      </c>
      <c r="AG78" s="18" t="s">
        <v>43</v>
      </c>
      <c r="AH78" s="18" t="s">
        <v>44</v>
      </c>
      <c r="AI78" s="18" t="s">
        <v>45</v>
      </c>
      <c r="AJ78" s="18" t="s">
        <v>46</v>
      </c>
      <c r="AK78" s="18" t="s">
        <v>47</v>
      </c>
      <c r="AL78" s="18" t="s">
        <v>48</v>
      </c>
      <c r="AM78" s="19" t="s">
        <v>49</v>
      </c>
      <c r="AW78" s="5" t="s">
        <v>383</v>
      </c>
      <c r="AX78" s="6" t="s">
        <v>384</v>
      </c>
      <c r="AY78" s="6" t="s">
        <v>182</v>
      </c>
      <c r="AZ78" s="6">
        <v>40</v>
      </c>
      <c r="BA78" s="6" t="s">
        <v>20</v>
      </c>
      <c r="BB78" s="6">
        <v>0</v>
      </c>
      <c r="BC78" s="4">
        <v>0</v>
      </c>
    </row>
    <row r="79" spans="1:55" x14ac:dyDescent="0.35">
      <c r="A79" s="38" t="str">
        <v>CECM0001</v>
      </c>
      <c r="B79" s="31" t="str">
        <f t="shared" si="9"/>
        <v>XYZ KARBOL PINUS 5 L</v>
      </c>
      <c r="C79" s="31" t="str">
        <f t="shared" si="10"/>
        <v>CLEANING CHEMICAL</v>
      </c>
      <c r="D79" s="31" t="str">
        <f t="shared" si="11"/>
        <v>btl</v>
      </c>
      <c r="E79" s="40">
        <f t="shared" si="12"/>
        <v>55300</v>
      </c>
      <c r="F79" s="48">
        <f t="shared" si="13"/>
        <v>0.6</v>
      </c>
      <c r="G79" s="48" t="str">
        <f t="shared" si="14"/>
        <v>0</v>
      </c>
      <c r="H79" s="48">
        <f t="shared" si="15"/>
        <v>-0.6</v>
      </c>
      <c r="I79" s="40">
        <f t="shared" si="16"/>
        <v>-33180</v>
      </c>
      <c r="J79" s="39" t="str">
        <f t="shared" si="17"/>
        <v>Penurunan IU</v>
      </c>
      <c r="K79" s="81" t="s">
        <v>1259</v>
      </c>
      <c r="O79" s="3">
        <v>6</v>
      </c>
      <c r="P79" t="s">
        <v>221</v>
      </c>
      <c r="Q79" t="s">
        <v>222</v>
      </c>
      <c r="R79" t="s">
        <v>4</v>
      </c>
      <c r="S79" s="10">
        <v>4.5999999999999996</v>
      </c>
      <c r="T79" t="s">
        <v>25</v>
      </c>
      <c r="U79" s="10">
        <v>105313</v>
      </c>
      <c r="V79" s="4">
        <v>484439.8</v>
      </c>
      <c r="X79" s="3" t="s">
        <v>96</v>
      </c>
      <c r="Y79" t="s">
        <v>97</v>
      </c>
      <c r="Z79" t="s">
        <v>67</v>
      </c>
      <c r="AA79" s="10">
        <v>1</v>
      </c>
      <c r="AB79" t="s">
        <v>98</v>
      </c>
      <c r="AC79" s="10">
        <v>8500</v>
      </c>
      <c r="AD79" s="4">
        <v>8500</v>
      </c>
      <c r="AF79" s="20">
        <v>1</v>
      </c>
      <c r="AG79" s="18" t="s">
        <v>115</v>
      </c>
      <c r="AH79" s="18" t="s">
        <v>116</v>
      </c>
      <c r="AI79" s="18" t="s">
        <v>117</v>
      </c>
      <c r="AJ79" s="21">
        <v>1500</v>
      </c>
      <c r="AK79" s="18" t="s">
        <v>52</v>
      </c>
      <c r="AL79" s="21">
        <v>600</v>
      </c>
      <c r="AM79" s="19">
        <v>900000</v>
      </c>
      <c r="AW79" s="5" t="s">
        <v>214</v>
      </c>
      <c r="AX79" s="6" t="s">
        <v>215</v>
      </c>
      <c r="AY79" s="6" t="s">
        <v>4</v>
      </c>
      <c r="AZ79" s="10">
        <v>0.6</v>
      </c>
      <c r="BA79" s="6" t="s">
        <v>216</v>
      </c>
      <c r="BB79" s="10">
        <v>55300</v>
      </c>
      <c r="BC79" s="4">
        <v>33180</v>
      </c>
    </row>
    <row r="80" spans="1:55" x14ac:dyDescent="0.35">
      <c r="A80" s="38" t="str">
        <v>CECM0006</v>
      </c>
      <c r="B80" s="31" t="str">
        <f t="shared" si="9"/>
        <v>XYZ GREASE CLEANER 5 LTR</v>
      </c>
      <c r="C80" s="31" t="str">
        <f t="shared" si="10"/>
        <v>CLEANING CHEMICAL</v>
      </c>
      <c r="D80" s="31" t="str">
        <f t="shared" si="11"/>
        <v>gln</v>
      </c>
      <c r="E80" s="40">
        <f t="shared" si="12"/>
        <v>133200</v>
      </c>
      <c r="F80" s="48">
        <f t="shared" si="13"/>
        <v>0.56999999999999995</v>
      </c>
      <c r="G80" s="48" t="str">
        <f t="shared" si="14"/>
        <v>0</v>
      </c>
      <c r="H80" s="48">
        <f t="shared" si="15"/>
        <v>-0.56999999999999995</v>
      </c>
      <c r="I80" s="40">
        <f t="shared" si="16"/>
        <v>-75924</v>
      </c>
      <c r="J80" s="39" t="str">
        <f t="shared" si="17"/>
        <v>Penurunan IU</v>
      </c>
      <c r="K80" s="81" t="s">
        <v>1259</v>
      </c>
      <c r="O80" s="3">
        <v>7</v>
      </c>
      <c r="P80" t="s">
        <v>23</v>
      </c>
      <c r="Q80" t="s">
        <v>24</v>
      </c>
      <c r="R80" t="s">
        <v>4</v>
      </c>
      <c r="S80" s="10">
        <v>107</v>
      </c>
      <c r="T80" t="s">
        <v>25</v>
      </c>
      <c r="U80" s="10">
        <v>17760</v>
      </c>
      <c r="V80" s="4">
        <v>1900320</v>
      </c>
      <c r="X80" s="3" t="s">
        <v>520</v>
      </c>
      <c r="Y80" t="s">
        <v>521</v>
      </c>
      <c r="Z80" t="s">
        <v>67</v>
      </c>
      <c r="AA80" s="10">
        <v>1</v>
      </c>
      <c r="AB80" t="s">
        <v>5</v>
      </c>
      <c r="AC80" s="10">
        <v>10000</v>
      </c>
      <c r="AD80" s="4">
        <v>10000</v>
      </c>
      <c r="AF80" s="20">
        <v>2</v>
      </c>
      <c r="AG80" s="18" t="s">
        <v>316</v>
      </c>
      <c r="AH80" s="18" t="s">
        <v>317</v>
      </c>
      <c r="AI80" s="18" t="s">
        <v>117</v>
      </c>
      <c r="AJ80" s="21">
        <v>1</v>
      </c>
      <c r="AK80" s="18" t="s">
        <v>20</v>
      </c>
      <c r="AL80" s="21">
        <v>465300</v>
      </c>
      <c r="AM80" s="19">
        <v>465300</v>
      </c>
      <c r="AW80" s="5" t="s">
        <v>2</v>
      </c>
      <c r="AX80" s="6" t="s">
        <v>3</v>
      </c>
      <c r="AY80" s="6" t="s">
        <v>4</v>
      </c>
      <c r="AZ80" s="10">
        <v>6</v>
      </c>
      <c r="BA80" s="6" t="s">
        <v>5</v>
      </c>
      <c r="BB80" s="10">
        <v>21245.238099999999</v>
      </c>
      <c r="BC80" s="4">
        <v>127471.4286</v>
      </c>
    </row>
    <row r="81" spans="1:55" x14ac:dyDescent="0.35">
      <c r="A81" s="38" t="str">
        <v>CETS0002</v>
      </c>
      <c r="B81" s="31" t="str">
        <f t="shared" si="9"/>
        <v>TOWEL ANJOLY MERAH-KECIL</v>
      </c>
      <c r="C81" s="31" t="str">
        <f t="shared" si="10"/>
        <v>CLEANING TOOLS AND SUPPLIES</v>
      </c>
      <c r="D81" s="31" t="str">
        <f t="shared" si="11"/>
        <v>pcs</v>
      </c>
      <c r="E81" s="40">
        <f t="shared" si="12"/>
        <v>7244.463999999999</v>
      </c>
      <c r="F81" s="48">
        <f t="shared" si="13"/>
        <v>4</v>
      </c>
      <c r="G81" s="48" t="str">
        <f t="shared" si="14"/>
        <v>0</v>
      </c>
      <c r="H81" s="48">
        <f t="shared" si="15"/>
        <v>-4</v>
      </c>
      <c r="I81" s="40">
        <f t="shared" si="16"/>
        <v>-28977.855999999996</v>
      </c>
      <c r="J81" s="39" t="str">
        <f t="shared" si="17"/>
        <v>Penurunan IU</v>
      </c>
      <c r="K81" s="81" t="s">
        <v>1268</v>
      </c>
      <c r="O81" s="3">
        <v>8</v>
      </c>
      <c r="P81" t="s">
        <v>28</v>
      </c>
      <c r="Q81" t="s">
        <v>29</v>
      </c>
      <c r="R81" t="s">
        <v>4</v>
      </c>
      <c r="S81" s="10">
        <v>4</v>
      </c>
      <c r="T81" t="s">
        <v>30</v>
      </c>
      <c r="U81" s="10">
        <v>19760</v>
      </c>
      <c r="V81" s="4">
        <v>79040</v>
      </c>
      <c r="X81" s="3" t="s">
        <v>256</v>
      </c>
      <c r="Y81" t="s">
        <v>257</v>
      </c>
      <c r="Z81" t="s">
        <v>67</v>
      </c>
      <c r="AA81" s="10">
        <v>9</v>
      </c>
      <c r="AB81" t="s">
        <v>20</v>
      </c>
      <c r="AC81" s="10">
        <v>3392.1053000000002</v>
      </c>
      <c r="AD81" s="4">
        <v>30528.947700000001</v>
      </c>
      <c r="AF81" s="20">
        <v>3</v>
      </c>
      <c r="AG81" s="18" t="s">
        <v>121</v>
      </c>
      <c r="AH81" s="18" t="s">
        <v>122</v>
      </c>
      <c r="AI81" s="18" t="s">
        <v>123</v>
      </c>
      <c r="AJ81" s="21">
        <v>1</v>
      </c>
      <c r="AK81" s="18" t="s">
        <v>5</v>
      </c>
      <c r="AL81" s="21">
        <v>5000</v>
      </c>
      <c r="AM81" s="19">
        <v>5000</v>
      </c>
      <c r="AW81" s="5" t="s">
        <v>7</v>
      </c>
      <c r="AX81" s="6" t="s">
        <v>8</v>
      </c>
      <c r="AY81" s="6" t="s">
        <v>4</v>
      </c>
      <c r="AZ81" s="10">
        <v>0.56999999999999995</v>
      </c>
      <c r="BA81" s="6" t="s">
        <v>9</v>
      </c>
      <c r="BB81" s="10">
        <v>133200</v>
      </c>
      <c r="BC81" s="4">
        <v>75924</v>
      </c>
    </row>
    <row r="82" spans="1:55" x14ac:dyDescent="0.35">
      <c r="A82" s="38" t="str">
        <v>CETS0004</v>
      </c>
      <c r="B82" s="31" t="str">
        <f t="shared" si="9"/>
        <v>TOWEL ANJOLY HITAM-KECIL</v>
      </c>
      <c r="C82" s="31" t="str">
        <f t="shared" si="10"/>
        <v>CLEANING TOOLS AND SUPPLIES</v>
      </c>
      <c r="D82" s="31" t="str">
        <f t="shared" si="11"/>
        <v>pcs</v>
      </c>
      <c r="E82" s="40">
        <f t="shared" si="12"/>
        <v>7333.3495999999996</v>
      </c>
      <c r="F82" s="48">
        <f t="shared" si="13"/>
        <v>4</v>
      </c>
      <c r="G82" s="48" t="str">
        <f t="shared" si="14"/>
        <v>0</v>
      </c>
      <c r="H82" s="48">
        <f t="shared" si="15"/>
        <v>-4</v>
      </c>
      <c r="I82" s="40">
        <f t="shared" si="16"/>
        <v>-29333.398399999998</v>
      </c>
      <c r="J82" s="39" t="str">
        <f t="shared" si="17"/>
        <v>Penurunan IU</v>
      </c>
      <c r="K82" s="81" t="s">
        <v>1268</v>
      </c>
      <c r="O82" s="3">
        <v>9</v>
      </c>
      <c r="P82" t="s">
        <v>304</v>
      </c>
      <c r="Q82" t="s">
        <v>305</v>
      </c>
      <c r="R82" t="s">
        <v>41</v>
      </c>
      <c r="S82" s="10">
        <v>4</v>
      </c>
      <c r="T82" t="s">
        <v>20</v>
      </c>
      <c r="U82" s="10">
        <v>7244.463999999999</v>
      </c>
      <c r="V82" s="4">
        <v>28977.856</v>
      </c>
      <c r="X82" s="3" t="s">
        <v>522</v>
      </c>
      <c r="Y82" t="s">
        <v>523</v>
      </c>
      <c r="Z82" t="s">
        <v>67</v>
      </c>
      <c r="AA82" s="10">
        <v>2</v>
      </c>
      <c r="AB82" t="s">
        <v>160</v>
      </c>
      <c r="AC82" s="10">
        <v>10500</v>
      </c>
      <c r="AD82" s="4">
        <v>21000</v>
      </c>
      <c r="AF82" s="20">
        <v>4</v>
      </c>
      <c r="AG82" s="18" t="s">
        <v>124</v>
      </c>
      <c r="AH82" s="18" t="s">
        <v>125</v>
      </c>
      <c r="AI82" s="18" t="s">
        <v>123</v>
      </c>
      <c r="AJ82" s="21">
        <v>12</v>
      </c>
      <c r="AK82" s="18" t="s">
        <v>5</v>
      </c>
      <c r="AL82" s="21">
        <v>5713.9939000000004</v>
      </c>
      <c r="AM82" s="19">
        <v>68567.926800000001</v>
      </c>
      <c r="AW82" s="5" t="s">
        <v>13</v>
      </c>
      <c r="AX82" s="6" t="s">
        <v>14</v>
      </c>
      <c r="AY82" s="6" t="s">
        <v>4</v>
      </c>
      <c r="AZ82" s="10">
        <v>0.81</v>
      </c>
      <c r="BA82" s="6" t="s">
        <v>15</v>
      </c>
      <c r="BB82" s="10">
        <v>77700</v>
      </c>
      <c r="BC82" s="4">
        <v>62937</v>
      </c>
    </row>
    <row r="83" spans="1:55" x14ac:dyDescent="0.35">
      <c r="A83" s="38" t="str">
        <v>CETS0009</v>
      </c>
      <c r="B83" s="31" t="str">
        <f t="shared" si="9"/>
        <v>REFIL KAIN PEL/REFIL MOP PEL OBOR</v>
      </c>
      <c r="C83" s="31" t="str">
        <f t="shared" si="10"/>
        <v>CLEANING TOOLS AND SUPPLIES</v>
      </c>
      <c r="D83" s="31" t="str">
        <f t="shared" si="11"/>
        <v>unit</v>
      </c>
      <c r="E83" s="40">
        <f t="shared" si="12"/>
        <v>16973.849999999999</v>
      </c>
      <c r="F83" s="48">
        <f t="shared" si="13"/>
        <v>1</v>
      </c>
      <c r="G83" s="48" t="str">
        <f t="shared" si="14"/>
        <v>0</v>
      </c>
      <c r="H83" s="48">
        <f t="shared" si="15"/>
        <v>-1</v>
      </c>
      <c r="I83" s="40">
        <f t="shared" si="16"/>
        <v>-16973.849999999999</v>
      </c>
      <c r="J83" s="39" t="str">
        <f t="shared" si="17"/>
        <v>Penurunan IU</v>
      </c>
      <c r="K83" s="81" t="s">
        <v>1268</v>
      </c>
      <c r="O83" s="3">
        <v>10</v>
      </c>
      <c r="P83" t="s">
        <v>50</v>
      </c>
      <c r="Q83" t="s">
        <v>51</v>
      </c>
      <c r="R83" t="s">
        <v>41</v>
      </c>
      <c r="S83" s="10">
        <v>134</v>
      </c>
      <c r="T83" t="s">
        <v>52</v>
      </c>
      <c r="U83" s="10">
        <v>20500</v>
      </c>
      <c r="V83" s="4">
        <v>2747000</v>
      </c>
      <c r="X83" s="3" t="s">
        <v>364</v>
      </c>
      <c r="Y83" t="s">
        <v>365</v>
      </c>
      <c r="Z83" t="s">
        <v>67</v>
      </c>
      <c r="AA83" s="10">
        <v>1.2</v>
      </c>
      <c r="AB83" t="s">
        <v>52</v>
      </c>
      <c r="AC83" s="10">
        <v>16193.448200000001</v>
      </c>
      <c r="AD83" s="4">
        <v>19432.137839999999</v>
      </c>
      <c r="AF83" s="20">
        <v>5</v>
      </c>
      <c r="AG83" s="18" t="s">
        <v>126</v>
      </c>
      <c r="AH83" s="18" t="s">
        <v>127</v>
      </c>
      <c r="AI83" s="18" t="s">
        <v>123</v>
      </c>
      <c r="AJ83" s="21">
        <v>11</v>
      </c>
      <c r="AK83" s="18" t="s">
        <v>5</v>
      </c>
      <c r="AL83" s="21">
        <v>6661.539200000002</v>
      </c>
      <c r="AM83" s="19">
        <v>73276.931200000006</v>
      </c>
      <c r="AW83" s="5" t="s">
        <v>219</v>
      </c>
      <c r="AX83" s="6" t="s">
        <v>220</v>
      </c>
      <c r="AY83" s="6" t="s">
        <v>4</v>
      </c>
      <c r="AZ83" s="10">
        <v>7</v>
      </c>
      <c r="BA83" s="6" t="s">
        <v>25</v>
      </c>
      <c r="BB83" s="10">
        <v>79237</v>
      </c>
      <c r="BC83" s="4">
        <v>554659</v>
      </c>
    </row>
    <row r="84" spans="1:55" x14ac:dyDescent="0.35">
      <c r="A84" s="38" t="str">
        <v>CETS0011</v>
      </c>
      <c r="B84" s="31" t="str">
        <f t="shared" si="9"/>
        <v>KANEBO</v>
      </c>
      <c r="C84" s="31" t="str">
        <f t="shared" si="10"/>
        <v>CLEANING TOOLS AND SUPPLIES</v>
      </c>
      <c r="D84" s="31" t="str">
        <f t="shared" si="11"/>
        <v>pcs</v>
      </c>
      <c r="E84" s="40">
        <f t="shared" si="12"/>
        <v>34900</v>
      </c>
      <c r="F84" s="48">
        <f t="shared" si="13"/>
        <v>1</v>
      </c>
      <c r="G84" s="48" t="str">
        <f t="shared" si="14"/>
        <v>0</v>
      </c>
      <c r="H84" s="48">
        <f t="shared" si="15"/>
        <v>-1</v>
      </c>
      <c r="I84" s="40">
        <f t="shared" si="16"/>
        <v>-34900</v>
      </c>
      <c r="J84" s="39" t="str">
        <f t="shared" si="17"/>
        <v>Penurunan IU</v>
      </c>
      <c r="K84" s="81" t="s">
        <v>1268</v>
      </c>
      <c r="O84" s="3">
        <v>11</v>
      </c>
      <c r="P84" t="s">
        <v>306</v>
      </c>
      <c r="Q84" t="s">
        <v>307</v>
      </c>
      <c r="R84" t="s">
        <v>41</v>
      </c>
      <c r="S84" s="10">
        <v>4</v>
      </c>
      <c r="T84" t="s">
        <v>20</v>
      </c>
      <c r="U84" s="10">
        <v>7333.3495999999996</v>
      </c>
      <c r="V84" s="4">
        <v>29333.398399999998</v>
      </c>
      <c r="X84" s="3" t="s">
        <v>524</v>
      </c>
      <c r="Y84" t="s">
        <v>525</v>
      </c>
      <c r="Z84" t="s">
        <v>67</v>
      </c>
      <c r="AA84" s="10">
        <v>1</v>
      </c>
      <c r="AB84" t="s">
        <v>20</v>
      </c>
      <c r="AC84" s="10">
        <v>22500</v>
      </c>
      <c r="AD84" s="4">
        <v>22500</v>
      </c>
      <c r="AF84" s="20">
        <v>6</v>
      </c>
      <c r="AG84" s="18" t="s">
        <v>128</v>
      </c>
      <c r="AH84" s="18" t="s">
        <v>129</v>
      </c>
      <c r="AI84" s="18" t="s">
        <v>123</v>
      </c>
      <c r="AJ84" s="21">
        <v>3</v>
      </c>
      <c r="AK84" s="18" t="s">
        <v>74</v>
      </c>
      <c r="AL84" s="21">
        <v>139219.30540000001</v>
      </c>
      <c r="AM84" s="19">
        <v>417657.91619999998</v>
      </c>
      <c r="AW84" s="5" t="s">
        <v>221</v>
      </c>
      <c r="AX84" s="6" t="s">
        <v>222</v>
      </c>
      <c r="AY84" s="6" t="s">
        <v>4</v>
      </c>
      <c r="AZ84" s="10">
        <v>4.5999999999999996</v>
      </c>
      <c r="BA84" s="6" t="s">
        <v>25</v>
      </c>
      <c r="BB84" s="10">
        <v>105313</v>
      </c>
      <c r="BC84" s="4">
        <v>484439.8</v>
      </c>
    </row>
    <row r="85" spans="1:55" x14ac:dyDescent="0.35">
      <c r="A85" s="38" t="str">
        <v>CETS0055</v>
      </c>
      <c r="B85" s="31" t="str">
        <f t="shared" si="9"/>
        <v>SIKAT BOTOL</v>
      </c>
      <c r="C85" s="31" t="str">
        <f t="shared" si="10"/>
        <v>CLEANING TOOLS AND SUPPLIES</v>
      </c>
      <c r="D85" s="31" t="str">
        <f t="shared" si="11"/>
        <v>pcs</v>
      </c>
      <c r="E85" s="40">
        <f t="shared" si="12"/>
        <v>12200</v>
      </c>
      <c r="F85" s="48">
        <f t="shared" si="13"/>
        <v>1</v>
      </c>
      <c r="G85" s="48" t="str">
        <f t="shared" si="14"/>
        <v>0</v>
      </c>
      <c r="H85" s="48">
        <f t="shared" si="15"/>
        <v>-1</v>
      </c>
      <c r="I85" s="40">
        <f t="shared" si="16"/>
        <v>-12200</v>
      </c>
      <c r="J85" s="39" t="str">
        <f t="shared" si="17"/>
        <v>Penurunan IU</v>
      </c>
      <c r="K85" s="81" t="s">
        <v>1268</v>
      </c>
      <c r="O85" s="3">
        <v>12</v>
      </c>
      <c r="P85" t="s">
        <v>53</v>
      </c>
      <c r="Q85" t="s">
        <v>54</v>
      </c>
      <c r="R85" t="s">
        <v>41</v>
      </c>
      <c r="S85" s="10">
        <v>11</v>
      </c>
      <c r="T85" t="s">
        <v>20</v>
      </c>
      <c r="U85" s="10">
        <v>2993.33</v>
      </c>
      <c r="V85" s="4">
        <v>32926.629999999997</v>
      </c>
      <c r="X85" s="3" t="s">
        <v>526</v>
      </c>
      <c r="Y85" t="s">
        <v>527</v>
      </c>
      <c r="Z85" t="s">
        <v>67</v>
      </c>
      <c r="AA85" s="10">
        <v>4</v>
      </c>
      <c r="AB85" t="s">
        <v>52</v>
      </c>
      <c r="AC85" s="10">
        <v>6464.2821000000013</v>
      </c>
      <c r="AD85" s="4">
        <v>25857.128400000001</v>
      </c>
      <c r="AF85" s="20">
        <v>7</v>
      </c>
      <c r="AG85" s="18" t="s">
        <v>130</v>
      </c>
      <c r="AH85" s="18" t="s">
        <v>131</v>
      </c>
      <c r="AI85" s="18" t="s">
        <v>123</v>
      </c>
      <c r="AJ85" s="21">
        <v>49.06</v>
      </c>
      <c r="AK85" s="18" t="s">
        <v>5</v>
      </c>
      <c r="AL85" s="21">
        <v>6353.7389999999996</v>
      </c>
      <c r="AM85" s="19">
        <v>311714.43534000003</v>
      </c>
      <c r="AW85" s="5" t="s">
        <v>23</v>
      </c>
      <c r="AX85" s="6" t="s">
        <v>24</v>
      </c>
      <c r="AY85" s="6" t="s">
        <v>4</v>
      </c>
      <c r="AZ85" s="10">
        <v>107</v>
      </c>
      <c r="BA85" s="6" t="s">
        <v>25</v>
      </c>
      <c r="BB85" s="10">
        <v>17760</v>
      </c>
      <c r="BC85" s="4">
        <v>1900320</v>
      </c>
    </row>
    <row r="86" spans="1:55" x14ac:dyDescent="0.35">
      <c r="A86" s="38" t="str">
        <v>MKT00004</v>
      </c>
      <c r="B86" s="31" t="str">
        <f t="shared" si="9"/>
        <v>FOAMBOARD</v>
      </c>
      <c r="C86" s="31" t="str">
        <f t="shared" si="10"/>
        <v>MARKETING</v>
      </c>
      <c r="D86" s="31" t="str">
        <f t="shared" si="11"/>
        <v>pcs</v>
      </c>
      <c r="E86" s="40">
        <f t="shared" si="12"/>
        <v>142857.114</v>
      </c>
      <c r="F86" s="48">
        <f t="shared" si="13"/>
        <v>3</v>
      </c>
      <c r="G86" s="48" t="str">
        <f t="shared" si="14"/>
        <v>0</v>
      </c>
      <c r="H86" s="48">
        <f t="shared" si="15"/>
        <v>-3</v>
      </c>
      <c r="I86" s="40">
        <f t="shared" si="16"/>
        <v>-428571.342</v>
      </c>
      <c r="J86" s="39" t="str">
        <f t="shared" si="17"/>
        <v>Penurunan IU</v>
      </c>
      <c r="K86" s="81" t="s">
        <v>1268</v>
      </c>
      <c r="O86" s="3">
        <v>13</v>
      </c>
      <c r="P86" t="s">
        <v>453</v>
      </c>
      <c r="Q86" t="s">
        <v>454</v>
      </c>
      <c r="R86" t="s">
        <v>41</v>
      </c>
      <c r="S86" s="10">
        <v>1</v>
      </c>
      <c r="T86" t="s">
        <v>267</v>
      </c>
      <c r="U86" s="10">
        <v>16973.849999999999</v>
      </c>
      <c r="V86" s="4">
        <v>16973.849999999999</v>
      </c>
      <c r="X86" s="3" t="s">
        <v>401</v>
      </c>
      <c r="Y86" t="s">
        <v>402</v>
      </c>
      <c r="Z86" t="s">
        <v>67</v>
      </c>
      <c r="AA86">
        <v>7.5</v>
      </c>
      <c r="AB86" t="s">
        <v>20</v>
      </c>
      <c r="AC86">
        <v>3578.68</v>
      </c>
      <c r="AD86" s="4">
        <v>26840.1</v>
      </c>
      <c r="AF86" s="20">
        <v>8</v>
      </c>
      <c r="AG86" s="18" t="s">
        <v>132</v>
      </c>
      <c r="AH86" s="18" t="s">
        <v>133</v>
      </c>
      <c r="AI86" s="18" t="s">
        <v>123</v>
      </c>
      <c r="AJ86" s="21">
        <v>239</v>
      </c>
      <c r="AK86" s="18" t="s">
        <v>134</v>
      </c>
      <c r="AL86" s="21">
        <v>13000</v>
      </c>
      <c r="AM86" s="19">
        <v>3107000</v>
      </c>
      <c r="AW86" s="5" t="s">
        <v>28</v>
      </c>
      <c r="AX86" s="6" t="s">
        <v>29</v>
      </c>
      <c r="AY86" s="6" t="s">
        <v>4</v>
      </c>
      <c r="AZ86" s="10">
        <v>4</v>
      </c>
      <c r="BA86" s="6" t="s">
        <v>30</v>
      </c>
      <c r="BB86" s="10">
        <v>19760</v>
      </c>
      <c r="BC86" s="4">
        <v>79040</v>
      </c>
    </row>
    <row r="87" spans="1:55" x14ac:dyDescent="0.35">
      <c r="A87" s="38" t="str">
        <v>MKT00042</v>
      </c>
      <c r="B87" s="31" t="str">
        <f t="shared" si="9"/>
        <v>MATERI PROMOSI LIGHT BOX</v>
      </c>
      <c r="C87" s="31" t="str">
        <f t="shared" si="10"/>
        <v>MARKETING</v>
      </c>
      <c r="D87" s="31" t="str">
        <f t="shared" si="11"/>
        <v>pcs</v>
      </c>
      <c r="E87" s="40">
        <f t="shared" si="12"/>
        <v>115000</v>
      </c>
      <c r="F87" s="48">
        <f t="shared" si="13"/>
        <v>1</v>
      </c>
      <c r="G87" s="48" t="str">
        <f t="shared" si="14"/>
        <v>0</v>
      </c>
      <c r="H87" s="48">
        <f t="shared" si="15"/>
        <v>-1</v>
      </c>
      <c r="I87" s="40">
        <f t="shared" si="16"/>
        <v>-115000</v>
      </c>
      <c r="J87" s="39" t="str">
        <f t="shared" si="17"/>
        <v>Penurunan IU</v>
      </c>
      <c r="K87" s="81" t="s">
        <v>1268</v>
      </c>
      <c r="O87" s="3">
        <v>14</v>
      </c>
      <c r="P87" t="s">
        <v>407</v>
      </c>
      <c r="Q87" t="s">
        <v>408</v>
      </c>
      <c r="R87" t="s">
        <v>41</v>
      </c>
      <c r="S87" s="10">
        <v>2</v>
      </c>
      <c r="T87" t="s">
        <v>267</v>
      </c>
      <c r="U87" s="10">
        <v>41946.666700000002</v>
      </c>
      <c r="V87" s="4">
        <v>83893.333400000003</v>
      </c>
      <c r="X87" s="3" t="s">
        <v>284</v>
      </c>
      <c r="Y87" t="s">
        <v>285</v>
      </c>
      <c r="Z87" t="s">
        <v>165</v>
      </c>
      <c r="AA87" s="10">
        <v>30</v>
      </c>
      <c r="AB87" t="s">
        <v>20</v>
      </c>
      <c r="AC87" s="10">
        <v>17129.86</v>
      </c>
      <c r="AD87" s="4">
        <v>513895.8</v>
      </c>
      <c r="AF87" s="20">
        <v>9</v>
      </c>
      <c r="AG87" s="18" t="s">
        <v>135</v>
      </c>
      <c r="AH87" s="18" t="s">
        <v>136</v>
      </c>
      <c r="AI87" s="18" t="s">
        <v>123</v>
      </c>
      <c r="AJ87" s="21">
        <v>36</v>
      </c>
      <c r="AK87" s="18" t="s">
        <v>5</v>
      </c>
      <c r="AL87" s="21">
        <v>5467.1634999999997</v>
      </c>
      <c r="AM87" s="19">
        <v>196817.886</v>
      </c>
      <c r="AW87" s="5" t="s">
        <v>304</v>
      </c>
      <c r="AX87" s="6" t="s">
        <v>305</v>
      </c>
      <c r="AY87" s="6" t="s">
        <v>41</v>
      </c>
      <c r="AZ87" s="10">
        <v>4</v>
      </c>
      <c r="BA87" s="6" t="s">
        <v>20</v>
      </c>
      <c r="BB87" s="10">
        <v>7244.463999999999</v>
      </c>
      <c r="BC87" s="4">
        <v>28977.856</v>
      </c>
    </row>
    <row r="88" spans="1:55" x14ac:dyDescent="0.35">
      <c r="A88" s="38" t="str">
        <v>NCGK0016</v>
      </c>
      <c r="B88" s="31" t="str">
        <f t="shared" si="9"/>
        <v>HAIR NET @100 PCS</v>
      </c>
      <c r="C88" s="31" t="str">
        <f t="shared" si="10"/>
        <v>NCG</v>
      </c>
      <c r="D88" s="31" t="str">
        <f t="shared" si="11"/>
        <v>pack</v>
      </c>
      <c r="E88" s="40">
        <f t="shared" si="12"/>
        <v>43000</v>
      </c>
      <c r="F88" s="48">
        <f t="shared" si="13"/>
        <v>0.5</v>
      </c>
      <c r="G88" s="48" t="str">
        <f t="shared" si="14"/>
        <v>0</v>
      </c>
      <c r="H88" s="48">
        <f t="shared" si="15"/>
        <v>-0.5</v>
      </c>
      <c r="I88" s="40">
        <f t="shared" si="16"/>
        <v>-21500</v>
      </c>
      <c r="J88" s="39" t="str">
        <f t="shared" si="17"/>
        <v>Penurunan IU</v>
      </c>
      <c r="K88" s="81" t="s">
        <v>1268</v>
      </c>
      <c r="O88" s="3">
        <v>15</v>
      </c>
      <c r="P88" t="s">
        <v>455</v>
      </c>
      <c r="Q88" t="s">
        <v>456</v>
      </c>
      <c r="R88" t="s">
        <v>41</v>
      </c>
      <c r="S88" s="10">
        <v>1</v>
      </c>
      <c r="T88" t="s">
        <v>20</v>
      </c>
      <c r="U88" s="10">
        <v>34900</v>
      </c>
      <c r="V88" s="4">
        <v>34900</v>
      </c>
      <c r="X88" s="3" t="s">
        <v>166</v>
      </c>
      <c r="Y88" t="s">
        <v>167</v>
      </c>
      <c r="Z88" t="s">
        <v>165</v>
      </c>
      <c r="AA88" s="10">
        <v>1</v>
      </c>
      <c r="AB88" t="s">
        <v>20</v>
      </c>
      <c r="AC88" s="10">
        <v>25672.9</v>
      </c>
      <c r="AD88" s="4">
        <v>25672.9</v>
      </c>
      <c r="AF88" s="20">
        <v>10</v>
      </c>
      <c r="AG88" s="18" t="s">
        <v>137</v>
      </c>
      <c r="AH88" s="18" t="s">
        <v>138</v>
      </c>
      <c r="AI88" s="18" t="s">
        <v>123</v>
      </c>
      <c r="AJ88" s="21">
        <v>38.770000000000003</v>
      </c>
      <c r="AK88" s="18" t="s">
        <v>5</v>
      </c>
      <c r="AL88" s="21">
        <v>16097.7562</v>
      </c>
      <c r="AM88" s="19">
        <v>624110.007874</v>
      </c>
      <c r="AW88" s="5" t="s">
        <v>50</v>
      </c>
      <c r="AX88" s="6" t="s">
        <v>51</v>
      </c>
      <c r="AY88" s="6" t="s">
        <v>41</v>
      </c>
      <c r="AZ88" s="10">
        <v>134</v>
      </c>
      <c r="BA88" s="6" t="s">
        <v>52</v>
      </c>
      <c r="BB88" s="10">
        <v>20500</v>
      </c>
      <c r="BC88" s="4">
        <v>2747000</v>
      </c>
    </row>
    <row r="89" spans="1:55" x14ac:dyDescent="0.35">
      <c r="A89" s="38" t="str">
        <v>OTH00041</v>
      </c>
      <c r="B89" s="31" t="str">
        <f t="shared" si="9"/>
        <v>ANTI SLIP DASH MAT</v>
      </c>
      <c r="C89" s="31" t="str">
        <f t="shared" si="10"/>
        <v>OTHERS</v>
      </c>
      <c r="D89" s="31" t="str">
        <f t="shared" si="11"/>
        <v>pcs</v>
      </c>
      <c r="E89" s="40">
        <f t="shared" si="12"/>
        <v>49000</v>
      </c>
      <c r="F89" s="48">
        <f t="shared" si="13"/>
        <v>10</v>
      </c>
      <c r="G89" s="48" t="str">
        <f t="shared" si="14"/>
        <v>0</v>
      </c>
      <c r="H89" s="48">
        <f t="shared" si="15"/>
        <v>-10</v>
      </c>
      <c r="I89" s="40">
        <f t="shared" si="16"/>
        <v>-490000</v>
      </c>
      <c r="J89" s="39" t="str">
        <f t="shared" si="17"/>
        <v>Penurunan IU</v>
      </c>
      <c r="K89" s="81" t="s">
        <v>1268</v>
      </c>
      <c r="O89" s="3">
        <v>16</v>
      </c>
      <c r="P89" t="s">
        <v>57</v>
      </c>
      <c r="Q89" t="s">
        <v>58</v>
      </c>
      <c r="R89" t="s">
        <v>41</v>
      </c>
      <c r="S89" s="10">
        <v>21</v>
      </c>
      <c r="T89" t="s">
        <v>5</v>
      </c>
      <c r="U89" s="10">
        <v>7699.2201999999997</v>
      </c>
      <c r="V89" s="4">
        <v>161683.62419999999</v>
      </c>
      <c r="X89" s="3" t="s">
        <v>528</v>
      </c>
      <c r="Y89" t="s">
        <v>529</v>
      </c>
      <c r="Z89" t="s">
        <v>165</v>
      </c>
      <c r="AA89" s="10">
        <v>1</v>
      </c>
      <c r="AB89" t="s">
        <v>20</v>
      </c>
      <c r="AC89" s="10">
        <v>20642.103299999999</v>
      </c>
      <c r="AD89" s="4">
        <v>20642.103299999999</v>
      </c>
      <c r="AF89" s="20">
        <v>11</v>
      </c>
      <c r="AG89" s="18" t="s">
        <v>139</v>
      </c>
      <c r="AH89" s="18" t="s">
        <v>140</v>
      </c>
      <c r="AI89" s="18" t="s">
        <v>123</v>
      </c>
      <c r="AJ89" s="21">
        <v>7.5</v>
      </c>
      <c r="AK89" s="18" t="s">
        <v>5</v>
      </c>
      <c r="AL89" s="21">
        <v>42804.378799999999</v>
      </c>
      <c r="AM89" s="19">
        <v>321032.84100000001</v>
      </c>
      <c r="AW89" s="5" t="s">
        <v>306</v>
      </c>
      <c r="AX89" s="6" t="s">
        <v>307</v>
      </c>
      <c r="AY89" s="6" t="s">
        <v>41</v>
      </c>
      <c r="AZ89" s="10">
        <v>4</v>
      </c>
      <c r="BA89" s="6" t="s">
        <v>20</v>
      </c>
      <c r="BB89" s="10">
        <v>7333.3495999999996</v>
      </c>
      <c r="BC89" s="4">
        <v>29333.398399999998</v>
      </c>
    </row>
    <row r="90" spans="1:55" x14ac:dyDescent="0.35">
      <c r="A90" s="38" t="str">
        <v>OTH00068</v>
      </c>
      <c r="B90" s="31" t="str">
        <f t="shared" si="9"/>
        <v>POM POM PITA PERESMIAN</v>
      </c>
      <c r="C90" s="31" t="str">
        <f t="shared" si="10"/>
        <v>OTHERS</v>
      </c>
      <c r="D90" s="31" t="str">
        <f t="shared" si="11"/>
        <v>pcs</v>
      </c>
      <c r="E90" s="40">
        <f t="shared" si="12"/>
        <v>52200</v>
      </c>
      <c r="F90" s="48">
        <f t="shared" si="13"/>
        <v>4</v>
      </c>
      <c r="G90" s="48" t="str">
        <f t="shared" si="14"/>
        <v>0</v>
      </c>
      <c r="H90" s="48">
        <f t="shared" si="15"/>
        <v>-4</v>
      </c>
      <c r="I90" s="40">
        <f t="shared" si="16"/>
        <v>-208800</v>
      </c>
      <c r="J90" s="39" t="str">
        <f t="shared" si="17"/>
        <v>Penurunan IU</v>
      </c>
      <c r="K90" s="81" t="s">
        <v>1268</v>
      </c>
      <c r="O90" s="3">
        <v>17</v>
      </c>
      <c r="P90" t="s">
        <v>59</v>
      </c>
      <c r="Q90" t="s">
        <v>60</v>
      </c>
      <c r="R90" t="s">
        <v>41</v>
      </c>
      <c r="S90" s="10">
        <v>51</v>
      </c>
      <c r="T90" t="s">
        <v>5</v>
      </c>
      <c r="U90" s="10">
        <v>7699.9511000000002</v>
      </c>
      <c r="V90" s="4">
        <v>392697.5061</v>
      </c>
      <c r="X90" s="3" t="s">
        <v>530</v>
      </c>
      <c r="Y90" t="s">
        <v>531</v>
      </c>
      <c r="Z90" t="s">
        <v>165</v>
      </c>
      <c r="AA90" s="10">
        <v>2</v>
      </c>
      <c r="AB90" t="s">
        <v>20</v>
      </c>
      <c r="AC90" s="10">
        <v>10500</v>
      </c>
      <c r="AD90" s="4">
        <v>21000</v>
      </c>
      <c r="AF90" s="20">
        <v>12</v>
      </c>
      <c r="AG90" s="18" t="s">
        <v>141</v>
      </c>
      <c r="AH90" s="18" t="s">
        <v>142</v>
      </c>
      <c r="AI90" s="18" t="s">
        <v>123</v>
      </c>
      <c r="AJ90" s="21">
        <v>1.5</v>
      </c>
      <c r="AK90" s="18" t="s">
        <v>5</v>
      </c>
      <c r="AL90" s="21">
        <v>41886.423499999997</v>
      </c>
      <c r="AM90" s="19">
        <v>62829.635249999999</v>
      </c>
      <c r="AW90" s="5" t="s">
        <v>53</v>
      </c>
      <c r="AX90" s="6" t="s">
        <v>54</v>
      </c>
      <c r="AY90" s="6" t="s">
        <v>41</v>
      </c>
      <c r="AZ90" s="10">
        <v>11</v>
      </c>
      <c r="BA90" s="6" t="s">
        <v>20</v>
      </c>
      <c r="BB90" s="10">
        <v>2993.33</v>
      </c>
      <c r="BC90" s="4">
        <v>32926.629999999997</v>
      </c>
    </row>
    <row r="91" spans="1:55" x14ac:dyDescent="0.35">
      <c r="A91" s="38" t="str">
        <v>OTH00073</v>
      </c>
      <c r="B91" s="31" t="str">
        <f t="shared" si="9"/>
        <v>MASKER</v>
      </c>
      <c r="C91" s="31" t="str">
        <f t="shared" si="10"/>
        <v>OTHERS</v>
      </c>
      <c r="D91" s="31" t="str">
        <f t="shared" si="11"/>
        <v>pcs</v>
      </c>
      <c r="E91" s="40">
        <f t="shared" si="12"/>
        <v>2393.1999999999998</v>
      </c>
      <c r="F91" s="48">
        <f t="shared" si="13"/>
        <v>50</v>
      </c>
      <c r="G91" s="48" t="str">
        <f t="shared" si="14"/>
        <v>0</v>
      </c>
      <c r="H91" s="48">
        <f t="shared" si="15"/>
        <v>-50</v>
      </c>
      <c r="I91" s="40">
        <f t="shared" si="16"/>
        <v>-119659.99999999999</v>
      </c>
      <c r="J91" s="39" t="str">
        <f t="shared" si="17"/>
        <v>Penurunan IU</v>
      </c>
      <c r="K91" s="81" t="s">
        <v>1268</v>
      </c>
      <c r="O91" s="3">
        <v>18</v>
      </c>
      <c r="P91" t="s">
        <v>61</v>
      </c>
      <c r="Q91" t="s">
        <v>62</v>
      </c>
      <c r="R91" t="s">
        <v>41</v>
      </c>
      <c r="S91" s="10">
        <v>3</v>
      </c>
      <c r="T91" t="s">
        <v>5</v>
      </c>
      <c r="U91" s="10">
        <v>15232.591500000002</v>
      </c>
      <c r="V91" s="4">
        <v>45697.7745</v>
      </c>
      <c r="X91" s="3" t="s">
        <v>168</v>
      </c>
      <c r="Y91" t="s">
        <v>169</v>
      </c>
      <c r="Z91" t="s">
        <v>165</v>
      </c>
      <c r="AA91" s="10">
        <v>8</v>
      </c>
      <c r="AB91" t="s">
        <v>20</v>
      </c>
      <c r="AC91" s="10">
        <v>38599.3796</v>
      </c>
      <c r="AD91" s="4">
        <v>308795.0368</v>
      </c>
      <c r="AF91" s="20">
        <v>13</v>
      </c>
      <c r="AG91" s="18" t="s">
        <v>905</v>
      </c>
      <c r="AH91" s="18" t="s">
        <v>906</v>
      </c>
      <c r="AI91" s="18" t="s">
        <v>123</v>
      </c>
      <c r="AJ91" s="21">
        <v>1</v>
      </c>
      <c r="AK91" s="18" t="s">
        <v>20</v>
      </c>
      <c r="AL91" s="21">
        <v>16736</v>
      </c>
      <c r="AM91" s="19">
        <v>16736</v>
      </c>
      <c r="AW91" s="5" t="s">
        <v>453</v>
      </c>
      <c r="AX91" s="6" t="s">
        <v>454</v>
      </c>
      <c r="AY91" s="6" t="s">
        <v>41</v>
      </c>
      <c r="AZ91" s="10">
        <v>1</v>
      </c>
      <c r="BA91" s="6" t="s">
        <v>267</v>
      </c>
      <c r="BB91" s="10">
        <v>16973.849999999999</v>
      </c>
      <c r="BC91" s="4">
        <v>16973.849999999999</v>
      </c>
    </row>
    <row r="92" spans="1:55" x14ac:dyDescent="0.35">
      <c r="A92" s="38" t="str">
        <v>OTH00099</v>
      </c>
      <c r="B92" s="31" t="str">
        <f t="shared" si="9"/>
        <v>GELAS KARYAWAN</v>
      </c>
      <c r="C92" s="31" t="str">
        <f t="shared" si="10"/>
        <v>OTHERS</v>
      </c>
      <c r="D92" s="31" t="str">
        <f t="shared" si="11"/>
        <v>pcs</v>
      </c>
      <c r="E92" s="40">
        <f t="shared" si="12"/>
        <v>5000</v>
      </c>
      <c r="F92" s="48">
        <f t="shared" si="13"/>
        <v>6</v>
      </c>
      <c r="G92" s="48" t="str">
        <f t="shared" si="14"/>
        <v>0</v>
      </c>
      <c r="H92" s="48">
        <f t="shared" si="15"/>
        <v>-6</v>
      </c>
      <c r="I92" s="40">
        <f t="shared" si="16"/>
        <v>-30000</v>
      </c>
      <c r="J92" s="39" t="str">
        <f t="shared" si="17"/>
        <v>Penurunan IU</v>
      </c>
      <c r="K92" s="81" t="s">
        <v>1268</v>
      </c>
      <c r="O92" s="3">
        <v>19</v>
      </c>
      <c r="P92" t="s">
        <v>493</v>
      </c>
      <c r="Q92" t="s">
        <v>494</v>
      </c>
      <c r="R92" t="s">
        <v>41</v>
      </c>
      <c r="S92">
        <v>1</v>
      </c>
      <c r="T92" t="s">
        <v>20</v>
      </c>
      <c r="U92">
        <v>12200</v>
      </c>
      <c r="V92" s="4">
        <v>12200</v>
      </c>
      <c r="X92" s="3" t="s">
        <v>286</v>
      </c>
      <c r="Y92" t="s">
        <v>287</v>
      </c>
      <c r="Z92" t="s">
        <v>165</v>
      </c>
      <c r="AA92" s="10">
        <v>11</v>
      </c>
      <c r="AB92" t="s">
        <v>20</v>
      </c>
      <c r="AC92" s="10">
        <v>43575.390599999999</v>
      </c>
      <c r="AD92" s="4">
        <v>479329.2966</v>
      </c>
      <c r="AF92" s="20">
        <v>14</v>
      </c>
      <c r="AG92" s="18" t="s">
        <v>145</v>
      </c>
      <c r="AH92" s="18" t="s">
        <v>146</v>
      </c>
      <c r="AI92" s="18" t="s">
        <v>123</v>
      </c>
      <c r="AJ92" s="21">
        <v>123.23</v>
      </c>
      <c r="AK92" s="18" t="s">
        <v>5</v>
      </c>
      <c r="AL92" s="21">
        <v>4604.1441999999997</v>
      </c>
      <c r="AM92" s="19">
        <v>567368.68976600002</v>
      </c>
      <c r="AW92" s="5" t="s">
        <v>407</v>
      </c>
      <c r="AX92" s="6" t="s">
        <v>408</v>
      </c>
      <c r="AY92" s="6" t="s">
        <v>41</v>
      </c>
      <c r="AZ92" s="10">
        <v>2</v>
      </c>
      <c r="BA92" s="6" t="s">
        <v>267</v>
      </c>
      <c r="BB92" s="10">
        <v>41946.666700000002</v>
      </c>
      <c r="BC92" s="4">
        <v>83893.333400000003</v>
      </c>
    </row>
    <row r="93" spans="1:55" ht="15" thickBot="1" x14ac:dyDescent="0.4">
      <c r="A93" s="38" t="str">
        <v>OTH00105</v>
      </c>
      <c r="B93" s="31" t="str">
        <f t="shared" si="9"/>
        <v>MASKER MEDIS</v>
      </c>
      <c r="C93" s="31" t="str">
        <f t="shared" si="10"/>
        <v>OTHERS</v>
      </c>
      <c r="D93" s="31" t="str">
        <f t="shared" si="11"/>
        <v>box</v>
      </c>
      <c r="E93" s="40">
        <f t="shared" si="12"/>
        <v>19500</v>
      </c>
      <c r="F93" s="48">
        <f t="shared" si="13"/>
        <v>1</v>
      </c>
      <c r="G93" s="48" t="str">
        <f t="shared" si="14"/>
        <v>0</v>
      </c>
      <c r="H93" s="48">
        <f t="shared" si="15"/>
        <v>-1</v>
      </c>
      <c r="I93" s="40">
        <f t="shared" si="16"/>
        <v>-19500</v>
      </c>
      <c r="J93" s="39" t="str">
        <f t="shared" si="17"/>
        <v>Penurunan IU</v>
      </c>
      <c r="K93" s="81" t="s">
        <v>1268</v>
      </c>
      <c r="O93" s="11" t="s">
        <v>223</v>
      </c>
      <c r="P93" s="12" t="s">
        <v>223</v>
      </c>
      <c r="Q93" s="12" t="s">
        <v>223</v>
      </c>
      <c r="R93" s="12" t="s">
        <v>223</v>
      </c>
      <c r="S93" s="12" t="s">
        <v>223</v>
      </c>
      <c r="T93" s="12" t="s">
        <v>223</v>
      </c>
      <c r="U93" s="12" t="s">
        <v>224</v>
      </c>
      <c r="V93" s="13">
        <v>6904255.2012</v>
      </c>
      <c r="X93" s="3" t="s">
        <v>532</v>
      </c>
      <c r="Y93" t="s">
        <v>533</v>
      </c>
      <c r="Z93" t="s">
        <v>165</v>
      </c>
      <c r="AA93" s="10">
        <v>1</v>
      </c>
      <c r="AB93" t="s">
        <v>20</v>
      </c>
      <c r="AC93" s="10">
        <v>9966.67</v>
      </c>
      <c r="AD93" s="4">
        <v>9966.67</v>
      </c>
      <c r="AF93" s="20">
        <v>15</v>
      </c>
      <c r="AG93" s="18" t="s">
        <v>147</v>
      </c>
      <c r="AH93" s="18" t="s">
        <v>148</v>
      </c>
      <c r="AI93" s="18" t="s">
        <v>123</v>
      </c>
      <c r="AJ93" s="21">
        <v>0.34</v>
      </c>
      <c r="AK93" s="18" t="s">
        <v>5</v>
      </c>
      <c r="AL93" s="21">
        <v>14756.4103</v>
      </c>
      <c r="AM93" s="19">
        <v>5017.179502</v>
      </c>
      <c r="AW93" s="5" t="s">
        <v>455</v>
      </c>
      <c r="AX93" s="6" t="s">
        <v>456</v>
      </c>
      <c r="AY93" s="6" t="s">
        <v>41</v>
      </c>
      <c r="AZ93" s="10">
        <v>1</v>
      </c>
      <c r="BA93" s="6" t="s">
        <v>20</v>
      </c>
      <c r="BB93" s="10">
        <v>34900</v>
      </c>
      <c r="BC93" s="4">
        <v>34900</v>
      </c>
    </row>
    <row r="94" spans="1:55" ht="15.5" thickTop="1" thickBot="1" x14ac:dyDescent="0.4">
      <c r="A94" s="38" t="str">
        <v>OTH00121</v>
      </c>
      <c r="B94" s="31" t="str">
        <f t="shared" si="9"/>
        <v>KARDUS ROKOK</v>
      </c>
      <c r="C94" s="31" t="str">
        <f t="shared" si="10"/>
        <v>OTHERS</v>
      </c>
      <c r="D94" s="31" t="str">
        <f t="shared" si="11"/>
        <v>box</v>
      </c>
      <c r="E94" s="40">
        <f t="shared" si="12"/>
        <v>11281.264599999999</v>
      </c>
      <c r="F94" s="48">
        <f t="shared" si="13"/>
        <v>13</v>
      </c>
      <c r="G94" s="48" t="str">
        <f t="shared" si="14"/>
        <v>0</v>
      </c>
      <c r="H94" s="48">
        <f t="shared" si="15"/>
        <v>-13</v>
      </c>
      <c r="I94" s="40">
        <f t="shared" si="16"/>
        <v>-146656.43979999999</v>
      </c>
      <c r="J94" s="39" t="str">
        <f t="shared" si="17"/>
        <v>Penurunan IU</v>
      </c>
      <c r="K94" s="81" t="s">
        <v>1268</v>
      </c>
      <c r="X94" s="3" t="s">
        <v>176</v>
      </c>
      <c r="Y94" t="s">
        <v>177</v>
      </c>
      <c r="Z94" t="s">
        <v>165</v>
      </c>
      <c r="AA94" s="10">
        <v>7</v>
      </c>
      <c r="AB94" t="s">
        <v>20</v>
      </c>
      <c r="AC94" s="10">
        <v>11411.121800000001</v>
      </c>
      <c r="AD94" s="4">
        <v>79877.852599999998</v>
      </c>
      <c r="AF94" s="20">
        <v>16</v>
      </c>
      <c r="AG94" s="18" t="s">
        <v>418</v>
      </c>
      <c r="AH94" s="18" t="s">
        <v>419</v>
      </c>
      <c r="AI94" s="18" t="s">
        <v>151</v>
      </c>
      <c r="AJ94" s="21">
        <v>1</v>
      </c>
      <c r="AK94" s="18" t="s">
        <v>420</v>
      </c>
      <c r="AL94" s="21">
        <v>5454.13</v>
      </c>
      <c r="AM94" s="19">
        <v>5454.13</v>
      </c>
      <c r="AW94" s="5" t="s">
        <v>57</v>
      </c>
      <c r="AX94" s="6" t="s">
        <v>58</v>
      </c>
      <c r="AY94" s="6" t="s">
        <v>41</v>
      </c>
      <c r="AZ94" s="10">
        <v>21</v>
      </c>
      <c r="BA94" s="6" t="s">
        <v>5</v>
      </c>
      <c r="BB94" s="10">
        <v>7699.2201999999997</v>
      </c>
      <c r="BC94" s="4">
        <v>161683.62419999999</v>
      </c>
    </row>
    <row r="95" spans="1:55" ht="15" thickTop="1" x14ac:dyDescent="0.35">
      <c r="A95" s="38" t="str">
        <v>STA00002</v>
      </c>
      <c r="B95" s="31" t="str">
        <f t="shared" si="9"/>
        <v>TUSUKAN KERTAS JOYKO PS-1</v>
      </c>
      <c r="C95" s="31" t="str">
        <f t="shared" si="10"/>
        <v>STATIONARY AND OFFICE SUPPLIES</v>
      </c>
      <c r="D95" s="31" t="str">
        <f t="shared" si="11"/>
        <v>pcs</v>
      </c>
      <c r="E95" s="40">
        <f t="shared" si="12"/>
        <v>12208.333333333334</v>
      </c>
      <c r="F95" s="48">
        <f t="shared" si="13"/>
        <v>2</v>
      </c>
      <c r="G95" s="48" t="str">
        <f t="shared" si="14"/>
        <v>0</v>
      </c>
      <c r="H95" s="48">
        <f t="shared" si="15"/>
        <v>-2</v>
      </c>
      <c r="I95" s="40">
        <f t="shared" si="16"/>
        <v>-24416.666666666668</v>
      </c>
      <c r="J95" s="39" t="str">
        <f t="shared" si="17"/>
        <v>Penurunan IU</v>
      </c>
      <c r="K95" s="81" t="s">
        <v>1268</v>
      </c>
      <c r="O95" s="88" t="s">
        <v>0</v>
      </c>
      <c r="P95" s="89"/>
      <c r="Q95" s="89"/>
      <c r="R95" s="89"/>
      <c r="S95" s="89"/>
      <c r="T95" s="1"/>
      <c r="U95" s="1"/>
      <c r="V95" s="2"/>
      <c r="X95" s="3" t="s">
        <v>534</v>
      </c>
      <c r="Y95" t="s">
        <v>535</v>
      </c>
      <c r="Z95" t="s">
        <v>165</v>
      </c>
      <c r="AA95" s="10">
        <v>1</v>
      </c>
      <c r="AB95" t="s">
        <v>20</v>
      </c>
      <c r="AC95" s="10">
        <v>5680</v>
      </c>
      <c r="AD95" s="4">
        <v>5680</v>
      </c>
      <c r="AF95" s="20">
        <v>17</v>
      </c>
      <c r="AG95" s="18" t="s">
        <v>154</v>
      </c>
      <c r="AH95" s="18" t="s">
        <v>155</v>
      </c>
      <c r="AI95" s="18" t="s">
        <v>151</v>
      </c>
      <c r="AJ95" s="21">
        <v>90</v>
      </c>
      <c r="AK95" s="18" t="s">
        <v>20</v>
      </c>
      <c r="AL95" s="21">
        <v>966.13890000000004</v>
      </c>
      <c r="AM95" s="19">
        <v>86952.501000000004</v>
      </c>
      <c r="AW95" s="5" t="s">
        <v>59</v>
      </c>
      <c r="AX95" s="6" t="s">
        <v>60</v>
      </c>
      <c r="AY95" s="6" t="s">
        <v>41</v>
      </c>
      <c r="AZ95" s="10">
        <v>51</v>
      </c>
      <c r="BA95" s="6" t="s">
        <v>5</v>
      </c>
      <c r="BB95" s="10">
        <v>7699.9511000000002</v>
      </c>
      <c r="BC95" s="4">
        <v>392697.5061</v>
      </c>
    </row>
    <row r="96" spans="1:55" x14ac:dyDescent="0.35">
      <c r="A96" s="38" t="str">
        <v>STA00020</v>
      </c>
      <c r="B96" s="31" t="str">
        <f t="shared" si="9"/>
        <v>BATERAI AA</v>
      </c>
      <c r="C96" s="31" t="str">
        <f t="shared" si="10"/>
        <v>STATIONARY AND OFFICE SUPPLIES</v>
      </c>
      <c r="D96" s="31" t="str">
        <f t="shared" si="11"/>
        <v>pack</v>
      </c>
      <c r="E96" s="40">
        <f t="shared" si="12"/>
        <v>9000</v>
      </c>
      <c r="F96" s="48">
        <f t="shared" si="13"/>
        <v>5</v>
      </c>
      <c r="G96" s="48" t="str">
        <f t="shared" si="14"/>
        <v>0</v>
      </c>
      <c r="H96" s="48">
        <f t="shared" si="15"/>
        <v>-5</v>
      </c>
      <c r="I96" s="40">
        <f t="shared" si="16"/>
        <v>-45000</v>
      </c>
      <c r="J96" s="39" t="str">
        <f t="shared" si="17"/>
        <v>Penurunan IU</v>
      </c>
      <c r="K96" s="81" t="s">
        <v>1259</v>
      </c>
      <c r="O96" s="86" t="s">
        <v>1</v>
      </c>
      <c r="P96" s="87"/>
      <c r="Q96" s="87"/>
      <c r="R96" s="87"/>
      <c r="S96" s="87"/>
      <c r="V96" s="4"/>
      <c r="X96" s="3" t="s">
        <v>536</v>
      </c>
      <c r="Y96" t="s">
        <v>537</v>
      </c>
      <c r="Z96" t="s">
        <v>165</v>
      </c>
      <c r="AA96" s="10">
        <v>2</v>
      </c>
      <c r="AB96" t="s">
        <v>20</v>
      </c>
      <c r="AC96" s="10">
        <v>54333.333299999998</v>
      </c>
      <c r="AD96" s="4">
        <v>108666.6666</v>
      </c>
      <c r="AF96" s="20">
        <v>18</v>
      </c>
      <c r="AG96" s="18" t="s">
        <v>272</v>
      </c>
      <c r="AH96" s="18" t="s">
        <v>273</v>
      </c>
      <c r="AI96" s="18" t="s">
        <v>151</v>
      </c>
      <c r="AJ96" s="21">
        <v>0.59</v>
      </c>
      <c r="AK96" s="18" t="s">
        <v>5</v>
      </c>
      <c r="AL96" s="21">
        <v>2831.7543999999998</v>
      </c>
      <c r="AM96" s="19">
        <v>1670.7350960000001</v>
      </c>
      <c r="AW96" s="5" t="s">
        <v>61</v>
      </c>
      <c r="AX96" s="6" t="s">
        <v>62</v>
      </c>
      <c r="AY96" s="6" t="s">
        <v>41</v>
      </c>
      <c r="AZ96" s="10">
        <v>3</v>
      </c>
      <c r="BA96" s="6" t="s">
        <v>5</v>
      </c>
      <c r="BB96" s="10">
        <v>15232.591500000002</v>
      </c>
      <c r="BC96" s="4">
        <v>45697.7745</v>
      </c>
    </row>
    <row r="97" spans="1:55" x14ac:dyDescent="0.35">
      <c r="A97" s="38" t="str">
        <v>STA00024</v>
      </c>
      <c r="B97" s="31" t="str">
        <f t="shared" si="9"/>
        <v>TOM&amp;JERRY 112</v>
      </c>
      <c r="C97" s="31" t="str">
        <f t="shared" si="10"/>
        <v>STATIONARY AND OFFICE SUPPLIES</v>
      </c>
      <c r="D97" s="31" t="str">
        <f t="shared" si="11"/>
        <v>pack</v>
      </c>
      <c r="E97" s="40">
        <f t="shared" si="12"/>
        <v>6250</v>
      </c>
      <c r="F97" s="48">
        <f t="shared" si="13"/>
        <v>2</v>
      </c>
      <c r="G97" s="48" t="str">
        <f t="shared" si="14"/>
        <v>0</v>
      </c>
      <c r="H97" s="48">
        <f t="shared" si="15"/>
        <v>-2</v>
      </c>
      <c r="I97" s="40">
        <f t="shared" si="16"/>
        <v>-12500</v>
      </c>
      <c r="J97" s="39" t="str">
        <f t="shared" si="17"/>
        <v>Penurunan IU</v>
      </c>
      <c r="K97" s="81" t="s">
        <v>1259</v>
      </c>
      <c r="O97" s="3"/>
      <c r="V97" s="4"/>
      <c r="X97" s="3" t="s">
        <v>292</v>
      </c>
      <c r="Y97" t="s">
        <v>293</v>
      </c>
      <c r="Z97" t="s">
        <v>165</v>
      </c>
      <c r="AA97" s="10">
        <v>16</v>
      </c>
      <c r="AB97" t="s">
        <v>20</v>
      </c>
      <c r="AC97" s="10">
        <v>21870.7837</v>
      </c>
      <c r="AD97" s="4">
        <v>349932.5392</v>
      </c>
      <c r="AF97" s="20">
        <v>19</v>
      </c>
      <c r="AG97" s="18" t="s">
        <v>423</v>
      </c>
      <c r="AH97" s="18" t="s">
        <v>424</v>
      </c>
      <c r="AI97" s="18" t="s">
        <v>151</v>
      </c>
      <c r="AJ97" s="21">
        <v>2</v>
      </c>
      <c r="AK97" s="18" t="s">
        <v>20</v>
      </c>
      <c r="AL97" s="21">
        <v>5962.519299999999</v>
      </c>
      <c r="AM97" s="19">
        <v>11925.0386</v>
      </c>
      <c r="AW97" s="5" t="s">
        <v>493</v>
      </c>
      <c r="AX97" s="6" t="s">
        <v>494</v>
      </c>
      <c r="AY97" s="6" t="s">
        <v>41</v>
      </c>
      <c r="AZ97" s="6">
        <v>1</v>
      </c>
      <c r="BA97" s="6" t="s">
        <v>20</v>
      </c>
      <c r="BB97" s="6">
        <v>12200</v>
      </c>
      <c r="BC97" s="4">
        <v>12200</v>
      </c>
    </row>
    <row r="98" spans="1:55" x14ac:dyDescent="0.35">
      <c r="A98" s="38" t="str">
        <v>STA00025</v>
      </c>
      <c r="B98" s="31" t="str">
        <f t="shared" si="9"/>
        <v>DOUBLE TAPE</v>
      </c>
      <c r="C98" s="31" t="str">
        <f t="shared" si="10"/>
        <v>STATIONARY AND OFFICE SUPPLIES</v>
      </c>
      <c r="D98" s="31" t="str">
        <f t="shared" si="11"/>
        <v>pcs</v>
      </c>
      <c r="E98" s="40">
        <f t="shared" si="12"/>
        <v>6430</v>
      </c>
      <c r="F98" s="48">
        <f t="shared" si="13"/>
        <v>2</v>
      </c>
      <c r="G98" s="48" t="str">
        <f t="shared" si="14"/>
        <v>0</v>
      </c>
      <c r="H98" s="48">
        <f t="shared" si="15"/>
        <v>-2</v>
      </c>
      <c r="I98" s="40">
        <f t="shared" si="16"/>
        <v>-12860</v>
      </c>
      <c r="J98" s="39" t="str">
        <f t="shared" si="17"/>
        <v>Penurunan IU</v>
      </c>
      <c r="K98" s="81" t="s">
        <v>1259</v>
      </c>
      <c r="O98" s="86" t="s">
        <v>10</v>
      </c>
      <c r="P98" s="87" t="s">
        <v>11</v>
      </c>
      <c r="Q98" t="s">
        <v>538</v>
      </c>
      <c r="V98" s="4"/>
      <c r="X98" s="3" t="s">
        <v>539</v>
      </c>
      <c r="Y98" t="s">
        <v>540</v>
      </c>
      <c r="Z98" t="s">
        <v>165</v>
      </c>
      <c r="AA98" s="10">
        <v>1</v>
      </c>
      <c r="AB98" t="s">
        <v>20</v>
      </c>
      <c r="AC98" s="10">
        <v>18000</v>
      </c>
      <c r="AD98" s="4">
        <v>18000</v>
      </c>
      <c r="AF98" s="20">
        <v>20</v>
      </c>
      <c r="AG98" s="18" t="s">
        <v>943</v>
      </c>
      <c r="AH98" s="18" t="s">
        <v>944</v>
      </c>
      <c r="AI98" s="18" t="s">
        <v>151</v>
      </c>
      <c r="AJ98" s="18">
        <v>10</v>
      </c>
      <c r="AK98" s="18" t="s">
        <v>20</v>
      </c>
      <c r="AL98" s="18">
        <v>4945</v>
      </c>
      <c r="AM98" s="19">
        <v>49450</v>
      </c>
      <c r="AW98" s="5" t="s">
        <v>460</v>
      </c>
      <c r="AX98" s="6" t="s">
        <v>461</v>
      </c>
      <c r="AY98" s="6" t="s">
        <v>117</v>
      </c>
      <c r="AZ98" s="10">
        <v>3</v>
      </c>
      <c r="BA98" s="6" t="s">
        <v>20</v>
      </c>
      <c r="BB98" s="10">
        <v>142857.114</v>
      </c>
      <c r="BC98" s="4">
        <v>428571.342</v>
      </c>
    </row>
    <row r="99" spans="1:55" ht="15" thickBot="1" x14ac:dyDescent="0.4">
      <c r="A99" s="38" t="str">
        <v>STA00027</v>
      </c>
      <c r="B99" s="31" t="str">
        <f t="shared" si="9"/>
        <v>BALLPOINT</v>
      </c>
      <c r="C99" s="31" t="str">
        <f t="shared" si="10"/>
        <v>STATIONARY AND OFFICE SUPPLIES</v>
      </c>
      <c r="D99" s="31" t="str">
        <f t="shared" si="11"/>
        <v>pcs</v>
      </c>
      <c r="E99" s="40">
        <f t="shared" si="12"/>
        <v>2639</v>
      </c>
      <c r="F99" s="48">
        <f t="shared" si="13"/>
        <v>22</v>
      </c>
      <c r="G99" s="48" t="str">
        <f t="shared" si="14"/>
        <v>0</v>
      </c>
      <c r="H99" s="48">
        <f t="shared" si="15"/>
        <v>-22</v>
      </c>
      <c r="I99" s="40">
        <f t="shared" si="16"/>
        <v>-58058</v>
      </c>
      <c r="J99" s="39" t="str">
        <f t="shared" si="17"/>
        <v>Penurunan IU</v>
      </c>
      <c r="K99" s="81" t="s">
        <v>1259</v>
      </c>
      <c r="O99" s="86" t="s">
        <v>16</v>
      </c>
      <c r="P99" s="87" t="s">
        <v>11</v>
      </c>
      <c r="Q99" t="s">
        <v>17</v>
      </c>
      <c r="V99" s="4"/>
      <c r="X99" s="3" t="s">
        <v>294</v>
      </c>
      <c r="Y99" t="s">
        <v>295</v>
      </c>
      <c r="Z99" t="s">
        <v>165</v>
      </c>
      <c r="AA99" s="10">
        <v>12</v>
      </c>
      <c r="AB99" t="s">
        <v>20</v>
      </c>
      <c r="AC99" s="10">
        <v>16527.600600000002</v>
      </c>
      <c r="AD99" s="4">
        <v>198331.2072</v>
      </c>
      <c r="AF99" s="22" t="s">
        <v>223</v>
      </c>
      <c r="AG99" s="23" t="s">
        <v>223</v>
      </c>
      <c r="AH99" s="23" t="s">
        <v>223</v>
      </c>
      <c r="AI99" s="23" t="s">
        <v>223</v>
      </c>
      <c r="AJ99" s="23" t="s">
        <v>223</v>
      </c>
      <c r="AK99" s="23" t="s">
        <v>223</v>
      </c>
      <c r="AL99" s="23" t="s">
        <v>224</v>
      </c>
      <c r="AM99" s="24">
        <v>7297881.8536280002</v>
      </c>
      <c r="AW99" s="5" t="s">
        <v>115</v>
      </c>
      <c r="AX99" s="6" t="s">
        <v>116</v>
      </c>
      <c r="AY99" s="6" t="s">
        <v>117</v>
      </c>
      <c r="AZ99" s="10">
        <v>1000</v>
      </c>
      <c r="BA99" s="6" t="s">
        <v>52</v>
      </c>
      <c r="BB99" s="10">
        <v>628.57100000000003</v>
      </c>
      <c r="BC99" s="4">
        <v>628571</v>
      </c>
    </row>
    <row r="100" spans="1:55" x14ac:dyDescent="0.35">
      <c r="A100" s="38" t="str">
        <v>STA00032</v>
      </c>
      <c r="B100" s="31" t="str">
        <f t="shared" si="9"/>
        <v>SPIDOL SNOWMAN (NON PERMANENT)</v>
      </c>
      <c r="C100" s="31" t="str">
        <f t="shared" si="10"/>
        <v>STATIONARY AND OFFICE SUPPLIES</v>
      </c>
      <c r="D100" s="31" t="str">
        <f t="shared" si="11"/>
        <v>pcs</v>
      </c>
      <c r="E100" s="40">
        <f t="shared" si="12"/>
        <v>6500</v>
      </c>
      <c r="F100" s="48">
        <f t="shared" si="13"/>
        <v>1</v>
      </c>
      <c r="G100" s="48" t="str">
        <f t="shared" si="14"/>
        <v>0</v>
      </c>
      <c r="H100" s="48">
        <f t="shared" si="15"/>
        <v>-1</v>
      </c>
      <c r="I100" s="40">
        <f t="shared" si="16"/>
        <v>-6500</v>
      </c>
      <c r="J100" s="39" t="str">
        <f t="shared" si="17"/>
        <v>Penurunan IU</v>
      </c>
      <c r="K100" s="81" t="s">
        <v>1259</v>
      </c>
      <c r="O100" s="86" t="s">
        <v>21</v>
      </c>
      <c r="P100" s="87" t="s">
        <v>11</v>
      </c>
      <c r="Q100" t="s">
        <v>482</v>
      </c>
      <c r="V100" s="4"/>
      <c r="X100" s="3" t="s">
        <v>296</v>
      </c>
      <c r="Y100" t="s">
        <v>297</v>
      </c>
      <c r="Z100" t="s">
        <v>165</v>
      </c>
      <c r="AA100" s="10">
        <v>1</v>
      </c>
      <c r="AB100" t="s">
        <v>20</v>
      </c>
      <c r="AC100" s="10">
        <v>17483.975399999999</v>
      </c>
      <c r="AD100" s="4">
        <v>17483.975399999999</v>
      </c>
      <c r="AW100" s="5" t="s">
        <v>350</v>
      </c>
      <c r="AX100" s="6" t="s">
        <v>351</v>
      </c>
      <c r="AY100" s="6" t="s">
        <v>117</v>
      </c>
      <c r="AZ100" s="10">
        <v>1</v>
      </c>
      <c r="BA100" s="6" t="s">
        <v>20</v>
      </c>
      <c r="BB100" s="10">
        <v>115000</v>
      </c>
      <c r="BC100" s="4">
        <v>115000</v>
      </c>
    </row>
    <row r="101" spans="1:55" ht="15" thickBot="1" x14ac:dyDescent="0.4">
      <c r="A101" s="38" t="str">
        <v>STA00033</v>
      </c>
      <c r="B101" s="31" t="str">
        <f t="shared" si="9"/>
        <v>SPIDOL HACCP</v>
      </c>
      <c r="C101" s="31" t="str">
        <f t="shared" si="10"/>
        <v>STATIONARY AND OFFICE SUPPLIES</v>
      </c>
      <c r="D101" s="31" t="str">
        <f t="shared" si="11"/>
        <v>pcs</v>
      </c>
      <c r="E101" s="40">
        <f t="shared" si="12"/>
        <v>15000</v>
      </c>
      <c r="F101" s="48">
        <f t="shared" si="13"/>
        <v>2</v>
      </c>
      <c r="G101" s="48" t="str">
        <f t="shared" si="14"/>
        <v>0</v>
      </c>
      <c r="H101" s="48">
        <f t="shared" si="15"/>
        <v>-2</v>
      </c>
      <c r="I101" s="40">
        <f t="shared" si="16"/>
        <v>-30000</v>
      </c>
      <c r="J101" s="39" t="str">
        <f t="shared" si="17"/>
        <v>Penurunan IU</v>
      </c>
      <c r="K101" s="81" t="s">
        <v>1259</v>
      </c>
      <c r="O101" s="86" t="s">
        <v>26</v>
      </c>
      <c r="P101" s="87" t="s">
        <v>11</v>
      </c>
      <c r="Q101" t="s">
        <v>541</v>
      </c>
      <c r="V101" s="4"/>
      <c r="X101" s="3" t="s">
        <v>542</v>
      </c>
      <c r="Y101" t="s">
        <v>543</v>
      </c>
      <c r="Z101" t="s">
        <v>165</v>
      </c>
      <c r="AA101" s="10">
        <v>1</v>
      </c>
      <c r="AB101" t="s">
        <v>20</v>
      </c>
      <c r="AC101" s="10">
        <v>22153.85</v>
      </c>
      <c r="AD101" s="4">
        <v>22153.85</v>
      </c>
      <c r="AW101" s="5" t="s">
        <v>121</v>
      </c>
      <c r="AX101" s="6" t="s">
        <v>122</v>
      </c>
      <c r="AY101" s="6" t="s">
        <v>123</v>
      </c>
      <c r="AZ101" s="10">
        <v>5</v>
      </c>
      <c r="BA101" s="6" t="s">
        <v>5</v>
      </c>
      <c r="BB101" s="10">
        <v>5000</v>
      </c>
      <c r="BC101" s="4">
        <v>25000</v>
      </c>
    </row>
    <row r="102" spans="1:55" x14ac:dyDescent="0.35">
      <c r="A102" s="38" t="str">
        <v>STA00039</v>
      </c>
      <c r="B102" s="31" t="str">
        <f t="shared" si="9"/>
        <v>BUKU FOLIO 200 LBR</v>
      </c>
      <c r="C102" s="31" t="str">
        <f t="shared" si="10"/>
        <v>STATIONARY AND OFFICE SUPPLIES</v>
      </c>
      <c r="D102" s="31" t="str">
        <f t="shared" si="11"/>
        <v>bk</v>
      </c>
      <c r="E102" s="40">
        <f t="shared" si="12"/>
        <v>31500</v>
      </c>
      <c r="F102" s="48">
        <f t="shared" si="13"/>
        <v>2</v>
      </c>
      <c r="G102" s="48" t="str">
        <f t="shared" si="14"/>
        <v>0</v>
      </c>
      <c r="H102" s="48">
        <f t="shared" si="15"/>
        <v>-2</v>
      </c>
      <c r="I102" s="40">
        <f t="shared" si="16"/>
        <v>-63000</v>
      </c>
      <c r="J102" s="39" t="str">
        <f t="shared" si="17"/>
        <v>Penurunan IU</v>
      </c>
      <c r="K102" s="81" t="s">
        <v>1259</v>
      </c>
      <c r="O102" s="86" t="s">
        <v>31</v>
      </c>
      <c r="P102" s="87" t="s">
        <v>11</v>
      </c>
      <c r="Q102" t="s">
        <v>186</v>
      </c>
      <c r="V102" s="4"/>
      <c r="X102" s="3" t="s">
        <v>544</v>
      </c>
      <c r="Y102" t="s">
        <v>545</v>
      </c>
      <c r="Z102" t="s">
        <v>165</v>
      </c>
      <c r="AA102" s="10">
        <v>10</v>
      </c>
      <c r="AB102" t="s">
        <v>20</v>
      </c>
      <c r="AC102" s="10">
        <v>15250</v>
      </c>
      <c r="AD102" s="4">
        <v>152500</v>
      </c>
      <c r="AF102" s="84" t="s">
        <v>0</v>
      </c>
      <c r="AG102" s="85"/>
      <c r="AH102" s="85"/>
      <c r="AI102" s="85"/>
      <c r="AJ102" s="85"/>
      <c r="AK102" s="16"/>
      <c r="AL102" s="16"/>
      <c r="AM102" s="17"/>
      <c r="AW102" s="5" t="s">
        <v>124</v>
      </c>
      <c r="AX102" s="6" t="s">
        <v>125</v>
      </c>
      <c r="AY102" s="6" t="s">
        <v>123</v>
      </c>
      <c r="AZ102" s="10">
        <v>37</v>
      </c>
      <c r="BA102" s="6" t="s">
        <v>5</v>
      </c>
      <c r="BB102" s="10">
        <v>5490.1093000000001</v>
      </c>
      <c r="BC102" s="4">
        <v>203134.0441</v>
      </c>
    </row>
    <row r="103" spans="1:55" x14ac:dyDescent="0.35">
      <c r="A103" s="38" t="str">
        <v>STA00041</v>
      </c>
      <c r="B103" s="31" t="str">
        <f t="shared" si="9"/>
        <v>STAPLER</v>
      </c>
      <c r="C103" s="31" t="str">
        <f t="shared" si="10"/>
        <v>STATIONARY AND OFFICE SUPPLIES</v>
      </c>
      <c r="D103" s="31" t="str">
        <f t="shared" si="11"/>
        <v>pcs</v>
      </c>
      <c r="E103" s="40">
        <f t="shared" si="12"/>
        <v>9750</v>
      </c>
      <c r="F103" s="48">
        <f t="shared" si="13"/>
        <v>2</v>
      </c>
      <c r="G103" s="48" t="str">
        <f t="shared" si="14"/>
        <v>0</v>
      </c>
      <c r="H103" s="48">
        <f t="shared" si="15"/>
        <v>-2</v>
      </c>
      <c r="I103" s="40">
        <f t="shared" si="16"/>
        <v>-19500</v>
      </c>
      <c r="J103" s="39" t="str">
        <f t="shared" si="17"/>
        <v>Penurunan IU</v>
      </c>
      <c r="K103" s="81" t="s">
        <v>1259</v>
      </c>
      <c r="O103" s="86" t="s">
        <v>35</v>
      </c>
      <c r="P103" s="87" t="s">
        <v>11</v>
      </c>
      <c r="Q103" t="s">
        <v>546</v>
      </c>
      <c r="V103" s="4"/>
      <c r="X103" s="3" t="s">
        <v>547</v>
      </c>
      <c r="Y103" t="s">
        <v>548</v>
      </c>
      <c r="Z103" t="s">
        <v>165</v>
      </c>
      <c r="AA103" s="10">
        <v>3</v>
      </c>
      <c r="AB103" t="s">
        <v>20</v>
      </c>
      <c r="AC103" s="10">
        <v>19104.577099999999</v>
      </c>
      <c r="AD103" s="4">
        <v>57313.731299999999</v>
      </c>
      <c r="AF103" s="82" t="s">
        <v>1</v>
      </c>
      <c r="AG103" s="83"/>
      <c r="AH103" s="83"/>
      <c r="AI103" s="83"/>
      <c r="AJ103" s="83"/>
      <c r="AK103" s="18"/>
      <c r="AL103" s="18"/>
      <c r="AM103" s="19"/>
      <c r="AW103" s="5" t="s">
        <v>126</v>
      </c>
      <c r="AX103" s="6" t="s">
        <v>127</v>
      </c>
      <c r="AY103" s="6" t="s">
        <v>123</v>
      </c>
      <c r="AZ103" s="10">
        <v>17</v>
      </c>
      <c r="BA103" s="6" t="s">
        <v>5</v>
      </c>
      <c r="BB103" s="10">
        <v>6661.5392000000011</v>
      </c>
      <c r="BC103" s="4">
        <v>113246.1664</v>
      </c>
    </row>
    <row r="104" spans="1:55" x14ac:dyDescent="0.35">
      <c r="A104" s="38" t="str">
        <v>STA00050</v>
      </c>
      <c r="B104" s="31" t="str">
        <f t="shared" si="9"/>
        <v>MINYAK KAYU PUTIH</v>
      </c>
      <c r="C104" s="31" t="str">
        <f t="shared" si="10"/>
        <v>STATIONARY AND OFFICE SUPPLIES</v>
      </c>
      <c r="D104" s="31" t="str">
        <f t="shared" si="11"/>
        <v>pcs</v>
      </c>
      <c r="E104" s="40">
        <f t="shared" si="12"/>
        <v>7250</v>
      </c>
      <c r="F104" s="48">
        <f t="shared" si="13"/>
        <v>2</v>
      </c>
      <c r="G104" s="48" t="str">
        <f t="shared" si="14"/>
        <v>0</v>
      </c>
      <c r="H104" s="48">
        <f t="shared" si="15"/>
        <v>-2</v>
      </c>
      <c r="I104" s="40">
        <f t="shared" si="16"/>
        <v>-14500</v>
      </c>
      <c r="J104" s="39" t="str">
        <f t="shared" si="17"/>
        <v>Penurunan IU</v>
      </c>
      <c r="K104" s="81" t="s">
        <v>1259</v>
      </c>
      <c r="O104" s="3"/>
      <c r="V104" s="4"/>
      <c r="X104" s="3" t="s">
        <v>436</v>
      </c>
      <c r="Y104" t="s">
        <v>437</v>
      </c>
      <c r="Z104" t="s">
        <v>165</v>
      </c>
      <c r="AA104" s="10">
        <v>2</v>
      </c>
      <c r="AB104" t="s">
        <v>5</v>
      </c>
      <c r="AC104" s="10">
        <v>5250</v>
      </c>
      <c r="AD104" s="4">
        <v>10500</v>
      </c>
      <c r="AF104" s="20"/>
      <c r="AG104" s="18"/>
      <c r="AH104" s="18"/>
      <c r="AI104" s="18"/>
      <c r="AJ104" s="18"/>
      <c r="AK104" s="18"/>
      <c r="AL104" s="18"/>
      <c r="AM104" s="19"/>
      <c r="AW104" s="5" t="s">
        <v>128</v>
      </c>
      <c r="AX104" s="6" t="s">
        <v>129</v>
      </c>
      <c r="AY104" s="6" t="s">
        <v>123</v>
      </c>
      <c r="AZ104" s="10">
        <v>1</v>
      </c>
      <c r="BA104" s="6" t="s">
        <v>74</v>
      </c>
      <c r="BB104" s="10">
        <v>139219.30540000001</v>
      </c>
      <c r="BC104" s="4">
        <v>139219.30540000001</v>
      </c>
    </row>
    <row r="105" spans="1:55" x14ac:dyDescent="0.35">
      <c r="A105" s="38" t="str">
        <v>STA00074</v>
      </c>
      <c r="B105" s="31" t="str">
        <f t="shared" si="9"/>
        <v>LABEL/STICKER TOM &amp; JERRY 103</v>
      </c>
      <c r="C105" s="31" t="str">
        <f t="shared" si="10"/>
        <v>STATIONARY AND OFFICE SUPPLIES</v>
      </c>
      <c r="D105" s="31" t="str">
        <f t="shared" si="11"/>
        <v>pack</v>
      </c>
      <c r="E105" s="40">
        <f t="shared" si="12"/>
        <v>6250</v>
      </c>
      <c r="F105" s="48">
        <f t="shared" si="13"/>
        <v>2</v>
      </c>
      <c r="G105" s="48" t="str">
        <f t="shared" si="14"/>
        <v>0</v>
      </c>
      <c r="H105" s="48">
        <f t="shared" si="15"/>
        <v>-2</v>
      </c>
      <c r="I105" s="40">
        <f t="shared" si="16"/>
        <v>-12500</v>
      </c>
      <c r="J105" s="39" t="str">
        <f t="shared" si="17"/>
        <v>Penurunan IU</v>
      </c>
      <c r="K105" s="81" t="s">
        <v>1259</v>
      </c>
      <c r="O105" s="3" t="s">
        <v>42</v>
      </c>
      <c r="P105" t="s">
        <v>43</v>
      </c>
      <c r="Q105" t="s">
        <v>44</v>
      </c>
      <c r="R105" t="s">
        <v>45</v>
      </c>
      <c r="S105" t="s">
        <v>46</v>
      </c>
      <c r="T105" t="s">
        <v>47</v>
      </c>
      <c r="U105" t="s">
        <v>48</v>
      </c>
      <c r="V105" s="4" t="s">
        <v>49</v>
      </c>
      <c r="X105" s="3" t="s">
        <v>184</v>
      </c>
      <c r="Y105" t="s">
        <v>185</v>
      </c>
      <c r="Z105" t="s">
        <v>182</v>
      </c>
      <c r="AA105" s="10">
        <v>31</v>
      </c>
      <c r="AB105" t="s">
        <v>20</v>
      </c>
      <c r="AC105" s="10">
        <v>1954.48</v>
      </c>
      <c r="AD105" s="4">
        <v>60588.88</v>
      </c>
      <c r="AF105" s="82" t="s">
        <v>10</v>
      </c>
      <c r="AG105" s="83" t="s">
        <v>11</v>
      </c>
      <c r="AH105" s="18" t="s">
        <v>945</v>
      </c>
      <c r="AI105" s="18"/>
      <c r="AJ105" s="18"/>
      <c r="AK105" s="18"/>
      <c r="AL105" s="18"/>
      <c r="AM105" s="19"/>
      <c r="AW105" s="5" t="s">
        <v>130</v>
      </c>
      <c r="AX105" s="6" t="s">
        <v>131</v>
      </c>
      <c r="AY105" s="6" t="s">
        <v>123</v>
      </c>
      <c r="AZ105" s="10">
        <v>50.94</v>
      </c>
      <c r="BA105" s="6" t="s">
        <v>5</v>
      </c>
      <c r="BB105" s="10">
        <v>6352.9243999999999</v>
      </c>
      <c r="BC105" s="4">
        <v>323617.96893600002</v>
      </c>
    </row>
    <row r="106" spans="1:55" x14ac:dyDescent="0.35">
      <c r="A106" s="38" t="str">
        <v>STA00076</v>
      </c>
      <c r="B106" s="31" t="str">
        <f t="shared" si="9"/>
        <v>STICKER TOM &amp; JERRY BULAT - HIJAU</v>
      </c>
      <c r="C106" s="31" t="str">
        <f t="shared" si="10"/>
        <v>STATIONARY AND OFFICE SUPPLIES</v>
      </c>
      <c r="D106" s="31" t="str">
        <f t="shared" si="11"/>
        <v>pack</v>
      </c>
      <c r="E106" s="40">
        <f t="shared" si="12"/>
        <v>10000</v>
      </c>
      <c r="F106" s="48">
        <f t="shared" si="13"/>
        <v>2</v>
      </c>
      <c r="G106" s="48" t="str">
        <f t="shared" si="14"/>
        <v>0</v>
      </c>
      <c r="H106" s="48">
        <f t="shared" si="15"/>
        <v>-2</v>
      </c>
      <c r="I106" s="40">
        <f t="shared" si="16"/>
        <v>-20000</v>
      </c>
      <c r="J106" s="39" t="str">
        <f t="shared" si="17"/>
        <v>Penurunan IU</v>
      </c>
      <c r="K106" s="81" t="s">
        <v>1259</v>
      </c>
      <c r="O106" s="3">
        <v>1</v>
      </c>
      <c r="P106" t="s">
        <v>460</v>
      </c>
      <c r="Q106" t="s">
        <v>461</v>
      </c>
      <c r="R106" t="s">
        <v>117</v>
      </c>
      <c r="S106" s="10">
        <v>3</v>
      </c>
      <c r="T106" t="s">
        <v>20</v>
      </c>
      <c r="U106" s="10">
        <v>142857.114</v>
      </c>
      <c r="V106" s="4">
        <v>428571.342</v>
      </c>
      <c r="X106" s="3" t="s">
        <v>549</v>
      </c>
      <c r="Y106" t="s">
        <v>550</v>
      </c>
      <c r="Z106" t="s">
        <v>182</v>
      </c>
      <c r="AA106" s="10">
        <v>1</v>
      </c>
      <c r="AB106" t="s">
        <v>20</v>
      </c>
      <c r="AC106" s="10">
        <v>43756.2</v>
      </c>
      <c r="AD106" s="4">
        <v>43756.2</v>
      </c>
      <c r="AF106" s="82" t="s">
        <v>16</v>
      </c>
      <c r="AG106" s="83" t="s">
        <v>11</v>
      </c>
      <c r="AH106" s="18" t="s">
        <v>211</v>
      </c>
      <c r="AI106" s="18"/>
      <c r="AJ106" s="18"/>
      <c r="AK106" s="18"/>
      <c r="AL106" s="18"/>
      <c r="AM106" s="19"/>
      <c r="AW106" s="5" t="s">
        <v>132</v>
      </c>
      <c r="AX106" s="6" t="s">
        <v>133</v>
      </c>
      <c r="AY106" s="6" t="s">
        <v>123</v>
      </c>
      <c r="AZ106" s="10">
        <v>225</v>
      </c>
      <c r="BA106" s="6" t="s">
        <v>134</v>
      </c>
      <c r="BB106" s="10">
        <v>13000</v>
      </c>
      <c r="BC106" s="4">
        <v>2925000</v>
      </c>
    </row>
    <row r="107" spans="1:55" x14ac:dyDescent="0.35">
      <c r="A107" s="38" t="str">
        <v>STA00091</v>
      </c>
      <c r="B107" s="31" t="str">
        <f t="shared" si="9"/>
        <v>BUKU LOG FOLIO BERGARIS</v>
      </c>
      <c r="C107" s="31" t="str">
        <f t="shared" si="10"/>
        <v>STATIONARY AND OFFICE SUPPLIES</v>
      </c>
      <c r="D107" s="31" t="str">
        <f t="shared" si="11"/>
        <v>buku</v>
      </c>
      <c r="E107" s="40">
        <f t="shared" si="12"/>
        <v>16000</v>
      </c>
      <c r="F107" s="48">
        <f t="shared" si="13"/>
        <v>1</v>
      </c>
      <c r="G107" s="48" t="str">
        <f t="shared" si="14"/>
        <v>0</v>
      </c>
      <c r="H107" s="48">
        <f t="shared" si="15"/>
        <v>-1</v>
      </c>
      <c r="I107" s="40">
        <f t="shared" si="16"/>
        <v>-16000</v>
      </c>
      <c r="J107" s="39" t="str">
        <f t="shared" si="17"/>
        <v>Penurunan IU</v>
      </c>
      <c r="K107" s="81" t="s">
        <v>1259</v>
      </c>
      <c r="O107" s="3">
        <v>2</v>
      </c>
      <c r="P107" t="s">
        <v>115</v>
      </c>
      <c r="Q107" t="s">
        <v>116</v>
      </c>
      <c r="R107" t="s">
        <v>117</v>
      </c>
      <c r="S107" s="10">
        <v>1000</v>
      </c>
      <c r="T107" t="s">
        <v>52</v>
      </c>
      <c r="U107" s="10">
        <v>628.57100000000003</v>
      </c>
      <c r="V107" s="4">
        <v>628571</v>
      </c>
      <c r="X107" s="3" t="s">
        <v>187</v>
      </c>
      <c r="Y107" t="s">
        <v>188</v>
      </c>
      <c r="Z107" t="s">
        <v>182</v>
      </c>
      <c r="AA107" s="10">
        <v>28</v>
      </c>
      <c r="AB107" t="s">
        <v>20</v>
      </c>
      <c r="AC107" s="10">
        <v>3229</v>
      </c>
      <c r="AD107" s="4">
        <v>90412</v>
      </c>
      <c r="AF107" s="82" t="s">
        <v>21</v>
      </c>
      <c r="AG107" s="83" t="s">
        <v>11</v>
      </c>
      <c r="AH107" s="18" t="s">
        <v>482</v>
      </c>
      <c r="AI107" s="18"/>
      <c r="AJ107" s="18"/>
      <c r="AK107" s="18"/>
      <c r="AL107" s="18"/>
      <c r="AM107" s="19"/>
      <c r="AW107" s="5" t="s">
        <v>135</v>
      </c>
      <c r="AX107" s="6" t="s">
        <v>136</v>
      </c>
      <c r="AY107" s="6" t="s">
        <v>123</v>
      </c>
      <c r="AZ107" s="10">
        <v>21</v>
      </c>
      <c r="BA107" s="6" t="s">
        <v>5</v>
      </c>
      <c r="BB107" s="10">
        <v>5467.1634999999997</v>
      </c>
      <c r="BC107" s="4">
        <v>114810.4335</v>
      </c>
    </row>
    <row r="108" spans="1:55" x14ac:dyDescent="0.35">
      <c r="A108" s="38" t="str">
        <v>STA00092</v>
      </c>
      <c r="B108" s="31" t="str">
        <f t="shared" si="9"/>
        <v>BUKU KAS (EKSPEDISI)</v>
      </c>
      <c r="C108" s="31" t="str">
        <f t="shared" si="10"/>
        <v>STATIONARY AND OFFICE SUPPLIES</v>
      </c>
      <c r="D108" s="31" t="str">
        <f t="shared" si="11"/>
        <v>buku</v>
      </c>
      <c r="E108" s="40">
        <f t="shared" si="12"/>
        <v>8500</v>
      </c>
      <c r="F108" s="48">
        <f t="shared" si="13"/>
        <v>1</v>
      </c>
      <c r="G108" s="48" t="str">
        <f t="shared" si="14"/>
        <v>0</v>
      </c>
      <c r="H108" s="48">
        <f t="shared" si="15"/>
        <v>-1</v>
      </c>
      <c r="I108" s="40">
        <f t="shared" si="16"/>
        <v>-8500</v>
      </c>
      <c r="J108" s="39" t="str">
        <f t="shared" si="17"/>
        <v>Penurunan IU</v>
      </c>
      <c r="K108" s="81" t="s">
        <v>1259</v>
      </c>
      <c r="O108" s="3">
        <v>3</v>
      </c>
      <c r="P108" t="s">
        <v>350</v>
      </c>
      <c r="Q108" t="s">
        <v>351</v>
      </c>
      <c r="R108" t="s">
        <v>117</v>
      </c>
      <c r="S108" s="10">
        <v>1</v>
      </c>
      <c r="T108" t="s">
        <v>20</v>
      </c>
      <c r="U108" s="10">
        <v>115000</v>
      </c>
      <c r="V108" s="4">
        <v>115000</v>
      </c>
      <c r="X108" s="3" t="s">
        <v>438</v>
      </c>
      <c r="Y108" t="s">
        <v>439</v>
      </c>
      <c r="Z108" t="s">
        <v>182</v>
      </c>
      <c r="AA108" s="10">
        <v>1</v>
      </c>
      <c r="AB108" t="s">
        <v>20</v>
      </c>
      <c r="AC108" s="10">
        <v>3229</v>
      </c>
      <c r="AD108" s="4">
        <v>3229</v>
      </c>
      <c r="AF108" s="82" t="s">
        <v>26</v>
      </c>
      <c r="AG108" s="83" t="s">
        <v>11</v>
      </c>
      <c r="AH108" s="18" t="s">
        <v>946</v>
      </c>
      <c r="AI108" s="18"/>
      <c r="AJ108" s="18"/>
      <c r="AK108" s="18"/>
      <c r="AL108" s="18"/>
      <c r="AM108" s="19"/>
      <c r="AW108" s="5" t="s">
        <v>137</v>
      </c>
      <c r="AX108" s="6" t="s">
        <v>138</v>
      </c>
      <c r="AY108" s="6" t="s">
        <v>123</v>
      </c>
      <c r="AZ108" s="10">
        <v>33</v>
      </c>
      <c r="BA108" s="6" t="s">
        <v>5</v>
      </c>
      <c r="BB108" s="10">
        <v>16072.954900000002</v>
      </c>
      <c r="BC108" s="4">
        <v>530407.51170000003</v>
      </c>
    </row>
    <row r="109" spans="1:55" x14ac:dyDescent="0.35">
      <c r="A109" s="38" t="str">
        <v>STA00093</v>
      </c>
      <c r="B109" s="31" t="str">
        <f t="shared" si="9"/>
        <v>STICKER/LABEL TOM&amp;JERRY BULAT - ORANGE</v>
      </c>
      <c r="C109" s="31" t="str">
        <f t="shared" si="10"/>
        <v>STATIONARY AND OFFICE SUPPLIES</v>
      </c>
      <c r="D109" s="31" t="str">
        <f t="shared" si="11"/>
        <v>pack</v>
      </c>
      <c r="E109" s="40">
        <f t="shared" si="12"/>
        <v>10000</v>
      </c>
      <c r="F109" s="48">
        <f t="shared" si="13"/>
        <v>1</v>
      </c>
      <c r="G109" s="48" t="str">
        <f t="shared" si="14"/>
        <v>0</v>
      </c>
      <c r="H109" s="48">
        <f t="shared" si="15"/>
        <v>-1</v>
      </c>
      <c r="I109" s="40">
        <f t="shared" si="16"/>
        <v>-10000</v>
      </c>
      <c r="J109" s="39" t="str">
        <f t="shared" si="17"/>
        <v>Penurunan IU</v>
      </c>
      <c r="K109" s="81" t="s">
        <v>1268</v>
      </c>
      <c r="O109" s="3">
        <v>4</v>
      </c>
      <c r="P109" t="s">
        <v>121</v>
      </c>
      <c r="Q109" t="s">
        <v>122</v>
      </c>
      <c r="R109" t="s">
        <v>123</v>
      </c>
      <c r="S109" s="10">
        <v>5</v>
      </c>
      <c r="T109" t="s">
        <v>5</v>
      </c>
      <c r="U109" s="10">
        <v>5000</v>
      </c>
      <c r="V109" s="4">
        <v>25000</v>
      </c>
      <c r="X109" s="3" t="s">
        <v>551</v>
      </c>
      <c r="Y109" t="s">
        <v>552</v>
      </c>
      <c r="Z109" t="s">
        <v>182</v>
      </c>
      <c r="AA109" s="10">
        <v>1</v>
      </c>
      <c r="AB109" t="s">
        <v>20</v>
      </c>
      <c r="AC109" s="10">
        <v>49511.1</v>
      </c>
      <c r="AD109" s="4">
        <v>49511.1</v>
      </c>
      <c r="AF109" s="82" t="s">
        <v>31</v>
      </c>
      <c r="AG109" s="83" t="s">
        <v>11</v>
      </c>
      <c r="AH109" s="18" t="s">
        <v>198</v>
      </c>
      <c r="AI109" s="18"/>
      <c r="AJ109" s="18"/>
      <c r="AK109" s="18"/>
      <c r="AL109" s="18"/>
      <c r="AM109" s="19"/>
      <c r="AW109" s="5" t="s">
        <v>139</v>
      </c>
      <c r="AX109" s="6" t="s">
        <v>140</v>
      </c>
      <c r="AY109" s="6" t="s">
        <v>123</v>
      </c>
      <c r="AZ109" s="10">
        <v>9</v>
      </c>
      <c r="BA109" s="6" t="s">
        <v>5</v>
      </c>
      <c r="BB109" s="10">
        <v>42247.700700000001</v>
      </c>
      <c r="BC109" s="4">
        <v>380229.3063</v>
      </c>
    </row>
    <row r="110" spans="1:55" x14ac:dyDescent="0.35">
      <c r="A110" s="38" t="str">
        <v>STA00099</v>
      </c>
      <c r="B110" s="31" t="str">
        <f t="shared" si="9"/>
        <v>BUSINESS FILE</v>
      </c>
      <c r="C110" s="31" t="str">
        <f t="shared" si="10"/>
        <v>STATIONARY AND OFFICE SUPPLIES</v>
      </c>
      <c r="D110" s="31" t="str">
        <f t="shared" si="11"/>
        <v>pcs</v>
      </c>
      <c r="E110" s="40">
        <f t="shared" si="12"/>
        <v>3392.1053000000002</v>
      </c>
      <c r="F110" s="48">
        <f t="shared" si="13"/>
        <v>9</v>
      </c>
      <c r="G110" s="48" t="str">
        <f t="shared" si="14"/>
        <v>0</v>
      </c>
      <c r="H110" s="48">
        <f t="shared" si="15"/>
        <v>-9</v>
      </c>
      <c r="I110" s="40">
        <f t="shared" si="16"/>
        <v>-30528.947700000001</v>
      </c>
      <c r="J110" s="39" t="str">
        <f t="shared" si="17"/>
        <v>Penurunan IU</v>
      </c>
      <c r="K110" s="81" t="s">
        <v>1268</v>
      </c>
      <c r="O110" s="3">
        <v>5</v>
      </c>
      <c r="P110" t="s">
        <v>124</v>
      </c>
      <c r="Q110" t="s">
        <v>125</v>
      </c>
      <c r="R110" t="s">
        <v>123</v>
      </c>
      <c r="S110" s="10">
        <v>37</v>
      </c>
      <c r="T110" t="s">
        <v>5</v>
      </c>
      <c r="U110" s="10">
        <v>5490.1093000000001</v>
      </c>
      <c r="V110" s="4">
        <v>203134.0441</v>
      </c>
      <c r="X110" s="3" t="s">
        <v>553</v>
      </c>
      <c r="Y110" t="s">
        <v>554</v>
      </c>
      <c r="Z110" t="s">
        <v>182</v>
      </c>
      <c r="AA110" s="10">
        <v>1</v>
      </c>
      <c r="AB110" t="s">
        <v>20</v>
      </c>
      <c r="AC110" s="10">
        <v>21120</v>
      </c>
      <c r="AD110" s="4">
        <v>21120</v>
      </c>
      <c r="AF110" s="82" t="s">
        <v>35</v>
      </c>
      <c r="AG110" s="83" t="s">
        <v>11</v>
      </c>
      <c r="AH110" s="18" t="s">
        <v>947</v>
      </c>
      <c r="AI110" s="18"/>
      <c r="AJ110" s="18"/>
      <c r="AK110" s="18"/>
      <c r="AL110" s="18"/>
      <c r="AM110" s="19"/>
      <c r="AW110" s="5" t="s">
        <v>141</v>
      </c>
      <c r="AX110" s="6" t="s">
        <v>142</v>
      </c>
      <c r="AY110" s="6" t="s">
        <v>123</v>
      </c>
      <c r="AZ110" s="10">
        <v>5</v>
      </c>
      <c r="BA110" s="6" t="s">
        <v>5</v>
      </c>
      <c r="BB110" s="10">
        <v>41886.423499999997</v>
      </c>
      <c r="BC110" s="4">
        <v>209432.11749999999</v>
      </c>
    </row>
    <row r="111" spans="1:55" x14ac:dyDescent="0.35">
      <c r="A111" s="38" t="str">
        <v>STA00105</v>
      </c>
      <c r="B111" s="31" t="str">
        <f t="shared" si="9"/>
        <v>BINDER CLIP NO.200</v>
      </c>
      <c r="C111" s="31" t="str">
        <f t="shared" si="10"/>
        <v>STATIONARY AND OFFICE SUPPLIES</v>
      </c>
      <c r="D111" s="31" t="str">
        <f t="shared" si="11"/>
        <v>box</v>
      </c>
      <c r="E111" s="40">
        <f t="shared" si="12"/>
        <v>10500</v>
      </c>
      <c r="F111" s="48">
        <f t="shared" si="13"/>
        <v>2</v>
      </c>
      <c r="G111" s="48" t="str">
        <f t="shared" si="14"/>
        <v>0</v>
      </c>
      <c r="H111" s="48">
        <f t="shared" si="15"/>
        <v>-2</v>
      </c>
      <c r="I111" s="40">
        <f t="shared" si="16"/>
        <v>-21000</v>
      </c>
      <c r="J111" s="39" t="str">
        <f t="shared" si="17"/>
        <v>Penurunan IU</v>
      </c>
      <c r="K111" s="81" t="s">
        <v>1268</v>
      </c>
      <c r="O111" s="3">
        <v>6</v>
      </c>
      <c r="P111" t="s">
        <v>126</v>
      </c>
      <c r="Q111" t="s">
        <v>127</v>
      </c>
      <c r="R111" t="s">
        <v>123</v>
      </c>
      <c r="S111" s="10">
        <v>17</v>
      </c>
      <c r="T111" t="s">
        <v>5</v>
      </c>
      <c r="U111" s="10">
        <v>6661.5392000000011</v>
      </c>
      <c r="V111" s="4">
        <v>113246.1664</v>
      </c>
      <c r="X111" s="3" t="s">
        <v>474</v>
      </c>
      <c r="Y111" t="s">
        <v>475</v>
      </c>
      <c r="Z111" t="s">
        <v>192</v>
      </c>
      <c r="AA111" s="10">
        <v>8</v>
      </c>
      <c r="AB111" t="s">
        <v>20</v>
      </c>
      <c r="AC111" s="10">
        <v>8750</v>
      </c>
      <c r="AD111" s="4">
        <v>70000</v>
      </c>
      <c r="AF111" s="20"/>
      <c r="AG111" s="18"/>
      <c r="AH111" s="18"/>
      <c r="AI111" s="18"/>
      <c r="AJ111" s="18"/>
      <c r="AK111" s="18"/>
      <c r="AL111" s="18"/>
      <c r="AM111" s="19"/>
      <c r="AW111" s="5" t="s">
        <v>143</v>
      </c>
      <c r="AX111" s="6" t="s">
        <v>144</v>
      </c>
      <c r="AY111" s="6" t="s">
        <v>123</v>
      </c>
      <c r="AZ111" s="10">
        <v>0.5</v>
      </c>
      <c r="BA111" s="6" t="s">
        <v>5</v>
      </c>
      <c r="BB111" s="10">
        <v>43000</v>
      </c>
      <c r="BC111" s="4">
        <v>21500</v>
      </c>
    </row>
    <row r="112" spans="1:55" x14ac:dyDescent="0.35">
      <c r="A112" s="38" t="str">
        <v>STA00122</v>
      </c>
      <c r="B112" s="31" t="str">
        <f t="shared" si="9"/>
        <v>BINDEX ORDNER</v>
      </c>
      <c r="C112" s="31" t="str">
        <f t="shared" si="10"/>
        <v>STATIONARY AND OFFICE SUPPLIES</v>
      </c>
      <c r="D112" s="31" t="str">
        <f t="shared" si="11"/>
        <v>pcs</v>
      </c>
      <c r="E112" s="40">
        <f t="shared" si="12"/>
        <v>22500</v>
      </c>
      <c r="F112" s="48">
        <f t="shared" si="13"/>
        <v>1</v>
      </c>
      <c r="G112" s="48" t="str">
        <f t="shared" si="14"/>
        <v>0</v>
      </c>
      <c r="H112" s="48">
        <f t="shared" si="15"/>
        <v>-1</v>
      </c>
      <c r="I112" s="40">
        <f t="shared" si="16"/>
        <v>-22500</v>
      </c>
      <c r="J112" s="39" t="str">
        <f t="shared" si="17"/>
        <v>Penurunan IU</v>
      </c>
      <c r="K112" s="81" t="s">
        <v>1268</v>
      </c>
      <c r="O112" s="3">
        <v>7</v>
      </c>
      <c r="P112" t="s">
        <v>128</v>
      </c>
      <c r="Q112" t="s">
        <v>129</v>
      </c>
      <c r="R112" t="s">
        <v>123</v>
      </c>
      <c r="S112" s="10">
        <v>1</v>
      </c>
      <c r="T112" t="s">
        <v>74</v>
      </c>
      <c r="U112" s="10">
        <v>139219.30540000001</v>
      </c>
      <c r="V112" s="4">
        <v>139219.30540000001</v>
      </c>
      <c r="X112" s="3" t="s">
        <v>190</v>
      </c>
      <c r="Y112" t="s">
        <v>191</v>
      </c>
      <c r="Z112" t="s">
        <v>192</v>
      </c>
      <c r="AA112" s="10">
        <v>2</v>
      </c>
      <c r="AB112" t="s">
        <v>20</v>
      </c>
      <c r="AC112" s="10">
        <v>138738.7334</v>
      </c>
      <c r="AD112" s="4">
        <v>277477.46679999999</v>
      </c>
      <c r="AF112" s="20" t="s">
        <v>42</v>
      </c>
      <c r="AG112" s="18" t="s">
        <v>43</v>
      </c>
      <c r="AH112" s="18" t="s">
        <v>44</v>
      </c>
      <c r="AI112" s="18" t="s">
        <v>45</v>
      </c>
      <c r="AJ112" s="18" t="s">
        <v>46</v>
      </c>
      <c r="AK112" s="18" t="s">
        <v>47</v>
      </c>
      <c r="AL112" s="18" t="s">
        <v>48</v>
      </c>
      <c r="AM112" s="19" t="s">
        <v>49</v>
      </c>
      <c r="AW112" s="5" t="s">
        <v>145</v>
      </c>
      <c r="AX112" s="6" t="s">
        <v>146</v>
      </c>
      <c r="AY112" s="6" t="s">
        <v>123</v>
      </c>
      <c r="AZ112" s="10">
        <v>148.77000000000001</v>
      </c>
      <c r="BA112" s="6" t="s">
        <v>5</v>
      </c>
      <c r="BB112" s="10">
        <v>4604.1441000000004</v>
      </c>
      <c r="BC112" s="4">
        <v>684958.51775700005</v>
      </c>
    </row>
    <row r="113" spans="1:55" x14ac:dyDescent="0.35">
      <c r="A113" s="38" t="str">
        <v>STA00129</v>
      </c>
      <c r="B113" s="31" t="str">
        <f t="shared" si="9"/>
        <v>KERTAS WARNING SIGN</v>
      </c>
      <c r="C113" s="31" t="str">
        <f t="shared" si="10"/>
        <v>STATIONARY AND OFFICE SUPPLIES</v>
      </c>
      <c r="D113" s="31" t="str">
        <f t="shared" si="11"/>
        <v>lembar</v>
      </c>
      <c r="E113" s="40">
        <f t="shared" si="12"/>
        <v>6464.2821000000013</v>
      </c>
      <c r="F113" s="48">
        <f t="shared" si="13"/>
        <v>4</v>
      </c>
      <c r="G113" s="48" t="str">
        <f t="shared" si="14"/>
        <v>0</v>
      </c>
      <c r="H113" s="48">
        <f t="shared" si="15"/>
        <v>-4</v>
      </c>
      <c r="I113" s="40">
        <f t="shared" si="16"/>
        <v>-25857.128400000005</v>
      </c>
      <c r="J113" s="39" t="str">
        <f t="shared" si="17"/>
        <v>Penurunan IU</v>
      </c>
      <c r="K113" s="81" t="s">
        <v>1268</v>
      </c>
      <c r="O113" s="3">
        <v>8</v>
      </c>
      <c r="P113" t="s">
        <v>130</v>
      </c>
      <c r="Q113" t="s">
        <v>131</v>
      </c>
      <c r="R113" t="s">
        <v>123</v>
      </c>
      <c r="S113" s="10">
        <v>50.94</v>
      </c>
      <c r="T113" t="s">
        <v>5</v>
      </c>
      <c r="U113" s="10">
        <v>6352.9243999999999</v>
      </c>
      <c r="V113" s="4">
        <v>323617.96893600002</v>
      </c>
      <c r="X113" s="3" t="s">
        <v>442</v>
      </c>
      <c r="Y113" t="s">
        <v>443</v>
      </c>
      <c r="Z113" t="s">
        <v>192</v>
      </c>
      <c r="AA113" s="10">
        <v>23</v>
      </c>
      <c r="AB113" t="s">
        <v>20</v>
      </c>
      <c r="AC113" s="10">
        <v>18480</v>
      </c>
      <c r="AD113" s="4">
        <v>425040</v>
      </c>
      <c r="AF113" s="20">
        <v>1</v>
      </c>
      <c r="AG113" s="18" t="s">
        <v>284</v>
      </c>
      <c r="AH113" s="18" t="s">
        <v>285</v>
      </c>
      <c r="AI113" s="18" t="s">
        <v>165</v>
      </c>
      <c r="AJ113" s="21">
        <v>2</v>
      </c>
      <c r="AK113" s="18" t="s">
        <v>20</v>
      </c>
      <c r="AL113" s="21">
        <v>17129.86</v>
      </c>
      <c r="AM113" s="19">
        <v>34259.72</v>
      </c>
      <c r="AW113" s="5" t="s">
        <v>147</v>
      </c>
      <c r="AX113" s="6" t="s">
        <v>148</v>
      </c>
      <c r="AY113" s="6" t="s">
        <v>123</v>
      </c>
      <c r="AZ113" s="10">
        <v>1.9</v>
      </c>
      <c r="BA113" s="6" t="s">
        <v>5</v>
      </c>
      <c r="BB113" s="10">
        <v>14756.4103</v>
      </c>
      <c r="BC113" s="4">
        <v>28037.17957</v>
      </c>
    </row>
    <row r="114" spans="1:55" x14ac:dyDescent="0.35">
      <c r="A114" s="38" t="str">
        <v>STA00170</v>
      </c>
      <c r="B114" s="31" t="str">
        <f t="shared" si="9"/>
        <v>STICKER BUKU MENU</v>
      </c>
      <c r="C114" s="31" t="str">
        <f t="shared" si="10"/>
        <v>STATIONARY AND OFFICE SUPPLIES</v>
      </c>
      <c r="D114" s="31" t="str">
        <f t="shared" si="11"/>
        <v>pcs</v>
      </c>
      <c r="E114" s="40">
        <f t="shared" si="12"/>
        <v>3578.68</v>
      </c>
      <c r="F114" s="48">
        <f t="shared" si="13"/>
        <v>7.5</v>
      </c>
      <c r="G114" s="48" t="str">
        <f t="shared" si="14"/>
        <v>0</v>
      </c>
      <c r="H114" s="48">
        <f t="shared" si="15"/>
        <v>-7.5</v>
      </c>
      <c r="I114" s="40">
        <f t="shared" si="16"/>
        <v>-26840.1</v>
      </c>
      <c r="J114" s="39" t="str">
        <f t="shared" si="17"/>
        <v>Penurunan IU</v>
      </c>
      <c r="K114" s="81" t="s">
        <v>1269</v>
      </c>
      <c r="O114" s="3">
        <v>9</v>
      </c>
      <c r="P114" t="s">
        <v>132</v>
      </c>
      <c r="Q114" t="s">
        <v>133</v>
      </c>
      <c r="R114" t="s">
        <v>123</v>
      </c>
      <c r="S114" s="10">
        <v>225</v>
      </c>
      <c r="T114" t="s">
        <v>134</v>
      </c>
      <c r="U114" s="10">
        <v>13000</v>
      </c>
      <c r="V114" s="4">
        <v>2925000</v>
      </c>
      <c r="X114" s="3" t="s">
        <v>555</v>
      </c>
      <c r="Y114" t="s">
        <v>556</v>
      </c>
      <c r="Z114" t="s">
        <v>192</v>
      </c>
      <c r="AA114" s="10">
        <v>1</v>
      </c>
      <c r="AB114" t="s">
        <v>20</v>
      </c>
      <c r="AC114" s="10">
        <v>34900</v>
      </c>
      <c r="AD114" s="4">
        <v>34900</v>
      </c>
      <c r="AF114" s="20">
        <v>2</v>
      </c>
      <c r="AG114" s="18" t="s">
        <v>176</v>
      </c>
      <c r="AH114" s="18" t="s">
        <v>177</v>
      </c>
      <c r="AI114" s="18" t="s">
        <v>165</v>
      </c>
      <c r="AJ114" s="21">
        <v>4</v>
      </c>
      <c r="AK114" s="18" t="s">
        <v>20</v>
      </c>
      <c r="AL114" s="21">
        <v>11004.578599999999</v>
      </c>
      <c r="AM114" s="19">
        <v>44018.314400000003</v>
      </c>
      <c r="AW114" s="5" t="s">
        <v>421</v>
      </c>
      <c r="AX114" s="6" t="s">
        <v>422</v>
      </c>
      <c r="AY114" s="6" t="s">
        <v>151</v>
      </c>
      <c r="AZ114" s="10">
        <v>10</v>
      </c>
      <c r="BA114" s="6" t="s">
        <v>20</v>
      </c>
      <c r="BB114" s="10">
        <v>49000</v>
      </c>
      <c r="BC114" s="4">
        <v>490000</v>
      </c>
    </row>
    <row r="115" spans="1:55" x14ac:dyDescent="0.35">
      <c r="A115" s="38" t="str">
        <v>KW000025</v>
      </c>
      <c r="B115" s="31" t="str">
        <f t="shared" si="9"/>
        <v>GUNTING DAPUR</v>
      </c>
      <c r="C115" s="31" t="str">
        <f t="shared" si="10"/>
        <v>KITCHENWARE TOOLS</v>
      </c>
      <c r="D115" s="31" t="str">
        <f t="shared" si="11"/>
        <v>pcs</v>
      </c>
      <c r="E115" s="40">
        <f t="shared" si="12"/>
        <v>25672.9</v>
      </c>
      <c r="F115" s="48">
        <f t="shared" si="13"/>
        <v>1</v>
      </c>
      <c r="G115" s="48" t="str">
        <f t="shared" si="14"/>
        <v>0</v>
      </c>
      <c r="H115" s="48">
        <f t="shared" si="15"/>
        <v>-1</v>
      </c>
      <c r="I115" s="40">
        <f t="shared" si="16"/>
        <v>-25672.9</v>
      </c>
      <c r="J115" s="39" t="str">
        <f t="shared" si="17"/>
        <v>Penurunan IU</v>
      </c>
      <c r="K115" s="81" t="s">
        <v>1268</v>
      </c>
      <c r="O115" s="3">
        <v>10</v>
      </c>
      <c r="P115" t="s">
        <v>135</v>
      </c>
      <c r="Q115" t="s">
        <v>136</v>
      </c>
      <c r="R115" t="s">
        <v>123</v>
      </c>
      <c r="S115" s="10">
        <v>21</v>
      </c>
      <c r="T115" t="s">
        <v>5</v>
      </c>
      <c r="U115" s="10">
        <v>5467.1634999999997</v>
      </c>
      <c r="V115" s="4">
        <v>114810.4335</v>
      </c>
      <c r="X115" s="3" t="s">
        <v>333</v>
      </c>
      <c r="Y115" t="s">
        <v>334</v>
      </c>
      <c r="Z115" t="s">
        <v>192</v>
      </c>
      <c r="AA115" s="10">
        <v>123</v>
      </c>
      <c r="AB115" t="s">
        <v>20</v>
      </c>
      <c r="AC115" s="10">
        <v>3666.67</v>
      </c>
      <c r="AD115" s="4">
        <v>451000.41</v>
      </c>
      <c r="AF115" s="20">
        <v>3</v>
      </c>
      <c r="AG115" s="18" t="s">
        <v>433</v>
      </c>
      <c r="AH115" s="18" t="s">
        <v>434</v>
      </c>
      <c r="AI115" s="18" t="s">
        <v>165</v>
      </c>
      <c r="AJ115" s="21">
        <v>1</v>
      </c>
      <c r="AK115" s="18" t="s">
        <v>20</v>
      </c>
      <c r="AL115" s="21">
        <v>8750</v>
      </c>
      <c r="AM115" s="19">
        <v>8750</v>
      </c>
      <c r="AW115" s="5" t="s">
        <v>154</v>
      </c>
      <c r="AX115" s="6" t="s">
        <v>155</v>
      </c>
      <c r="AY115" s="6" t="s">
        <v>151</v>
      </c>
      <c r="AZ115" s="10">
        <v>224</v>
      </c>
      <c r="BA115" s="6" t="s">
        <v>20</v>
      </c>
      <c r="BB115" s="10">
        <v>966.13890000000004</v>
      </c>
      <c r="BC115" s="4">
        <v>216415.11360000001</v>
      </c>
    </row>
    <row r="116" spans="1:55" ht="15" thickBot="1" x14ac:dyDescent="0.4">
      <c r="A116" s="38" t="str">
        <v>KW000044</v>
      </c>
      <c r="B116" s="31" t="str">
        <f t="shared" si="9"/>
        <v>GELAS UKUR 1 L</v>
      </c>
      <c r="C116" s="31" t="str">
        <f t="shared" si="10"/>
        <v>KITCHENWARE TOOLS</v>
      </c>
      <c r="D116" s="31" t="str">
        <f t="shared" si="11"/>
        <v>pcs</v>
      </c>
      <c r="E116" s="40">
        <f t="shared" si="12"/>
        <v>20642.103299999999</v>
      </c>
      <c r="F116" s="48">
        <f t="shared" si="13"/>
        <v>1</v>
      </c>
      <c r="G116" s="48" t="str">
        <f t="shared" si="14"/>
        <v>0</v>
      </c>
      <c r="H116" s="48">
        <f t="shared" si="15"/>
        <v>-1</v>
      </c>
      <c r="I116" s="40">
        <f t="shared" si="16"/>
        <v>-20642.103299999999</v>
      </c>
      <c r="J116" s="39" t="str">
        <f t="shared" si="17"/>
        <v>Penurunan IU</v>
      </c>
      <c r="K116" s="81" t="s">
        <v>1268</v>
      </c>
      <c r="O116" s="3">
        <v>11</v>
      </c>
      <c r="P116" t="s">
        <v>137</v>
      </c>
      <c r="Q116" t="s">
        <v>138</v>
      </c>
      <c r="R116" t="s">
        <v>123</v>
      </c>
      <c r="S116" s="10">
        <v>33</v>
      </c>
      <c r="T116" t="s">
        <v>5</v>
      </c>
      <c r="U116" s="10">
        <v>16072.954900000002</v>
      </c>
      <c r="V116" s="4">
        <v>530407.51170000003</v>
      </c>
      <c r="X116" s="11" t="s">
        <v>557</v>
      </c>
      <c r="Y116" s="12" t="s">
        <v>558</v>
      </c>
      <c r="Z116" s="12" t="s">
        <v>192</v>
      </c>
      <c r="AA116" s="12">
        <v>3</v>
      </c>
      <c r="AB116" s="12" t="s">
        <v>20</v>
      </c>
      <c r="AC116" s="12">
        <v>12235.890000000003</v>
      </c>
      <c r="AD116" s="13">
        <v>36707.67</v>
      </c>
      <c r="AF116" s="20">
        <v>4</v>
      </c>
      <c r="AG116" s="18" t="s">
        <v>650</v>
      </c>
      <c r="AH116" s="18" t="s">
        <v>651</v>
      </c>
      <c r="AI116" s="18" t="s">
        <v>165</v>
      </c>
      <c r="AJ116" s="21">
        <v>3</v>
      </c>
      <c r="AK116" s="18" t="s">
        <v>20</v>
      </c>
      <c r="AL116" s="21">
        <v>7250</v>
      </c>
      <c r="AM116" s="19">
        <v>21750</v>
      </c>
      <c r="AW116" s="5" t="s">
        <v>498</v>
      </c>
      <c r="AX116" s="6" t="s">
        <v>499</v>
      </c>
      <c r="AY116" s="6" t="s">
        <v>151</v>
      </c>
      <c r="AZ116" s="10">
        <v>4</v>
      </c>
      <c r="BA116" s="6" t="s">
        <v>20</v>
      </c>
      <c r="BB116" s="10">
        <v>52200</v>
      </c>
      <c r="BC116" s="4">
        <v>208800</v>
      </c>
    </row>
    <row r="117" spans="1:55" ht="15" thickTop="1" x14ac:dyDescent="0.35">
      <c r="A117" s="38" t="str">
        <v>KW000046</v>
      </c>
      <c r="B117" s="31" t="str">
        <f t="shared" si="9"/>
        <v>SPATULA KAYU / WOODEN SPATULA</v>
      </c>
      <c r="C117" s="31" t="str">
        <f t="shared" si="10"/>
        <v>KITCHENWARE TOOLS</v>
      </c>
      <c r="D117" s="31" t="str">
        <f t="shared" si="11"/>
        <v>pcs</v>
      </c>
      <c r="E117" s="40">
        <f t="shared" si="12"/>
        <v>10500</v>
      </c>
      <c r="F117" s="48">
        <f t="shared" si="13"/>
        <v>2</v>
      </c>
      <c r="G117" s="48" t="str">
        <f t="shared" si="14"/>
        <v>0</v>
      </c>
      <c r="H117" s="48">
        <f t="shared" si="15"/>
        <v>-2</v>
      </c>
      <c r="I117" s="40">
        <f t="shared" si="16"/>
        <v>-21000</v>
      </c>
      <c r="J117" s="39" t="str">
        <f t="shared" si="17"/>
        <v>Penurunan IU</v>
      </c>
      <c r="K117" s="81" t="s">
        <v>1268</v>
      </c>
      <c r="O117" s="3">
        <v>12</v>
      </c>
      <c r="P117" t="s">
        <v>139</v>
      </c>
      <c r="Q117" t="s">
        <v>140</v>
      </c>
      <c r="R117" t="s">
        <v>123</v>
      </c>
      <c r="S117" s="10">
        <v>9</v>
      </c>
      <c r="T117" t="s">
        <v>5</v>
      </c>
      <c r="U117" s="10">
        <v>42247.700700000001</v>
      </c>
      <c r="V117" s="4">
        <v>380229.3063</v>
      </c>
      <c r="AF117" s="20">
        <v>5</v>
      </c>
      <c r="AG117" s="18" t="s">
        <v>294</v>
      </c>
      <c r="AH117" s="18" t="s">
        <v>295</v>
      </c>
      <c r="AI117" s="18" t="s">
        <v>165</v>
      </c>
      <c r="AJ117" s="21">
        <v>2</v>
      </c>
      <c r="AK117" s="18" t="s">
        <v>20</v>
      </c>
      <c r="AL117" s="21">
        <v>16527.600600000002</v>
      </c>
      <c r="AM117" s="19">
        <v>33055.201200000003</v>
      </c>
      <c r="AW117" s="5" t="s">
        <v>156</v>
      </c>
      <c r="AX117" s="6" t="s">
        <v>157</v>
      </c>
      <c r="AY117" s="6" t="s">
        <v>151</v>
      </c>
      <c r="AZ117" s="10">
        <v>50</v>
      </c>
      <c r="BA117" s="6" t="s">
        <v>20</v>
      </c>
      <c r="BB117" s="10">
        <v>2393.1999999999998</v>
      </c>
      <c r="BC117" s="4">
        <v>119660</v>
      </c>
    </row>
    <row r="118" spans="1:55" x14ac:dyDescent="0.35">
      <c r="A118" s="38" t="str">
        <v>KW000049</v>
      </c>
      <c r="B118" s="31" t="str">
        <f t="shared" si="9"/>
        <v>GAS TORCH 8612</v>
      </c>
      <c r="C118" s="31" t="str">
        <f t="shared" si="10"/>
        <v>KITCHENWARE TOOLS</v>
      </c>
      <c r="D118" s="31" t="str">
        <f t="shared" si="11"/>
        <v>pcs</v>
      </c>
      <c r="E118" s="40">
        <f t="shared" si="12"/>
        <v>38599.3796</v>
      </c>
      <c r="F118" s="48">
        <f t="shared" si="13"/>
        <v>8</v>
      </c>
      <c r="G118" s="48" t="str">
        <f t="shared" si="14"/>
        <v>0</v>
      </c>
      <c r="H118" s="48">
        <f t="shared" si="15"/>
        <v>-8</v>
      </c>
      <c r="I118" s="40">
        <f t="shared" si="16"/>
        <v>-308795.0368</v>
      </c>
      <c r="J118" s="39" t="str">
        <f t="shared" si="17"/>
        <v>Penurunan IU</v>
      </c>
      <c r="K118" s="81" t="s">
        <v>1268</v>
      </c>
      <c r="O118" s="3">
        <v>13</v>
      </c>
      <c r="P118" t="s">
        <v>141</v>
      </c>
      <c r="Q118" t="s">
        <v>142</v>
      </c>
      <c r="R118" t="s">
        <v>123</v>
      </c>
      <c r="S118" s="10">
        <v>5</v>
      </c>
      <c r="T118" t="s">
        <v>5</v>
      </c>
      <c r="U118" s="10">
        <v>41886.423499999997</v>
      </c>
      <c r="V118" s="4">
        <v>209432.11749999999</v>
      </c>
      <c r="AF118" s="20">
        <v>6</v>
      </c>
      <c r="AG118" s="18" t="s">
        <v>919</v>
      </c>
      <c r="AH118" s="18" t="s">
        <v>920</v>
      </c>
      <c r="AI118" s="18" t="s">
        <v>165</v>
      </c>
      <c r="AJ118" s="21">
        <v>2</v>
      </c>
      <c r="AK118" s="18" t="s">
        <v>20</v>
      </c>
      <c r="AL118" s="21">
        <v>157500</v>
      </c>
      <c r="AM118" s="19">
        <v>315000</v>
      </c>
      <c r="AW118" s="5" t="s">
        <v>272</v>
      </c>
      <c r="AX118" s="6" t="s">
        <v>273</v>
      </c>
      <c r="AY118" s="6" t="s">
        <v>151</v>
      </c>
      <c r="AZ118" s="10">
        <v>15</v>
      </c>
      <c r="BA118" s="6" t="s">
        <v>5</v>
      </c>
      <c r="BB118" s="10">
        <v>2831.7543999999998</v>
      </c>
      <c r="BC118" s="4">
        <v>42476.315999999999</v>
      </c>
    </row>
    <row r="119" spans="1:55" x14ac:dyDescent="0.35">
      <c r="A119" s="38" t="str">
        <v>KW000054</v>
      </c>
      <c r="B119" s="31" t="str">
        <f t="shared" si="9"/>
        <v>PRAXIS KEEPER 302 10 LITER</v>
      </c>
      <c r="C119" s="31" t="str">
        <f t="shared" si="10"/>
        <v>KITCHENWARE TOOLS</v>
      </c>
      <c r="D119" s="31" t="str">
        <f t="shared" si="11"/>
        <v>pcs</v>
      </c>
      <c r="E119" s="40">
        <f t="shared" si="12"/>
        <v>43575.390599999999</v>
      </c>
      <c r="F119" s="48">
        <f t="shared" si="13"/>
        <v>11</v>
      </c>
      <c r="G119" s="48" t="str">
        <f t="shared" si="14"/>
        <v>0</v>
      </c>
      <c r="H119" s="48">
        <f t="shared" si="15"/>
        <v>-11</v>
      </c>
      <c r="I119" s="40">
        <f t="shared" si="16"/>
        <v>-479329.2966</v>
      </c>
      <c r="J119" s="39" t="str">
        <f t="shared" si="17"/>
        <v>Penurunan IU</v>
      </c>
      <c r="K119" s="81" t="s">
        <v>1268</v>
      </c>
      <c r="O119" s="3">
        <v>14</v>
      </c>
      <c r="P119" t="s">
        <v>143</v>
      </c>
      <c r="Q119" t="s">
        <v>144</v>
      </c>
      <c r="R119" t="s">
        <v>123</v>
      </c>
      <c r="S119" s="10">
        <v>0.5</v>
      </c>
      <c r="T119" t="s">
        <v>5</v>
      </c>
      <c r="U119" s="10">
        <v>43000</v>
      </c>
      <c r="V119" s="4">
        <v>21500</v>
      </c>
      <c r="AF119" s="20">
        <v>7</v>
      </c>
      <c r="AG119" s="18" t="s">
        <v>436</v>
      </c>
      <c r="AH119" s="18" t="s">
        <v>437</v>
      </c>
      <c r="AI119" s="18" t="s">
        <v>165</v>
      </c>
      <c r="AJ119" s="21">
        <v>1</v>
      </c>
      <c r="AK119" s="18" t="s">
        <v>5</v>
      </c>
      <c r="AL119" s="21">
        <v>8000</v>
      </c>
      <c r="AM119" s="19">
        <v>8000</v>
      </c>
      <c r="AW119" s="5" t="s">
        <v>423</v>
      </c>
      <c r="AX119" s="6" t="s">
        <v>424</v>
      </c>
      <c r="AY119" s="6" t="s">
        <v>151</v>
      </c>
      <c r="AZ119" s="10">
        <v>7</v>
      </c>
      <c r="BA119" s="6" t="s">
        <v>20</v>
      </c>
      <c r="BB119" s="10">
        <v>5962.519299999999</v>
      </c>
      <c r="BC119" s="4">
        <v>41737.6351</v>
      </c>
    </row>
    <row r="120" spans="1:55" x14ac:dyDescent="0.35">
      <c r="A120" s="38" t="str">
        <v>KW00088</v>
      </c>
      <c r="B120" s="31" t="str">
        <f t="shared" si="9"/>
        <v>DRAWER ORGANIZER 18X13X4</v>
      </c>
      <c r="C120" s="31" t="str">
        <f t="shared" si="10"/>
        <v>KITCHENWARE TOOLS</v>
      </c>
      <c r="D120" s="31" t="str">
        <f t="shared" si="11"/>
        <v>pcs</v>
      </c>
      <c r="E120" s="40">
        <f t="shared" si="12"/>
        <v>9966.67</v>
      </c>
      <c r="F120" s="48">
        <f t="shared" si="13"/>
        <v>1</v>
      </c>
      <c r="G120" s="48" t="str">
        <f t="shared" si="14"/>
        <v>0</v>
      </c>
      <c r="H120" s="48">
        <f t="shared" si="15"/>
        <v>-1</v>
      </c>
      <c r="I120" s="40">
        <f t="shared" si="16"/>
        <v>-9966.67</v>
      </c>
      <c r="J120" s="39" t="str">
        <f t="shared" si="17"/>
        <v>Penurunan IU</v>
      </c>
      <c r="K120" s="81" t="s">
        <v>1268</v>
      </c>
      <c r="O120" s="3">
        <v>15</v>
      </c>
      <c r="P120" t="s">
        <v>145</v>
      </c>
      <c r="Q120" t="s">
        <v>146</v>
      </c>
      <c r="R120" t="s">
        <v>123</v>
      </c>
      <c r="S120" s="10">
        <v>148.77000000000001</v>
      </c>
      <c r="T120" t="s">
        <v>5</v>
      </c>
      <c r="U120" s="10">
        <v>4604.1441000000004</v>
      </c>
      <c r="V120" s="4">
        <v>684958.51775700005</v>
      </c>
      <c r="AF120" s="20">
        <v>8</v>
      </c>
      <c r="AG120" s="18" t="s">
        <v>184</v>
      </c>
      <c r="AH120" s="18" t="s">
        <v>185</v>
      </c>
      <c r="AI120" s="18" t="s">
        <v>182</v>
      </c>
      <c r="AJ120" s="21">
        <v>4</v>
      </c>
      <c r="AK120" s="18" t="s">
        <v>20</v>
      </c>
      <c r="AL120" s="21">
        <v>1954.48</v>
      </c>
      <c r="AM120" s="19">
        <v>7817.92</v>
      </c>
      <c r="AW120" s="5" t="s">
        <v>501</v>
      </c>
      <c r="AX120" s="6" t="s">
        <v>502</v>
      </c>
      <c r="AY120" s="6" t="s">
        <v>151</v>
      </c>
      <c r="AZ120" s="10">
        <v>6</v>
      </c>
      <c r="BA120" s="6" t="s">
        <v>20</v>
      </c>
      <c r="BB120" s="10">
        <v>5000</v>
      </c>
      <c r="BC120" s="4">
        <v>30000</v>
      </c>
    </row>
    <row r="121" spans="1:55" x14ac:dyDescent="0.35">
      <c r="A121" s="38" t="str">
        <v>KW00097</v>
      </c>
      <c r="B121" s="31" t="str">
        <f t="shared" si="9"/>
        <v>GELAS UKUR 250 ML</v>
      </c>
      <c r="C121" s="31" t="str">
        <f t="shared" si="10"/>
        <v>KITCHENWARE TOOLS</v>
      </c>
      <c r="D121" s="31" t="str">
        <f t="shared" si="11"/>
        <v>pcs</v>
      </c>
      <c r="E121" s="40">
        <f t="shared" si="12"/>
        <v>5680</v>
      </c>
      <c r="F121" s="48">
        <f t="shared" si="13"/>
        <v>1</v>
      </c>
      <c r="G121" s="48" t="str">
        <f t="shared" si="14"/>
        <v>0</v>
      </c>
      <c r="H121" s="48">
        <f t="shared" si="15"/>
        <v>-1</v>
      </c>
      <c r="I121" s="40">
        <f t="shared" si="16"/>
        <v>-5680</v>
      </c>
      <c r="J121" s="39" t="str">
        <f t="shared" si="17"/>
        <v>Penurunan IU</v>
      </c>
      <c r="K121" s="81" t="s">
        <v>1268</v>
      </c>
      <c r="O121" s="3">
        <v>16</v>
      </c>
      <c r="P121" t="s">
        <v>147</v>
      </c>
      <c r="Q121" t="s">
        <v>148</v>
      </c>
      <c r="R121" t="s">
        <v>123</v>
      </c>
      <c r="S121" s="10">
        <v>1.9</v>
      </c>
      <c r="T121" t="s">
        <v>5</v>
      </c>
      <c r="U121" s="10">
        <v>14756.4103</v>
      </c>
      <c r="V121" s="4">
        <v>28037.17957</v>
      </c>
      <c r="AF121" s="20">
        <v>9</v>
      </c>
      <c r="AG121" s="18" t="s">
        <v>187</v>
      </c>
      <c r="AH121" s="18" t="s">
        <v>188</v>
      </c>
      <c r="AI121" s="18" t="s">
        <v>182</v>
      </c>
      <c r="AJ121" s="21">
        <v>4</v>
      </c>
      <c r="AK121" s="18" t="s">
        <v>20</v>
      </c>
      <c r="AL121" s="21">
        <v>3229</v>
      </c>
      <c r="AM121" s="19">
        <v>12916</v>
      </c>
      <c r="AW121" s="5" t="s">
        <v>274</v>
      </c>
      <c r="AX121" s="6" t="s">
        <v>275</v>
      </c>
      <c r="AY121" s="6" t="s">
        <v>151</v>
      </c>
      <c r="AZ121" s="10">
        <v>1</v>
      </c>
      <c r="BA121" s="6" t="s">
        <v>160</v>
      </c>
      <c r="BB121" s="10">
        <v>19500</v>
      </c>
      <c r="BC121" s="4">
        <v>19500</v>
      </c>
    </row>
    <row r="122" spans="1:55" x14ac:dyDescent="0.35">
      <c r="A122" s="38" t="str">
        <v>KW00121</v>
      </c>
      <c r="B122" s="31" t="str">
        <f t="shared" si="9"/>
        <v>DISWASHER APRON</v>
      </c>
      <c r="C122" s="31" t="str">
        <f t="shared" si="10"/>
        <v>KITCHENWARE TOOLS</v>
      </c>
      <c r="D122" s="31" t="str">
        <f t="shared" si="11"/>
        <v>pcs</v>
      </c>
      <c r="E122" s="40">
        <f t="shared" si="12"/>
        <v>54333.333299999998</v>
      </c>
      <c r="F122" s="48">
        <f t="shared" si="13"/>
        <v>2</v>
      </c>
      <c r="G122" s="48" t="str">
        <f t="shared" si="14"/>
        <v>0</v>
      </c>
      <c r="H122" s="48">
        <f t="shared" si="15"/>
        <v>-2</v>
      </c>
      <c r="I122" s="40">
        <f t="shared" si="16"/>
        <v>-108666.6666</v>
      </c>
      <c r="J122" s="39" t="str">
        <f t="shared" si="17"/>
        <v>Penurunan IU</v>
      </c>
      <c r="K122" s="81" t="s">
        <v>1268</v>
      </c>
      <c r="O122" s="3">
        <v>17</v>
      </c>
      <c r="P122" t="s">
        <v>421</v>
      </c>
      <c r="Q122" t="s">
        <v>422</v>
      </c>
      <c r="R122" t="s">
        <v>151</v>
      </c>
      <c r="S122" s="10">
        <v>10</v>
      </c>
      <c r="T122" t="s">
        <v>20</v>
      </c>
      <c r="U122" s="10">
        <v>49000</v>
      </c>
      <c r="V122" s="4">
        <v>490000</v>
      </c>
      <c r="AF122" s="20">
        <v>10</v>
      </c>
      <c r="AG122" s="18" t="s">
        <v>442</v>
      </c>
      <c r="AH122" s="18" t="s">
        <v>443</v>
      </c>
      <c r="AI122" s="18" t="s">
        <v>192</v>
      </c>
      <c r="AJ122" s="18">
        <v>6</v>
      </c>
      <c r="AK122" s="18" t="s">
        <v>20</v>
      </c>
      <c r="AL122" s="18">
        <v>18480</v>
      </c>
      <c r="AM122" s="19">
        <v>110880</v>
      </c>
      <c r="AW122" s="5" t="s">
        <v>158</v>
      </c>
      <c r="AX122" s="6" t="s">
        <v>159</v>
      </c>
      <c r="AY122" s="6" t="s">
        <v>151</v>
      </c>
      <c r="AZ122" s="6">
        <v>13</v>
      </c>
      <c r="BA122" s="6" t="s">
        <v>160</v>
      </c>
      <c r="BB122" s="6">
        <v>11281.264599999999</v>
      </c>
      <c r="BC122" s="4">
        <v>146656.43979999999</v>
      </c>
    </row>
    <row r="123" spans="1:55" ht="15" thickBot="1" x14ac:dyDescent="0.4">
      <c r="A123" s="38" t="str">
        <v>KW00131</v>
      </c>
      <c r="B123" s="31" t="str">
        <f t="shared" si="9"/>
        <v>KITCHEN DIGITAL TIMER</v>
      </c>
      <c r="C123" s="31" t="str">
        <f t="shared" si="10"/>
        <v>KITCHENWARE TOOLS</v>
      </c>
      <c r="D123" s="31" t="str">
        <f t="shared" si="11"/>
        <v>pcs</v>
      </c>
      <c r="E123" s="40">
        <f t="shared" si="12"/>
        <v>21870.7837</v>
      </c>
      <c r="F123" s="48">
        <f t="shared" si="13"/>
        <v>16</v>
      </c>
      <c r="G123" s="48" t="str">
        <f t="shared" si="14"/>
        <v>0</v>
      </c>
      <c r="H123" s="48">
        <f t="shared" si="15"/>
        <v>-16</v>
      </c>
      <c r="I123" s="40">
        <f t="shared" si="16"/>
        <v>-349932.5392</v>
      </c>
      <c r="J123" s="39" t="str">
        <f t="shared" si="17"/>
        <v>Penurunan IU</v>
      </c>
      <c r="K123" s="81" t="s">
        <v>1268</v>
      </c>
      <c r="O123" s="3">
        <v>18</v>
      </c>
      <c r="P123" t="s">
        <v>154</v>
      </c>
      <c r="Q123" t="s">
        <v>155</v>
      </c>
      <c r="R123" t="s">
        <v>151</v>
      </c>
      <c r="S123" s="10">
        <v>224</v>
      </c>
      <c r="T123" t="s">
        <v>20</v>
      </c>
      <c r="U123" s="10">
        <v>966.13890000000004</v>
      </c>
      <c r="V123" s="4">
        <v>216415.11360000001</v>
      </c>
      <c r="AF123" s="22" t="s">
        <v>223</v>
      </c>
      <c r="AG123" s="23" t="s">
        <v>223</v>
      </c>
      <c r="AH123" s="23" t="s">
        <v>223</v>
      </c>
      <c r="AI123" s="23" t="s">
        <v>223</v>
      </c>
      <c r="AJ123" s="23" t="s">
        <v>223</v>
      </c>
      <c r="AK123" s="23" t="s">
        <v>223</v>
      </c>
      <c r="AL123" s="23" t="s">
        <v>224</v>
      </c>
      <c r="AM123" s="24">
        <v>596447.15559999994</v>
      </c>
      <c r="AW123" s="5" t="s">
        <v>505</v>
      </c>
      <c r="AX123" s="6" t="s">
        <v>506</v>
      </c>
      <c r="AY123" s="6" t="s">
        <v>67</v>
      </c>
      <c r="AZ123" s="10">
        <v>2</v>
      </c>
      <c r="BA123" s="6" t="s">
        <v>20</v>
      </c>
      <c r="BB123" s="10">
        <v>12208.333333333334</v>
      </c>
      <c r="BC123" s="4">
        <v>24416.666667000001</v>
      </c>
    </row>
    <row r="124" spans="1:55" x14ac:dyDescent="0.35">
      <c r="A124" s="38" t="str">
        <v>KW00132</v>
      </c>
      <c r="B124" s="31" t="str">
        <f t="shared" si="9"/>
        <v>BOTOL SAUS 16OZ</v>
      </c>
      <c r="C124" s="31" t="str">
        <f t="shared" si="10"/>
        <v>KITCHENWARE TOOLS</v>
      </c>
      <c r="D124" s="31" t="str">
        <f t="shared" si="11"/>
        <v>pcs</v>
      </c>
      <c r="E124" s="40">
        <f t="shared" si="12"/>
        <v>18000</v>
      </c>
      <c r="F124" s="48">
        <f t="shared" si="13"/>
        <v>1</v>
      </c>
      <c r="G124" s="48" t="str">
        <f t="shared" si="14"/>
        <v>0</v>
      </c>
      <c r="H124" s="48">
        <f t="shared" si="15"/>
        <v>-1</v>
      </c>
      <c r="I124" s="40">
        <f t="shared" si="16"/>
        <v>-18000</v>
      </c>
      <c r="J124" s="39" t="str">
        <f t="shared" si="17"/>
        <v>Penurunan IU</v>
      </c>
      <c r="K124" s="81" t="s">
        <v>1268</v>
      </c>
      <c r="O124" s="3">
        <v>19</v>
      </c>
      <c r="P124" t="s">
        <v>498</v>
      </c>
      <c r="Q124" t="s">
        <v>499</v>
      </c>
      <c r="R124" t="s">
        <v>151</v>
      </c>
      <c r="S124" s="10">
        <v>4</v>
      </c>
      <c r="T124" t="s">
        <v>20</v>
      </c>
      <c r="U124" s="10">
        <v>52200</v>
      </c>
      <c r="V124" s="4">
        <v>208800</v>
      </c>
      <c r="AW124" s="5" t="s">
        <v>70</v>
      </c>
      <c r="AX124" s="6" t="s">
        <v>71</v>
      </c>
      <c r="AY124" s="6" t="s">
        <v>67</v>
      </c>
      <c r="AZ124" s="10">
        <v>1</v>
      </c>
      <c r="BA124" s="6" t="s">
        <v>5</v>
      </c>
      <c r="BB124" s="10">
        <v>9000</v>
      </c>
      <c r="BC124" s="4">
        <v>9000</v>
      </c>
    </row>
    <row r="125" spans="1:55" x14ac:dyDescent="0.35">
      <c r="A125" s="38" t="str">
        <v>KW00138</v>
      </c>
      <c r="B125" s="31" t="str">
        <f t="shared" si="9"/>
        <v>BOTOL BUMBU TUTUP BUNGA</v>
      </c>
      <c r="C125" s="31" t="str">
        <f t="shared" si="10"/>
        <v>KITCHENWARE TOOLS</v>
      </c>
      <c r="D125" s="31" t="str">
        <f t="shared" si="11"/>
        <v>pcs</v>
      </c>
      <c r="E125" s="40">
        <f t="shared" si="12"/>
        <v>17483.975399999999</v>
      </c>
      <c r="F125" s="48">
        <f t="shared" si="13"/>
        <v>1</v>
      </c>
      <c r="G125" s="48" t="str">
        <f t="shared" si="14"/>
        <v>0</v>
      </c>
      <c r="H125" s="48">
        <f t="shared" si="15"/>
        <v>-1</v>
      </c>
      <c r="I125" s="40">
        <f t="shared" si="16"/>
        <v>-17483.975399999999</v>
      </c>
      <c r="J125" s="39" t="str">
        <f t="shared" si="17"/>
        <v>Penurunan IU</v>
      </c>
      <c r="K125" s="81" t="s">
        <v>1268</v>
      </c>
      <c r="O125" s="3">
        <v>20</v>
      </c>
      <c r="P125" t="s">
        <v>156</v>
      </c>
      <c r="Q125" t="s">
        <v>157</v>
      </c>
      <c r="R125" t="s">
        <v>151</v>
      </c>
      <c r="S125" s="10">
        <v>50</v>
      </c>
      <c r="T125" t="s">
        <v>20</v>
      </c>
      <c r="U125" s="10">
        <v>2393.1999999999998</v>
      </c>
      <c r="V125" s="4">
        <v>119660</v>
      </c>
      <c r="AW125" s="5" t="s">
        <v>230</v>
      </c>
      <c r="AX125" s="6" t="s">
        <v>231</v>
      </c>
      <c r="AY125" s="6" t="s">
        <v>67</v>
      </c>
      <c r="AZ125" s="10">
        <v>5</v>
      </c>
      <c r="BA125" s="6" t="s">
        <v>5</v>
      </c>
      <c r="BB125" s="10">
        <v>9000</v>
      </c>
      <c r="BC125" s="4">
        <v>45000</v>
      </c>
    </row>
    <row r="126" spans="1:55" x14ac:dyDescent="0.35">
      <c r="A126" s="38" t="str">
        <v>KW00158</v>
      </c>
      <c r="B126" s="31" t="str">
        <f t="shared" si="9"/>
        <v>CENTONG STAINLESS</v>
      </c>
      <c r="C126" s="31" t="str">
        <f t="shared" si="10"/>
        <v>KITCHENWARE TOOLS</v>
      </c>
      <c r="D126" s="31" t="str">
        <f t="shared" si="11"/>
        <v>pcs</v>
      </c>
      <c r="E126" s="40">
        <f t="shared" si="12"/>
        <v>22153.85</v>
      </c>
      <c r="F126" s="48">
        <f t="shared" si="13"/>
        <v>1</v>
      </c>
      <c r="G126" s="48" t="str">
        <f t="shared" si="14"/>
        <v>0</v>
      </c>
      <c r="H126" s="48">
        <f t="shared" si="15"/>
        <v>-1</v>
      </c>
      <c r="I126" s="40">
        <f t="shared" si="16"/>
        <v>-22153.85</v>
      </c>
      <c r="J126" s="39" t="str">
        <f t="shared" si="17"/>
        <v>Penurunan IU</v>
      </c>
      <c r="K126" s="81" t="s">
        <v>1268</v>
      </c>
      <c r="O126" s="3">
        <v>21</v>
      </c>
      <c r="P126" t="s">
        <v>272</v>
      </c>
      <c r="Q126" t="s">
        <v>273</v>
      </c>
      <c r="R126" t="s">
        <v>151</v>
      </c>
      <c r="S126" s="10">
        <v>15</v>
      </c>
      <c r="T126" t="s">
        <v>5</v>
      </c>
      <c r="U126" s="10">
        <v>2831.7543999999998</v>
      </c>
      <c r="V126" s="4">
        <v>42476.315999999999</v>
      </c>
      <c r="AW126" s="5" t="s">
        <v>507</v>
      </c>
      <c r="AX126" s="6" t="s">
        <v>508</v>
      </c>
      <c r="AY126" s="6" t="s">
        <v>67</v>
      </c>
      <c r="AZ126" s="10">
        <v>2</v>
      </c>
      <c r="BA126" s="6" t="s">
        <v>5</v>
      </c>
      <c r="BB126" s="10">
        <v>6250</v>
      </c>
      <c r="BC126" s="4">
        <v>12500</v>
      </c>
    </row>
    <row r="127" spans="1:55" x14ac:dyDescent="0.35">
      <c r="A127" s="38" t="str">
        <v>KW00317</v>
      </c>
      <c r="B127" s="31" t="str">
        <f t="shared" si="9"/>
        <v>SPATULA SILIKON - ABU</v>
      </c>
      <c r="C127" s="31" t="str">
        <f t="shared" si="10"/>
        <v>KITCHENWARE TOOLS</v>
      </c>
      <c r="D127" s="31" t="str">
        <f t="shared" si="11"/>
        <v>pcs</v>
      </c>
      <c r="E127" s="40">
        <f t="shared" si="12"/>
        <v>15250</v>
      </c>
      <c r="F127" s="48">
        <f t="shared" si="13"/>
        <v>10</v>
      </c>
      <c r="G127" s="48" t="str">
        <f t="shared" si="14"/>
        <v>0</v>
      </c>
      <c r="H127" s="48">
        <f t="shared" si="15"/>
        <v>-10</v>
      </c>
      <c r="I127" s="40">
        <f t="shared" si="16"/>
        <v>-152500</v>
      </c>
      <c r="J127" s="39" t="str">
        <f t="shared" si="17"/>
        <v>Penurunan IU</v>
      </c>
      <c r="K127" s="81" t="s">
        <v>1268</v>
      </c>
      <c r="O127" s="3">
        <v>22</v>
      </c>
      <c r="P127" t="s">
        <v>423</v>
      </c>
      <c r="Q127" t="s">
        <v>424</v>
      </c>
      <c r="R127" t="s">
        <v>151</v>
      </c>
      <c r="S127" s="10">
        <v>7</v>
      </c>
      <c r="T127" t="s">
        <v>20</v>
      </c>
      <c r="U127" s="10">
        <v>5962.519299999999</v>
      </c>
      <c r="V127" s="4">
        <v>41737.6351</v>
      </c>
      <c r="AW127" s="5" t="s">
        <v>509</v>
      </c>
      <c r="AX127" s="6" t="s">
        <v>510</v>
      </c>
      <c r="AY127" s="6" t="s">
        <v>67</v>
      </c>
      <c r="AZ127" s="10">
        <v>2</v>
      </c>
      <c r="BA127" s="6" t="s">
        <v>5</v>
      </c>
      <c r="BB127" s="10">
        <v>6250</v>
      </c>
      <c r="BC127" s="4">
        <v>12500</v>
      </c>
    </row>
    <row r="128" spans="1:55" x14ac:dyDescent="0.35">
      <c r="A128" s="38" t="str">
        <v>KW00322</v>
      </c>
      <c r="B128" s="31" t="str">
        <f t="shared" si="9"/>
        <v>PEMATIK GAS</v>
      </c>
      <c r="C128" s="31" t="str">
        <f t="shared" si="10"/>
        <v>KITCHENWARE TOOLS</v>
      </c>
      <c r="D128" s="31" t="str">
        <f t="shared" si="11"/>
        <v>pcs</v>
      </c>
      <c r="E128" s="40">
        <f t="shared" si="12"/>
        <v>19104.577099999999</v>
      </c>
      <c r="F128" s="48">
        <f t="shared" si="13"/>
        <v>3</v>
      </c>
      <c r="G128" s="48" t="str">
        <f t="shared" si="14"/>
        <v>0</v>
      </c>
      <c r="H128" s="48">
        <f t="shared" si="15"/>
        <v>-3</v>
      </c>
      <c r="I128" s="40">
        <f t="shared" si="16"/>
        <v>-57313.731299999999</v>
      </c>
      <c r="J128" s="39" t="str">
        <f t="shared" si="17"/>
        <v>Penurunan IU</v>
      </c>
      <c r="K128" s="81" t="s">
        <v>1268</v>
      </c>
      <c r="O128" s="3">
        <v>23</v>
      </c>
      <c r="P128" t="s">
        <v>501</v>
      </c>
      <c r="Q128" t="s">
        <v>502</v>
      </c>
      <c r="R128" t="s">
        <v>151</v>
      </c>
      <c r="S128" s="10">
        <v>6</v>
      </c>
      <c r="T128" t="s">
        <v>20</v>
      </c>
      <c r="U128" s="10">
        <v>5000</v>
      </c>
      <c r="V128" s="4">
        <v>30000</v>
      </c>
      <c r="AW128" s="5" t="s">
        <v>232</v>
      </c>
      <c r="AX128" s="6" t="s">
        <v>233</v>
      </c>
      <c r="AY128" s="6" t="s">
        <v>67</v>
      </c>
      <c r="AZ128" s="10">
        <v>2</v>
      </c>
      <c r="BA128" s="6" t="s">
        <v>20</v>
      </c>
      <c r="BB128" s="10">
        <v>6430</v>
      </c>
      <c r="BC128" s="4">
        <v>12860</v>
      </c>
    </row>
    <row r="129" spans="1:55" x14ac:dyDescent="0.35">
      <c r="A129" s="38" t="str">
        <v>TCT00007</v>
      </c>
      <c r="B129" s="31" t="str">
        <f t="shared" si="9"/>
        <v>TEKO STAINLESS EMAS + FILTER TEH 1 L</v>
      </c>
      <c r="C129" s="31" t="str">
        <f t="shared" si="10"/>
        <v>CUTELERIES</v>
      </c>
      <c r="D129" s="31" t="str">
        <f t="shared" si="11"/>
        <v>pcs</v>
      </c>
      <c r="E129" s="40">
        <f t="shared" si="12"/>
        <v>43756.2</v>
      </c>
      <c r="F129" s="48">
        <f t="shared" si="13"/>
        <v>1</v>
      </c>
      <c r="G129" s="48" t="str">
        <f t="shared" si="14"/>
        <v>0</v>
      </c>
      <c r="H129" s="48">
        <f t="shared" si="15"/>
        <v>-1</v>
      </c>
      <c r="I129" s="40">
        <f t="shared" si="16"/>
        <v>-43756.2</v>
      </c>
      <c r="J129" s="39" t="str">
        <f t="shared" si="17"/>
        <v>Penurunan IU</v>
      </c>
      <c r="K129" s="81" t="s">
        <v>1268</v>
      </c>
      <c r="O129" s="3">
        <v>24</v>
      </c>
      <c r="P129" t="s">
        <v>274</v>
      </c>
      <c r="Q129" t="s">
        <v>275</v>
      </c>
      <c r="R129" t="s">
        <v>151</v>
      </c>
      <c r="S129" s="10">
        <v>1</v>
      </c>
      <c r="T129" t="s">
        <v>160</v>
      </c>
      <c r="U129" s="10">
        <v>19500</v>
      </c>
      <c r="V129" s="4">
        <v>19500</v>
      </c>
      <c r="AW129" s="5" t="s">
        <v>388</v>
      </c>
      <c r="AX129" s="6" t="s">
        <v>389</v>
      </c>
      <c r="AY129" s="6" t="s">
        <v>67</v>
      </c>
      <c r="AZ129" s="10">
        <v>22</v>
      </c>
      <c r="BA129" s="6" t="s">
        <v>20</v>
      </c>
      <c r="BB129" s="10">
        <v>2639</v>
      </c>
      <c r="BC129" s="4">
        <v>58058</v>
      </c>
    </row>
    <row r="130" spans="1:55" x14ac:dyDescent="0.35">
      <c r="A130" s="38" t="str">
        <v>TCT00009</v>
      </c>
      <c r="B130" s="31" t="str">
        <f t="shared" si="9"/>
        <v>GARPU KOREA STAINLES SUJEO SUS 304</v>
      </c>
      <c r="C130" s="31" t="str">
        <f t="shared" si="10"/>
        <v>CUTELERIES</v>
      </c>
      <c r="D130" s="31" t="str">
        <f t="shared" si="11"/>
        <v>pcs</v>
      </c>
      <c r="E130" s="40">
        <f t="shared" si="12"/>
        <v>3229</v>
      </c>
      <c r="F130" s="48">
        <f t="shared" si="13"/>
        <v>1</v>
      </c>
      <c r="G130" s="48" t="str">
        <f t="shared" si="14"/>
        <v>0</v>
      </c>
      <c r="H130" s="48">
        <f t="shared" si="15"/>
        <v>-1</v>
      </c>
      <c r="I130" s="40">
        <f t="shared" si="16"/>
        <v>-3229</v>
      </c>
      <c r="J130" s="39" t="str">
        <f t="shared" si="17"/>
        <v>Penurunan IU</v>
      </c>
      <c r="K130" s="81" t="s">
        <v>1268</v>
      </c>
      <c r="O130" s="3">
        <v>25</v>
      </c>
      <c r="P130" t="s">
        <v>158</v>
      </c>
      <c r="Q130" t="s">
        <v>159</v>
      </c>
      <c r="R130" t="s">
        <v>151</v>
      </c>
      <c r="S130">
        <v>13</v>
      </c>
      <c r="T130" t="s">
        <v>160</v>
      </c>
      <c r="U130">
        <v>11281.264599999999</v>
      </c>
      <c r="V130" s="4">
        <v>146656.43979999999</v>
      </c>
      <c r="AW130" s="5" t="s">
        <v>72</v>
      </c>
      <c r="AX130" s="6" t="s">
        <v>73</v>
      </c>
      <c r="AY130" s="6" t="s">
        <v>67</v>
      </c>
      <c r="AZ130" s="10">
        <v>16</v>
      </c>
      <c r="BA130" s="6" t="s">
        <v>74</v>
      </c>
      <c r="BB130" s="10">
        <v>3073.1077</v>
      </c>
      <c r="BC130" s="4">
        <v>49169.7232</v>
      </c>
    </row>
    <row r="131" spans="1:55" ht="15" thickBot="1" x14ac:dyDescent="0.4">
      <c r="A131" s="38" t="str">
        <v>TCT00020</v>
      </c>
      <c r="B131" s="31" t="str">
        <f t="shared" si="9"/>
        <v>TEKO SILVER STAINLESS 1.8 L</v>
      </c>
      <c r="C131" s="31" t="str">
        <f t="shared" si="10"/>
        <v>CUTELERIES</v>
      </c>
      <c r="D131" s="31" t="str">
        <f t="shared" si="11"/>
        <v>pcs</v>
      </c>
      <c r="E131" s="40">
        <f t="shared" si="12"/>
        <v>49511.1</v>
      </c>
      <c r="F131" s="48">
        <f t="shared" si="13"/>
        <v>1</v>
      </c>
      <c r="G131" s="48" t="str">
        <f t="shared" si="14"/>
        <v>0</v>
      </c>
      <c r="H131" s="48">
        <f t="shared" si="15"/>
        <v>-1</v>
      </c>
      <c r="I131" s="40">
        <f t="shared" si="16"/>
        <v>-49511.1</v>
      </c>
      <c r="J131" s="39" t="str">
        <f t="shared" si="17"/>
        <v>Penurunan IU</v>
      </c>
      <c r="K131" s="81" t="s">
        <v>1268</v>
      </c>
      <c r="O131" s="11" t="s">
        <v>223</v>
      </c>
      <c r="P131" s="12" t="s">
        <v>223</v>
      </c>
      <c r="Q131" s="12" t="s">
        <v>223</v>
      </c>
      <c r="R131" s="12" t="s">
        <v>223</v>
      </c>
      <c r="S131" s="12" t="s">
        <v>223</v>
      </c>
      <c r="T131" s="12" t="s">
        <v>223</v>
      </c>
      <c r="U131" s="12" t="s">
        <v>224</v>
      </c>
      <c r="V131" s="13">
        <v>8185980.3976629991</v>
      </c>
      <c r="AW131" s="5" t="s">
        <v>77</v>
      </c>
      <c r="AX131" s="6" t="s">
        <v>78</v>
      </c>
      <c r="AY131" s="6" t="s">
        <v>67</v>
      </c>
      <c r="AZ131" s="10">
        <v>1</v>
      </c>
      <c r="BA131" s="6" t="s">
        <v>20</v>
      </c>
      <c r="BB131" s="10">
        <v>6500</v>
      </c>
      <c r="BC131" s="4">
        <v>6500</v>
      </c>
    </row>
    <row r="132" spans="1:55" ht="15.5" thickTop="1" thickBot="1" x14ac:dyDescent="0.4">
      <c r="A132" s="38" t="str">
        <v>TCT00022</v>
      </c>
      <c r="B132" s="31" t="str">
        <f t="shared" si="9"/>
        <v>SHARING PLATE  STAINLESS 12 CM</v>
      </c>
      <c r="C132" s="31" t="str">
        <f t="shared" si="10"/>
        <v>CUTELERIES</v>
      </c>
      <c r="D132" s="31" t="str">
        <f t="shared" si="11"/>
        <v>pcs</v>
      </c>
      <c r="E132" s="40">
        <f t="shared" si="12"/>
        <v>21120</v>
      </c>
      <c r="F132" s="48">
        <f t="shared" si="13"/>
        <v>1</v>
      </c>
      <c r="G132" s="48" t="str">
        <f t="shared" si="14"/>
        <v>0</v>
      </c>
      <c r="H132" s="48">
        <f t="shared" si="15"/>
        <v>-1</v>
      </c>
      <c r="I132" s="40">
        <f t="shared" si="16"/>
        <v>-21120</v>
      </c>
      <c r="J132" s="39" t="str">
        <f t="shared" si="17"/>
        <v>Penurunan IU</v>
      </c>
      <c r="K132" s="81" t="s">
        <v>1268</v>
      </c>
      <c r="AW132" s="5" t="s">
        <v>79</v>
      </c>
      <c r="AX132" s="6" t="s">
        <v>80</v>
      </c>
      <c r="AY132" s="6" t="s">
        <v>67</v>
      </c>
      <c r="AZ132" s="10">
        <v>2</v>
      </c>
      <c r="BA132" s="6" t="s">
        <v>20</v>
      </c>
      <c r="BB132" s="10">
        <v>15000</v>
      </c>
      <c r="BC132" s="4">
        <v>30000</v>
      </c>
    </row>
    <row r="133" spans="1:55" ht="15" thickTop="1" x14ac:dyDescent="0.35">
      <c r="A133" s="38" t="str">
        <v>TGW00001</v>
      </c>
      <c r="B133" s="31" t="str">
        <f t="shared" si="9"/>
        <v>SAUCER KIMCHI MANGKOK SAUS KECIL 9 CM SC1001</v>
      </c>
      <c r="C133" s="31" t="str">
        <f t="shared" si="10"/>
        <v>TABLEWARE</v>
      </c>
      <c r="D133" s="31" t="str">
        <f t="shared" si="11"/>
        <v>pcs</v>
      </c>
      <c r="E133" s="40">
        <f t="shared" si="12"/>
        <v>8750</v>
      </c>
      <c r="F133" s="48">
        <f t="shared" si="13"/>
        <v>8</v>
      </c>
      <c r="G133" s="48" t="str">
        <f t="shared" si="14"/>
        <v>0</v>
      </c>
      <c r="H133" s="48">
        <f t="shared" si="15"/>
        <v>-8</v>
      </c>
      <c r="I133" s="40">
        <f t="shared" si="16"/>
        <v>-70000</v>
      </c>
      <c r="J133" s="39" t="str">
        <f t="shared" si="17"/>
        <v>Penurunan IU</v>
      </c>
      <c r="K133" s="81" t="s">
        <v>1268</v>
      </c>
      <c r="O133" s="88" t="s">
        <v>0</v>
      </c>
      <c r="P133" s="89"/>
      <c r="Q133" s="89"/>
      <c r="R133" s="89"/>
      <c r="S133" s="89"/>
      <c r="T133" s="1"/>
      <c r="U133" s="1"/>
      <c r="V133" s="2"/>
      <c r="AW133" s="5" t="s">
        <v>325</v>
      </c>
      <c r="AX133" s="6" t="s">
        <v>326</v>
      </c>
      <c r="AY133" s="6" t="s">
        <v>67</v>
      </c>
      <c r="AZ133" s="10">
        <v>2</v>
      </c>
      <c r="BA133" s="6" t="s">
        <v>5</v>
      </c>
      <c r="BB133" s="10">
        <v>46500</v>
      </c>
      <c r="BC133" s="4">
        <v>93000</v>
      </c>
    </row>
    <row r="134" spans="1:55" x14ac:dyDescent="0.35">
      <c r="A134" s="38" t="str">
        <v>TGW00003</v>
      </c>
      <c r="B134" s="31" t="str">
        <f t="shared" si="9"/>
        <v>MANGKOK KERAMIK/ KOREAN CERAMIK BOWL 14 CM</v>
      </c>
      <c r="C134" s="31" t="str">
        <f t="shared" si="10"/>
        <v>TABLEWARE</v>
      </c>
      <c r="D134" s="31" t="str">
        <f t="shared" si="11"/>
        <v>pcs</v>
      </c>
      <c r="E134" s="40">
        <f t="shared" si="12"/>
        <v>138738.7334</v>
      </c>
      <c r="F134" s="48">
        <f t="shared" si="13"/>
        <v>2</v>
      </c>
      <c r="G134" s="48" t="str">
        <f t="shared" si="14"/>
        <v>0</v>
      </c>
      <c r="H134" s="48">
        <f t="shared" si="15"/>
        <v>-2</v>
      </c>
      <c r="I134" s="40">
        <f t="shared" si="16"/>
        <v>-277477.46679999999</v>
      </c>
      <c r="J134" s="39" t="str">
        <f t="shared" si="17"/>
        <v>Penurunan IU</v>
      </c>
      <c r="K134" s="81" t="s">
        <v>1268</v>
      </c>
      <c r="O134" s="86" t="s">
        <v>1</v>
      </c>
      <c r="P134" s="87"/>
      <c r="Q134" s="87"/>
      <c r="R134" s="87"/>
      <c r="S134" s="87"/>
      <c r="V134" s="4"/>
      <c r="AW134" s="5" t="s">
        <v>512</v>
      </c>
      <c r="AX134" s="6" t="s">
        <v>513</v>
      </c>
      <c r="AY134" s="6" t="s">
        <v>67</v>
      </c>
      <c r="AZ134" s="10">
        <v>2</v>
      </c>
      <c r="BA134" s="6" t="s">
        <v>486</v>
      </c>
      <c r="BB134" s="10">
        <v>31500</v>
      </c>
      <c r="BC134" s="4">
        <v>63000</v>
      </c>
    </row>
    <row r="135" spans="1:55" x14ac:dyDescent="0.35">
      <c r="A135" s="38" t="str">
        <v>TGW00010</v>
      </c>
      <c r="B135" s="31" t="str">
        <f t="shared" ref="B135:B137" si="18">_xlfn.XLOOKUP(A135, AW$2:AW$500, AX$2:AX$500, "", 0)</f>
        <v>TEMPAT SAMBAL ACRYLIC - BESAR</v>
      </c>
      <c r="C135" s="31" t="str">
        <f t="shared" ref="C135:C136" si="19">_xlfn.XLOOKUP(A135, AW$2:AW$500, AY$2:AY$500, "", 0)</f>
        <v>TABLEWARE</v>
      </c>
      <c r="D135" s="31" t="str">
        <f t="shared" ref="D135:D137" si="20">_xlfn.XLOOKUP(A135, AW$2:AW$500, BA$2:BA$500, "", 0)</f>
        <v>pcs</v>
      </c>
      <c r="E135" s="40">
        <f t="shared" ref="E135:E137" si="21">_xlfn.XLOOKUP(A135, AW$2:AW$500, BB$2:BB$500, "", 0)</f>
        <v>34900</v>
      </c>
      <c r="F135" s="48">
        <f t="shared" ref="F135:F137" si="22">_xlfn.XLOOKUP(A135, X$3:X$500, AA$3:AA$500, "0", 0)</f>
        <v>1</v>
      </c>
      <c r="G135" s="48" t="str">
        <f t="shared" ref="G135:G137" si="23">_xlfn.XLOOKUP(A135, AO$2:AO$500, AR$2:AR$500, "0", 0)</f>
        <v>0</v>
      </c>
      <c r="H135" s="48">
        <f t="shared" ref="H135:H137" si="24">G135-F135</f>
        <v>-1</v>
      </c>
      <c r="I135" s="40">
        <f t="shared" ref="I135:I137" si="25">H135*E135</f>
        <v>-34900</v>
      </c>
      <c r="J135" s="39" t="str">
        <f t="shared" ref="J135:J137" si="26">CHOOSE(SIGN(G135 - F135) + 2, "Penurunan IU", "Tidak Ada Perubahan", "Kenaikan IU")</f>
        <v>Penurunan IU</v>
      </c>
      <c r="K135" s="81" t="s">
        <v>1268</v>
      </c>
      <c r="O135" s="3"/>
      <c r="V135" s="4"/>
      <c r="AW135" s="5" t="s">
        <v>484</v>
      </c>
      <c r="AX135" s="6" t="s">
        <v>485</v>
      </c>
      <c r="AY135" s="6" t="s">
        <v>67</v>
      </c>
      <c r="AZ135" s="10">
        <v>2</v>
      </c>
      <c r="BA135" s="6" t="s">
        <v>486</v>
      </c>
      <c r="BB135" s="10">
        <v>8500</v>
      </c>
      <c r="BC135" s="4">
        <v>17000</v>
      </c>
    </row>
    <row r="136" spans="1:55" x14ac:dyDescent="0.35">
      <c r="A136" s="38" t="str">
        <v>TGW00012</v>
      </c>
      <c r="B136" s="31" t="str">
        <f t="shared" si="18"/>
        <v>SAUCER SAUCE MANGKUK SAUS P3</v>
      </c>
      <c r="C136" s="31" t="str">
        <f t="shared" si="19"/>
        <v>TABLEWARE</v>
      </c>
      <c r="D136" s="31" t="str">
        <f t="shared" si="20"/>
        <v>pcs</v>
      </c>
      <c r="E136" s="40">
        <f t="shared" si="21"/>
        <v>3666.67</v>
      </c>
      <c r="F136" s="48">
        <f t="shared" si="22"/>
        <v>123</v>
      </c>
      <c r="G136" s="48" t="str">
        <f t="shared" si="23"/>
        <v>0</v>
      </c>
      <c r="H136" s="48">
        <f t="shared" si="24"/>
        <v>-123</v>
      </c>
      <c r="I136" s="40">
        <f t="shared" si="25"/>
        <v>-451000.41000000003</v>
      </c>
      <c r="J136" s="39" t="str">
        <f t="shared" si="26"/>
        <v>Penurunan IU</v>
      </c>
      <c r="K136" s="81" t="s">
        <v>1268</v>
      </c>
      <c r="O136" s="86" t="s">
        <v>10</v>
      </c>
      <c r="P136" s="87" t="s">
        <v>11</v>
      </c>
      <c r="Q136" t="s">
        <v>559</v>
      </c>
      <c r="V136" s="4"/>
      <c r="AW136" s="5" t="s">
        <v>81</v>
      </c>
      <c r="AX136" s="6" t="s">
        <v>82</v>
      </c>
      <c r="AY136" s="6" t="s">
        <v>67</v>
      </c>
      <c r="AZ136" s="10">
        <v>2</v>
      </c>
      <c r="BA136" s="6" t="s">
        <v>20</v>
      </c>
      <c r="BB136" s="10">
        <v>9750</v>
      </c>
      <c r="BC136" s="4">
        <v>19500</v>
      </c>
    </row>
    <row r="137" spans="1:55" ht="15" thickBot="1" x14ac:dyDescent="0.4">
      <c r="A137" s="43" t="str">
        <v>TWCK0008</v>
      </c>
      <c r="B137" s="32" t="str">
        <f t="shared" si="18"/>
        <v>GELAS STAINLESS ROSH 7.5 X 10 CM (BERSALUR)</v>
      </c>
      <c r="C137" s="32" t="str">
        <f>_xlfn.XLOOKUP(A137, AW$2:AW$500, AY$2:AY$500, "", 0)</f>
        <v>TABLEWARE</v>
      </c>
      <c r="D137" s="32" t="str">
        <f t="shared" si="20"/>
        <v>pcs</v>
      </c>
      <c r="E137" s="52">
        <f t="shared" si="21"/>
        <v>12235.890000000003</v>
      </c>
      <c r="F137" s="51">
        <f t="shared" si="22"/>
        <v>3</v>
      </c>
      <c r="G137" s="51" t="str">
        <f t="shared" si="23"/>
        <v>0</v>
      </c>
      <c r="H137" s="51">
        <f t="shared" si="24"/>
        <v>-3</v>
      </c>
      <c r="I137" s="52">
        <f t="shared" si="25"/>
        <v>-36707.670000000013</v>
      </c>
      <c r="J137" s="39" t="str">
        <f t="shared" si="26"/>
        <v>Penurunan IU</v>
      </c>
      <c r="K137" s="81" t="s">
        <v>1268</v>
      </c>
      <c r="O137" s="86" t="s">
        <v>16</v>
      </c>
      <c r="P137" s="87" t="s">
        <v>11</v>
      </c>
      <c r="Q137" t="s">
        <v>17</v>
      </c>
      <c r="V137" s="4"/>
      <c r="AW137" s="5" t="s">
        <v>357</v>
      </c>
      <c r="AX137" s="6" t="s">
        <v>358</v>
      </c>
      <c r="AY137" s="6" t="s">
        <v>67</v>
      </c>
      <c r="AZ137" s="10">
        <v>0.5</v>
      </c>
      <c r="BA137" s="6" t="s">
        <v>5</v>
      </c>
      <c r="BB137" s="10">
        <v>31592.592599999996</v>
      </c>
      <c r="BC137" s="4">
        <v>15796.2963</v>
      </c>
    </row>
    <row r="138" spans="1:55" ht="15" thickTop="1" x14ac:dyDescent="0.35">
      <c r="O138" s="86" t="s">
        <v>21</v>
      </c>
      <c r="P138" s="87" t="s">
        <v>11</v>
      </c>
      <c r="Q138" t="s">
        <v>482</v>
      </c>
      <c r="V138" s="4"/>
      <c r="AW138" s="5" t="s">
        <v>83</v>
      </c>
      <c r="AX138" s="6" t="s">
        <v>84</v>
      </c>
      <c r="AY138" s="6" t="s">
        <v>67</v>
      </c>
      <c r="AZ138" s="10">
        <v>2</v>
      </c>
      <c r="BA138" s="6" t="s">
        <v>20</v>
      </c>
      <c r="BB138" s="10">
        <v>7250</v>
      </c>
      <c r="BC138" s="4">
        <v>14500</v>
      </c>
    </row>
    <row r="139" spans="1:55" x14ac:dyDescent="0.35">
      <c r="O139" s="86" t="s">
        <v>26</v>
      </c>
      <c r="P139" s="87" t="s">
        <v>11</v>
      </c>
      <c r="Q139" t="s">
        <v>560</v>
      </c>
      <c r="V139" s="4"/>
      <c r="AW139" s="5" t="s">
        <v>242</v>
      </c>
      <c r="AX139" s="6" t="s">
        <v>243</v>
      </c>
      <c r="AY139" s="6" t="s">
        <v>67</v>
      </c>
      <c r="AZ139" s="10">
        <v>2.2999999999999998</v>
      </c>
      <c r="BA139" s="6" t="s">
        <v>87</v>
      </c>
      <c r="BB139" s="10">
        <v>14500</v>
      </c>
      <c r="BC139" s="4">
        <v>33350</v>
      </c>
    </row>
    <row r="140" spans="1:55" x14ac:dyDescent="0.35">
      <c r="O140" s="86" t="s">
        <v>31</v>
      </c>
      <c r="P140" s="87" t="s">
        <v>11</v>
      </c>
      <c r="Q140" t="s">
        <v>109</v>
      </c>
      <c r="V140" s="4"/>
      <c r="AW140" s="5" t="s">
        <v>246</v>
      </c>
      <c r="AX140" s="6" t="s">
        <v>247</v>
      </c>
      <c r="AY140" s="6" t="s">
        <v>67</v>
      </c>
      <c r="AZ140" s="10">
        <v>2</v>
      </c>
      <c r="BA140" s="6" t="s">
        <v>5</v>
      </c>
      <c r="BB140" s="10">
        <v>1400</v>
      </c>
      <c r="BC140" s="4">
        <v>2800</v>
      </c>
    </row>
    <row r="141" spans="1:55" x14ac:dyDescent="0.35">
      <c r="O141" s="86" t="s">
        <v>35</v>
      </c>
      <c r="P141" s="87" t="s">
        <v>11</v>
      </c>
      <c r="Q141" t="s">
        <v>561</v>
      </c>
      <c r="V141" s="4"/>
      <c r="AW141" s="5" t="s">
        <v>327</v>
      </c>
      <c r="AX141" s="6" t="s">
        <v>328</v>
      </c>
      <c r="AY141" s="6" t="s">
        <v>67</v>
      </c>
      <c r="AZ141" s="10">
        <v>2</v>
      </c>
      <c r="BA141" s="6" t="s">
        <v>5</v>
      </c>
      <c r="BB141" s="10">
        <v>6250</v>
      </c>
      <c r="BC141" s="4">
        <v>12500</v>
      </c>
    </row>
    <row r="142" spans="1:55" x14ac:dyDescent="0.35">
      <c r="O142" s="3"/>
      <c r="V142" s="4"/>
      <c r="AW142" s="5" t="s">
        <v>516</v>
      </c>
      <c r="AX142" s="6" t="s">
        <v>517</v>
      </c>
      <c r="AY142" s="6" t="s">
        <v>67</v>
      </c>
      <c r="AZ142" s="10">
        <v>2</v>
      </c>
      <c r="BA142" s="6" t="s">
        <v>5</v>
      </c>
      <c r="BB142" s="10">
        <v>10000</v>
      </c>
      <c r="BC142" s="4">
        <v>20000</v>
      </c>
    </row>
    <row r="143" spans="1:55" x14ac:dyDescent="0.35">
      <c r="O143" s="3" t="s">
        <v>42</v>
      </c>
      <c r="P143" t="s">
        <v>43</v>
      </c>
      <c r="Q143" t="s">
        <v>44</v>
      </c>
      <c r="R143" t="s">
        <v>45</v>
      </c>
      <c r="S143" t="s">
        <v>46</v>
      </c>
      <c r="T143" t="s">
        <v>47</v>
      </c>
      <c r="U143" t="s">
        <v>48</v>
      </c>
      <c r="V143" s="4" t="s">
        <v>49</v>
      </c>
      <c r="AW143" s="5" t="s">
        <v>252</v>
      </c>
      <c r="AX143" s="6" t="s">
        <v>253</v>
      </c>
      <c r="AY143" s="6" t="s">
        <v>67</v>
      </c>
      <c r="AZ143" s="10">
        <v>0.5</v>
      </c>
      <c r="BA143" s="6" t="s">
        <v>5</v>
      </c>
      <c r="BB143" s="10">
        <v>50000</v>
      </c>
      <c r="BC143" s="4">
        <v>25000</v>
      </c>
    </row>
    <row r="144" spans="1:55" x14ac:dyDescent="0.35">
      <c r="O144" s="3">
        <v>1</v>
      </c>
      <c r="P144" t="s">
        <v>505</v>
      </c>
      <c r="Q144" t="s">
        <v>506</v>
      </c>
      <c r="R144" t="s">
        <v>67</v>
      </c>
      <c r="S144" s="10">
        <v>2</v>
      </c>
      <c r="T144" t="s">
        <v>20</v>
      </c>
      <c r="U144" s="10">
        <v>12208.333333333334</v>
      </c>
      <c r="V144" s="4">
        <v>24416.666667000001</v>
      </c>
      <c r="AW144" s="5" t="s">
        <v>92</v>
      </c>
      <c r="AX144" s="6" t="s">
        <v>93</v>
      </c>
      <c r="AY144" s="6" t="s">
        <v>67</v>
      </c>
      <c r="AZ144" s="10">
        <v>71</v>
      </c>
      <c r="BA144" s="6" t="s">
        <v>94</v>
      </c>
      <c r="BB144" s="10">
        <v>11801.674800000001</v>
      </c>
      <c r="BC144" s="4">
        <v>837918.91079999995</v>
      </c>
    </row>
    <row r="145" spans="15:55" x14ac:dyDescent="0.35">
      <c r="O145" s="3">
        <v>2</v>
      </c>
      <c r="P145" t="s">
        <v>70</v>
      </c>
      <c r="Q145" t="s">
        <v>71</v>
      </c>
      <c r="R145" t="s">
        <v>67</v>
      </c>
      <c r="S145" s="10">
        <v>1</v>
      </c>
      <c r="T145" t="s">
        <v>5</v>
      </c>
      <c r="U145" s="10">
        <v>9000</v>
      </c>
      <c r="V145" s="4">
        <v>9000</v>
      </c>
      <c r="AW145" s="5" t="s">
        <v>518</v>
      </c>
      <c r="AX145" s="6" t="s">
        <v>519</v>
      </c>
      <c r="AY145" s="6" t="s">
        <v>67</v>
      </c>
      <c r="AZ145" s="10">
        <v>1</v>
      </c>
      <c r="BA145" s="6" t="s">
        <v>98</v>
      </c>
      <c r="BB145" s="10">
        <v>16000</v>
      </c>
      <c r="BC145" s="4">
        <v>16000</v>
      </c>
    </row>
    <row r="146" spans="15:55" x14ac:dyDescent="0.35">
      <c r="O146" s="3">
        <v>3</v>
      </c>
      <c r="P146" t="s">
        <v>230</v>
      </c>
      <c r="Q146" t="s">
        <v>231</v>
      </c>
      <c r="R146" t="s">
        <v>67</v>
      </c>
      <c r="S146" s="10">
        <v>5</v>
      </c>
      <c r="T146" t="s">
        <v>5</v>
      </c>
      <c r="U146" s="10">
        <v>9000</v>
      </c>
      <c r="V146" s="4">
        <v>45000</v>
      </c>
      <c r="AW146" s="5" t="s">
        <v>96</v>
      </c>
      <c r="AX146" s="6" t="s">
        <v>97</v>
      </c>
      <c r="AY146" s="6" t="s">
        <v>67</v>
      </c>
      <c r="AZ146" s="10">
        <v>1</v>
      </c>
      <c r="BA146" s="6" t="s">
        <v>98</v>
      </c>
      <c r="BB146" s="10">
        <v>8500</v>
      </c>
      <c r="BC146" s="4">
        <v>8500</v>
      </c>
    </row>
    <row r="147" spans="15:55" x14ac:dyDescent="0.35">
      <c r="O147" s="3">
        <v>4</v>
      </c>
      <c r="P147" t="s">
        <v>507</v>
      </c>
      <c r="Q147" t="s">
        <v>508</v>
      </c>
      <c r="R147" t="s">
        <v>67</v>
      </c>
      <c r="S147" s="10">
        <v>2</v>
      </c>
      <c r="T147" t="s">
        <v>5</v>
      </c>
      <c r="U147" s="10">
        <v>6250</v>
      </c>
      <c r="V147" s="4">
        <v>12500</v>
      </c>
      <c r="AW147" s="5" t="s">
        <v>520</v>
      </c>
      <c r="AX147" s="6" t="s">
        <v>521</v>
      </c>
      <c r="AY147" s="6" t="s">
        <v>67</v>
      </c>
      <c r="AZ147" s="10">
        <v>1</v>
      </c>
      <c r="BA147" s="6" t="s">
        <v>5</v>
      </c>
      <c r="BB147" s="10">
        <v>10000</v>
      </c>
      <c r="BC147" s="4">
        <v>10000</v>
      </c>
    </row>
    <row r="148" spans="15:55" x14ac:dyDescent="0.35">
      <c r="O148" s="3">
        <v>5</v>
      </c>
      <c r="P148" t="s">
        <v>509</v>
      </c>
      <c r="Q148" t="s">
        <v>510</v>
      </c>
      <c r="R148" t="s">
        <v>67</v>
      </c>
      <c r="S148" s="10">
        <v>2</v>
      </c>
      <c r="T148" t="s">
        <v>5</v>
      </c>
      <c r="U148" s="10">
        <v>6250</v>
      </c>
      <c r="V148" s="4">
        <v>12500</v>
      </c>
      <c r="AW148" s="5" t="s">
        <v>256</v>
      </c>
      <c r="AX148" s="6" t="s">
        <v>257</v>
      </c>
      <c r="AY148" s="6" t="s">
        <v>67</v>
      </c>
      <c r="AZ148" s="10">
        <v>9</v>
      </c>
      <c r="BA148" s="6" t="s">
        <v>20</v>
      </c>
      <c r="BB148" s="10">
        <v>3392.1053000000002</v>
      </c>
      <c r="BC148" s="4">
        <v>30528.947700000001</v>
      </c>
    </row>
    <row r="149" spans="15:55" x14ac:dyDescent="0.35">
      <c r="O149" s="3">
        <v>6</v>
      </c>
      <c r="P149" t="s">
        <v>232</v>
      </c>
      <c r="Q149" t="s">
        <v>233</v>
      </c>
      <c r="R149" t="s">
        <v>67</v>
      </c>
      <c r="S149" s="10">
        <v>2</v>
      </c>
      <c r="T149" t="s">
        <v>20</v>
      </c>
      <c r="U149" s="10">
        <v>6430</v>
      </c>
      <c r="V149" s="4">
        <v>12860</v>
      </c>
      <c r="AW149" s="5" t="s">
        <v>522</v>
      </c>
      <c r="AX149" s="6" t="s">
        <v>523</v>
      </c>
      <c r="AY149" s="6" t="s">
        <v>67</v>
      </c>
      <c r="AZ149" s="10">
        <v>2</v>
      </c>
      <c r="BA149" s="6" t="s">
        <v>160</v>
      </c>
      <c r="BB149" s="10">
        <v>10500</v>
      </c>
      <c r="BC149" s="4">
        <v>21000</v>
      </c>
    </row>
    <row r="150" spans="15:55" x14ac:dyDescent="0.35">
      <c r="O150" s="3">
        <v>7</v>
      </c>
      <c r="P150" t="s">
        <v>388</v>
      </c>
      <c r="Q150" t="s">
        <v>389</v>
      </c>
      <c r="R150" t="s">
        <v>67</v>
      </c>
      <c r="S150" s="10">
        <v>22</v>
      </c>
      <c r="T150" t="s">
        <v>20</v>
      </c>
      <c r="U150" s="10">
        <v>2639</v>
      </c>
      <c r="V150" s="4">
        <v>58058</v>
      </c>
      <c r="AW150" s="5" t="s">
        <v>364</v>
      </c>
      <c r="AX150" s="6" t="s">
        <v>365</v>
      </c>
      <c r="AY150" s="6" t="s">
        <v>67</v>
      </c>
      <c r="AZ150" s="10">
        <v>1.2</v>
      </c>
      <c r="BA150" s="6" t="s">
        <v>52</v>
      </c>
      <c r="BB150" s="10">
        <v>16193.448200000001</v>
      </c>
      <c r="BC150" s="4">
        <v>19432.137839999999</v>
      </c>
    </row>
    <row r="151" spans="15:55" x14ac:dyDescent="0.35">
      <c r="O151" s="3">
        <v>8</v>
      </c>
      <c r="P151" t="s">
        <v>72</v>
      </c>
      <c r="Q151" t="s">
        <v>73</v>
      </c>
      <c r="R151" t="s">
        <v>67</v>
      </c>
      <c r="S151" s="10">
        <v>16</v>
      </c>
      <c r="T151" t="s">
        <v>74</v>
      </c>
      <c r="U151" s="10">
        <v>3073.1077</v>
      </c>
      <c r="V151" s="4">
        <v>49169.7232</v>
      </c>
      <c r="AW151" s="5" t="s">
        <v>524</v>
      </c>
      <c r="AX151" s="6" t="s">
        <v>525</v>
      </c>
      <c r="AY151" s="6" t="s">
        <v>67</v>
      </c>
      <c r="AZ151" s="10">
        <v>1</v>
      </c>
      <c r="BA151" s="6" t="s">
        <v>20</v>
      </c>
      <c r="BB151" s="10">
        <v>22500</v>
      </c>
      <c r="BC151" s="4">
        <v>22500</v>
      </c>
    </row>
    <row r="152" spans="15:55" x14ac:dyDescent="0.35">
      <c r="O152" s="3">
        <v>9</v>
      </c>
      <c r="P152" t="s">
        <v>77</v>
      </c>
      <c r="Q152" t="s">
        <v>78</v>
      </c>
      <c r="R152" t="s">
        <v>67</v>
      </c>
      <c r="S152" s="10">
        <v>1</v>
      </c>
      <c r="T152" t="s">
        <v>20</v>
      </c>
      <c r="U152" s="10">
        <v>6500</v>
      </c>
      <c r="V152" s="4">
        <v>6500</v>
      </c>
      <c r="AW152" s="5" t="s">
        <v>526</v>
      </c>
      <c r="AX152" s="6" t="s">
        <v>527</v>
      </c>
      <c r="AY152" s="6" t="s">
        <v>67</v>
      </c>
      <c r="AZ152" s="10">
        <v>4</v>
      </c>
      <c r="BA152" s="6" t="s">
        <v>52</v>
      </c>
      <c r="BB152" s="10">
        <v>6464.2821000000013</v>
      </c>
      <c r="BC152" s="4">
        <v>25857.128400000001</v>
      </c>
    </row>
    <row r="153" spans="15:55" x14ac:dyDescent="0.35">
      <c r="O153" s="3">
        <v>10</v>
      </c>
      <c r="P153" t="s">
        <v>79</v>
      </c>
      <c r="Q153" t="s">
        <v>80</v>
      </c>
      <c r="R153" t="s">
        <v>67</v>
      </c>
      <c r="S153" s="10">
        <v>2</v>
      </c>
      <c r="T153" t="s">
        <v>20</v>
      </c>
      <c r="U153" s="10">
        <v>15000</v>
      </c>
      <c r="V153" s="4">
        <v>30000</v>
      </c>
      <c r="AW153" s="5" t="s">
        <v>401</v>
      </c>
      <c r="AX153" s="6" t="s">
        <v>402</v>
      </c>
      <c r="AY153" s="6" t="s">
        <v>67</v>
      </c>
      <c r="AZ153" s="6">
        <v>7.5</v>
      </c>
      <c r="BA153" s="6" t="s">
        <v>20</v>
      </c>
      <c r="BB153" s="6">
        <v>3578.68</v>
      </c>
      <c r="BC153" s="4">
        <v>26840.1</v>
      </c>
    </row>
    <row r="154" spans="15:55" x14ac:dyDescent="0.35">
      <c r="O154" s="3">
        <v>11</v>
      </c>
      <c r="P154" t="s">
        <v>325</v>
      </c>
      <c r="Q154" t="s">
        <v>326</v>
      </c>
      <c r="R154" t="s">
        <v>67</v>
      </c>
      <c r="S154" s="10">
        <v>2</v>
      </c>
      <c r="T154" t="s">
        <v>5</v>
      </c>
      <c r="U154" s="10">
        <v>46500</v>
      </c>
      <c r="V154" s="4">
        <v>93000</v>
      </c>
      <c r="AW154" s="5" t="s">
        <v>284</v>
      </c>
      <c r="AX154" s="6" t="s">
        <v>285</v>
      </c>
      <c r="AY154" s="6" t="s">
        <v>165</v>
      </c>
      <c r="AZ154" s="10">
        <v>30</v>
      </c>
      <c r="BA154" s="6" t="s">
        <v>20</v>
      </c>
      <c r="BB154" s="10">
        <v>17129.86</v>
      </c>
      <c r="BC154" s="4">
        <v>513895.8</v>
      </c>
    </row>
    <row r="155" spans="15:55" x14ac:dyDescent="0.35">
      <c r="O155" s="3">
        <v>12</v>
      </c>
      <c r="P155" t="s">
        <v>512</v>
      </c>
      <c r="Q155" t="s">
        <v>513</v>
      </c>
      <c r="R155" t="s">
        <v>67</v>
      </c>
      <c r="S155" s="10">
        <v>2</v>
      </c>
      <c r="T155" t="s">
        <v>486</v>
      </c>
      <c r="U155" s="10">
        <v>31500</v>
      </c>
      <c r="V155" s="4">
        <v>63000</v>
      </c>
      <c r="AW155" s="5" t="s">
        <v>166</v>
      </c>
      <c r="AX155" s="6" t="s">
        <v>167</v>
      </c>
      <c r="AY155" s="6" t="s">
        <v>165</v>
      </c>
      <c r="AZ155" s="10">
        <v>1</v>
      </c>
      <c r="BA155" s="6" t="s">
        <v>20</v>
      </c>
      <c r="BB155" s="10">
        <v>25672.9</v>
      </c>
      <c r="BC155" s="4">
        <v>25672.9</v>
      </c>
    </row>
    <row r="156" spans="15:55" x14ac:dyDescent="0.35">
      <c r="O156" s="3">
        <v>13</v>
      </c>
      <c r="P156" t="s">
        <v>484</v>
      </c>
      <c r="Q156" t="s">
        <v>485</v>
      </c>
      <c r="R156" t="s">
        <v>67</v>
      </c>
      <c r="S156" s="10">
        <v>2</v>
      </c>
      <c r="T156" t="s">
        <v>486</v>
      </c>
      <c r="U156" s="10">
        <v>8500</v>
      </c>
      <c r="V156" s="4">
        <v>17000</v>
      </c>
      <c r="AW156" s="5" t="s">
        <v>528</v>
      </c>
      <c r="AX156" s="6" t="s">
        <v>529</v>
      </c>
      <c r="AY156" s="6" t="s">
        <v>165</v>
      </c>
      <c r="AZ156" s="10">
        <v>1</v>
      </c>
      <c r="BA156" s="6" t="s">
        <v>20</v>
      </c>
      <c r="BB156" s="10">
        <v>20642.103299999999</v>
      </c>
      <c r="BC156" s="4">
        <v>20642.103299999999</v>
      </c>
    </row>
    <row r="157" spans="15:55" x14ac:dyDescent="0.35">
      <c r="O157" s="3">
        <v>14</v>
      </c>
      <c r="P157" t="s">
        <v>81</v>
      </c>
      <c r="Q157" t="s">
        <v>82</v>
      </c>
      <c r="R157" t="s">
        <v>67</v>
      </c>
      <c r="S157" s="10">
        <v>2</v>
      </c>
      <c r="T157" t="s">
        <v>20</v>
      </c>
      <c r="U157" s="10">
        <v>9750</v>
      </c>
      <c r="V157" s="4">
        <v>19500</v>
      </c>
      <c r="AW157" s="5" t="s">
        <v>530</v>
      </c>
      <c r="AX157" s="6" t="s">
        <v>531</v>
      </c>
      <c r="AY157" s="6" t="s">
        <v>165</v>
      </c>
      <c r="AZ157" s="10">
        <v>2</v>
      </c>
      <c r="BA157" s="6" t="s">
        <v>20</v>
      </c>
      <c r="BB157" s="10">
        <v>10500</v>
      </c>
      <c r="BC157" s="4">
        <v>21000</v>
      </c>
    </row>
    <row r="158" spans="15:55" x14ac:dyDescent="0.35">
      <c r="O158" s="3">
        <v>15</v>
      </c>
      <c r="P158" t="s">
        <v>357</v>
      </c>
      <c r="Q158" t="s">
        <v>358</v>
      </c>
      <c r="R158" t="s">
        <v>67</v>
      </c>
      <c r="S158" s="10">
        <v>0.5</v>
      </c>
      <c r="T158" t="s">
        <v>5</v>
      </c>
      <c r="U158" s="10">
        <v>31592.592599999996</v>
      </c>
      <c r="V158" s="4">
        <v>15796.2963</v>
      </c>
      <c r="AW158" s="5" t="s">
        <v>168</v>
      </c>
      <c r="AX158" s="6" t="s">
        <v>169</v>
      </c>
      <c r="AY158" s="6" t="s">
        <v>165</v>
      </c>
      <c r="AZ158" s="10">
        <v>8</v>
      </c>
      <c r="BA158" s="6" t="s">
        <v>20</v>
      </c>
      <c r="BB158" s="10">
        <v>38599.3796</v>
      </c>
      <c r="BC158" s="4">
        <v>308795.0368</v>
      </c>
    </row>
    <row r="159" spans="15:55" x14ac:dyDescent="0.35">
      <c r="O159" s="3">
        <v>16</v>
      </c>
      <c r="P159" t="s">
        <v>83</v>
      </c>
      <c r="Q159" t="s">
        <v>84</v>
      </c>
      <c r="R159" t="s">
        <v>67</v>
      </c>
      <c r="S159" s="10">
        <v>2</v>
      </c>
      <c r="T159" t="s">
        <v>20</v>
      </c>
      <c r="U159" s="10">
        <v>7250</v>
      </c>
      <c r="V159" s="4">
        <v>14500</v>
      </c>
      <c r="AW159" s="5" t="s">
        <v>286</v>
      </c>
      <c r="AX159" s="6" t="s">
        <v>287</v>
      </c>
      <c r="AY159" s="6" t="s">
        <v>165</v>
      </c>
      <c r="AZ159" s="10">
        <v>11</v>
      </c>
      <c r="BA159" s="6" t="s">
        <v>20</v>
      </c>
      <c r="BB159" s="10">
        <v>43575.390599999999</v>
      </c>
      <c r="BC159" s="4">
        <v>479329.2966</v>
      </c>
    </row>
    <row r="160" spans="15:55" x14ac:dyDescent="0.35">
      <c r="O160" s="3">
        <v>17</v>
      </c>
      <c r="P160" t="s">
        <v>242</v>
      </c>
      <c r="Q160" t="s">
        <v>243</v>
      </c>
      <c r="R160" t="s">
        <v>67</v>
      </c>
      <c r="S160" s="10">
        <v>2.2999999999999998</v>
      </c>
      <c r="T160" t="s">
        <v>87</v>
      </c>
      <c r="U160" s="10">
        <v>14500</v>
      </c>
      <c r="V160" s="4">
        <v>33350</v>
      </c>
      <c r="AW160" s="5" t="s">
        <v>532</v>
      </c>
      <c r="AX160" s="6" t="s">
        <v>533</v>
      </c>
      <c r="AY160" s="6" t="s">
        <v>165</v>
      </c>
      <c r="AZ160" s="10">
        <v>1</v>
      </c>
      <c r="BA160" s="6" t="s">
        <v>20</v>
      </c>
      <c r="BB160" s="10">
        <v>9966.67</v>
      </c>
      <c r="BC160" s="4">
        <v>9966.67</v>
      </c>
    </row>
    <row r="161" spans="15:55" x14ac:dyDescent="0.35">
      <c r="O161" s="3">
        <v>18</v>
      </c>
      <c r="P161" t="s">
        <v>246</v>
      </c>
      <c r="Q161" t="s">
        <v>247</v>
      </c>
      <c r="R161" t="s">
        <v>67</v>
      </c>
      <c r="S161" s="10">
        <v>2</v>
      </c>
      <c r="T161" t="s">
        <v>5</v>
      </c>
      <c r="U161" s="10">
        <v>1400</v>
      </c>
      <c r="V161" s="4">
        <v>2800</v>
      </c>
      <c r="AW161" s="5" t="s">
        <v>176</v>
      </c>
      <c r="AX161" s="6" t="s">
        <v>177</v>
      </c>
      <c r="AY161" s="6" t="s">
        <v>165</v>
      </c>
      <c r="AZ161" s="10">
        <v>7</v>
      </c>
      <c r="BA161" s="6" t="s">
        <v>20</v>
      </c>
      <c r="BB161" s="10">
        <v>11411.121800000001</v>
      </c>
      <c r="BC161" s="4">
        <v>79877.852599999998</v>
      </c>
    </row>
    <row r="162" spans="15:55" x14ac:dyDescent="0.35">
      <c r="O162" s="3">
        <v>19</v>
      </c>
      <c r="P162" t="s">
        <v>327</v>
      </c>
      <c r="Q162" t="s">
        <v>328</v>
      </c>
      <c r="R162" t="s">
        <v>67</v>
      </c>
      <c r="S162" s="10">
        <v>2</v>
      </c>
      <c r="T162" t="s">
        <v>5</v>
      </c>
      <c r="U162" s="10">
        <v>6250</v>
      </c>
      <c r="V162" s="4">
        <v>12500</v>
      </c>
      <c r="AW162" s="5" t="s">
        <v>534</v>
      </c>
      <c r="AX162" s="6" t="s">
        <v>535</v>
      </c>
      <c r="AY162" s="6" t="s">
        <v>165</v>
      </c>
      <c r="AZ162" s="10">
        <v>1</v>
      </c>
      <c r="BA162" s="6" t="s">
        <v>20</v>
      </c>
      <c r="BB162" s="10">
        <v>5680</v>
      </c>
      <c r="BC162" s="4">
        <v>5680</v>
      </c>
    </row>
    <row r="163" spans="15:55" x14ac:dyDescent="0.35">
      <c r="O163" s="3">
        <v>20</v>
      </c>
      <c r="P163" t="s">
        <v>516</v>
      </c>
      <c r="Q163" t="s">
        <v>517</v>
      </c>
      <c r="R163" t="s">
        <v>67</v>
      </c>
      <c r="S163" s="10">
        <v>2</v>
      </c>
      <c r="T163" t="s">
        <v>5</v>
      </c>
      <c r="U163" s="10">
        <v>10000</v>
      </c>
      <c r="V163" s="4">
        <v>20000</v>
      </c>
      <c r="AW163" s="5" t="s">
        <v>536</v>
      </c>
      <c r="AX163" s="6" t="s">
        <v>537</v>
      </c>
      <c r="AY163" s="6" t="s">
        <v>165</v>
      </c>
      <c r="AZ163" s="10">
        <v>2</v>
      </c>
      <c r="BA163" s="6" t="s">
        <v>20</v>
      </c>
      <c r="BB163" s="10">
        <v>54333.333299999998</v>
      </c>
      <c r="BC163" s="4">
        <v>108666.6666</v>
      </c>
    </row>
    <row r="164" spans="15:55" x14ac:dyDescent="0.35">
      <c r="O164" s="3">
        <v>21</v>
      </c>
      <c r="P164" t="s">
        <v>252</v>
      </c>
      <c r="Q164" t="s">
        <v>253</v>
      </c>
      <c r="R164" t="s">
        <v>67</v>
      </c>
      <c r="S164" s="10">
        <v>0.5</v>
      </c>
      <c r="T164" t="s">
        <v>5</v>
      </c>
      <c r="U164" s="10">
        <v>50000</v>
      </c>
      <c r="V164" s="4">
        <v>25000</v>
      </c>
      <c r="AW164" s="5" t="s">
        <v>292</v>
      </c>
      <c r="AX164" s="6" t="s">
        <v>293</v>
      </c>
      <c r="AY164" s="6" t="s">
        <v>165</v>
      </c>
      <c r="AZ164" s="10">
        <v>16</v>
      </c>
      <c r="BA164" s="6" t="s">
        <v>20</v>
      </c>
      <c r="BB164" s="10">
        <v>21870.7837</v>
      </c>
      <c r="BC164" s="4">
        <v>349932.5392</v>
      </c>
    </row>
    <row r="165" spans="15:55" x14ac:dyDescent="0.35">
      <c r="O165" s="3">
        <v>22</v>
      </c>
      <c r="P165" t="s">
        <v>92</v>
      </c>
      <c r="Q165" t="s">
        <v>93</v>
      </c>
      <c r="R165" t="s">
        <v>67</v>
      </c>
      <c r="S165" s="10">
        <v>71</v>
      </c>
      <c r="T165" t="s">
        <v>94</v>
      </c>
      <c r="U165" s="10">
        <v>11801.674800000001</v>
      </c>
      <c r="V165" s="4">
        <v>837918.91079999995</v>
      </c>
      <c r="AW165" s="5" t="s">
        <v>539</v>
      </c>
      <c r="AX165" s="6" t="s">
        <v>540</v>
      </c>
      <c r="AY165" s="6" t="s">
        <v>165</v>
      </c>
      <c r="AZ165" s="10">
        <v>1</v>
      </c>
      <c r="BA165" s="6" t="s">
        <v>20</v>
      </c>
      <c r="BB165" s="10">
        <v>18000</v>
      </c>
      <c r="BC165" s="4">
        <v>18000</v>
      </c>
    </row>
    <row r="166" spans="15:55" x14ac:dyDescent="0.35">
      <c r="O166" s="3">
        <v>23</v>
      </c>
      <c r="P166" t="s">
        <v>518</v>
      </c>
      <c r="Q166" t="s">
        <v>519</v>
      </c>
      <c r="R166" t="s">
        <v>67</v>
      </c>
      <c r="S166" s="10">
        <v>1</v>
      </c>
      <c r="T166" t="s">
        <v>98</v>
      </c>
      <c r="U166" s="10">
        <v>16000</v>
      </c>
      <c r="V166" s="4">
        <v>16000</v>
      </c>
      <c r="AW166" s="5" t="s">
        <v>294</v>
      </c>
      <c r="AX166" s="6" t="s">
        <v>295</v>
      </c>
      <c r="AY166" s="6" t="s">
        <v>165</v>
      </c>
      <c r="AZ166" s="10">
        <v>12</v>
      </c>
      <c r="BA166" s="6" t="s">
        <v>20</v>
      </c>
      <c r="BB166" s="10">
        <v>16527.600600000002</v>
      </c>
      <c r="BC166" s="4">
        <v>198331.2072</v>
      </c>
    </row>
    <row r="167" spans="15:55" x14ac:dyDescent="0.35">
      <c r="O167" s="3">
        <v>24</v>
      </c>
      <c r="P167" t="s">
        <v>96</v>
      </c>
      <c r="Q167" t="s">
        <v>97</v>
      </c>
      <c r="R167" t="s">
        <v>67</v>
      </c>
      <c r="S167" s="10">
        <v>1</v>
      </c>
      <c r="T167" t="s">
        <v>98</v>
      </c>
      <c r="U167" s="10">
        <v>8500</v>
      </c>
      <c r="V167" s="4">
        <v>8500</v>
      </c>
      <c r="AW167" s="5" t="s">
        <v>296</v>
      </c>
      <c r="AX167" s="6" t="s">
        <v>297</v>
      </c>
      <c r="AY167" s="6" t="s">
        <v>165</v>
      </c>
      <c r="AZ167" s="10">
        <v>1</v>
      </c>
      <c r="BA167" s="6" t="s">
        <v>20</v>
      </c>
      <c r="BB167" s="10">
        <v>17483.975399999999</v>
      </c>
      <c r="BC167" s="4">
        <v>17483.975399999999</v>
      </c>
    </row>
    <row r="168" spans="15:55" x14ac:dyDescent="0.35">
      <c r="O168" s="3">
        <v>25</v>
      </c>
      <c r="P168" t="s">
        <v>520</v>
      </c>
      <c r="Q168" t="s">
        <v>521</v>
      </c>
      <c r="R168" t="s">
        <v>67</v>
      </c>
      <c r="S168" s="10">
        <v>1</v>
      </c>
      <c r="T168" t="s">
        <v>5</v>
      </c>
      <c r="U168" s="10">
        <v>10000</v>
      </c>
      <c r="V168" s="4">
        <v>10000</v>
      </c>
      <c r="AW168" s="5" t="s">
        <v>542</v>
      </c>
      <c r="AX168" s="6" t="s">
        <v>543</v>
      </c>
      <c r="AY168" s="6" t="s">
        <v>165</v>
      </c>
      <c r="AZ168" s="10">
        <v>1</v>
      </c>
      <c r="BA168" s="6" t="s">
        <v>20</v>
      </c>
      <c r="BB168" s="10">
        <v>22153.85</v>
      </c>
      <c r="BC168" s="4">
        <v>22153.85</v>
      </c>
    </row>
    <row r="169" spans="15:55" x14ac:dyDescent="0.35">
      <c r="O169" s="3">
        <v>26</v>
      </c>
      <c r="P169" t="s">
        <v>256</v>
      </c>
      <c r="Q169" t="s">
        <v>257</v>
      </c>
      <c r="R169" t="s">
        <v>67</v>
      </c>
      <c r="S169" s="10">
        <v>9</v>
      </c>
      <c r="T169" t="s">
        <v>20</v>
      </c>
      <c r="U169" s="10">
        <v>3392.1053000000002</v>
      </c>
      <c r="V169" s="4">
        <v>30528.947700000001</v>
      </c>
      <c r="AW169" s="5" t="s">
        <v>544</v>
      </c>
      <c r="AX169" s="6" t="s">
        <v>545</v>
      </c>
      <c r="AY169" s="6" t="s">
        <v>165</v>
      </c>
      <c r="AZ169" s="10">
        <v>10</v>
      </c>
      <c r="BA169" s="6" t="s">
        <v>20</v>
      </c>
      <c r="BB169" s="10">
        <v>15250</v>
      </c>
      <c r="BC169" s="4">
        <v>152500</v>
      </c>
    </row>
    <row r="170" spans="15:55" x14ac:dyDescent="0.35">
      <c r="O170" s="3">
        <v>27</v>
      </c>
      <c r="P170" t="s">
        <v>522</v>
      </c>
      <c r="Q170" t="s">
        <v>523</v>
      </c>
      <c r="R170" t="s">
        <v>67</v>
      </c>
      <c r="S170" s="10">
        <v>2</v>
      </c>
      <c r="T170" t="s">
        <v>160</v>
      </c>
      <c r="U170" s="10">
        <v>10500</v>
      </c>
      <c r="V170" s="4">
        <v>21000</v>
      </c>
      <c r="AW170" s="5" t="s">
        <v>547</v>
      </c>
      <c r="AX170" s="6" t="s">
        <v>548</v>
      </c>
      <c r="AY170" s="6" t="s">
        <v>165</v>
      </c>
      <c r="AZ170" s="10">
        <v>3</v>
      </c>
      <c r="BA170" s="6" t="s">
        <v>20</v>
      </c>
      <c r="BB170" s="10">
        <v>19104.577099999999</v>
      </c>
      <c r="BC170" s="4">
        <v>57313.731299999999</v>
      </c>
    </row>
    <row r="171" spans="15:55" x14ac:dyDescent="0.35">
      <c r="O171" s="3">
        <v>28</v>
      </c>
      <c r="P171" t="s">
        <v>364</v>
      </c>
      <c r="Q171" t="s">
        <v>365</v>
      </c>
      <c r="R171" t="s">
        <v>67</v>
      </c>
      <c r="S171" s="10">
        <v>1.2</v>
      </c>
      <c r="T171" t="s">
        <v>52</v>
      </c>
      <c r="U171" s="10">
        <v>16193.448200000001</v>
      </c>
      <c r="V171" s="4">
        <v>19432.137839999999</v>
      </c>
      <c r="AW171" s="5" t="s">
        <v>436</v>
      </c>
      <c r="AX171" s="6" t="s">
        <v>437</v>
      </c>
      <c r="AY171" s="6" t="s">
        <v>165</v>
      </c>
      <c r="AZ171" s="10">
        <v>2</v>
      </c>
      <c r="BA171" s="6" t="s">
        <v>5</v>
      </c>
      <c r="BB171" s="10">
        <v>5250</v>
      </c>
      <c r="BC171" s="4">
        <v>10500</v>
      </c>
    </row>
    <row r="172" spans="15:55" x14ac:dyDescent="0.35">
      <c r="O172" s="3">
        <v>29</v>
      </c>
      <c r="P172" t="s">
        <v>524</v>
      </c>
      <c r="Q172" t="s">
        <v>525</v>
      </c>
      <c r="R172" t="s">
        <v>67</v>
      </c>
      <c r="S172" s="10">
        <v>1</v>
      </c>
      <c r="T172" t="s">
        <v>20</v>
      </c>
      <c r="U172" s="10">
        <v>22500</v>
      </c>
      <c r="V172" s="4">
        <v>22500</v>
      </c>
      <c r="AW172" s="5" t="s">
        <v>184</v>
      </c>
      <c r="AX172" s="6" t="s">
        <v>185</v>
      </c>
      <c r="AY172" s="6" t="s">
        <v>182</v>
      </c>
      <c r="AZ172" s="10">
        <v>31</v>
      </c>
      <c r="BA172" s="6" t="s">
        <v>20</v>
      </c>
      <c r="BB172" s="10">
        <v>1954.48</v>
      </c>
      <c r="BC172" s="4">
        <v>60588.88</v>
      </c>
    </row>
    <row r="173" spans="15:55" x14ac:dyDescent="0.35">
      <c r="O173" s="3">
        <v>30</v>
      </c>
      <c r="P173" t="s">
        <v>526</v>
      </c>
      <c r="Q173" t="s">
        <v>527</v>
      </c>
      <c r="R173" t="s">
        <v>67</v>
      </c>
      <c r="S173" s="10">
        <v>4</v>
      </c>
      <c r="T173" t="s">
        <v>52</v>
      </c>
      <c r="U173" s="10">
        <v>6464.2821000000013</v>
      </c>
      <c r="V173" s="4">
        <v>25857.128400000001</v>
      </c>
      <c r="AW173" s="5" t="s">
        <v>549</v>
      </c>
      <c r="AX173" s="6" t="s">
        <v>550</v>
      </c>
      <c r="AY173" s="6" t="s">
        <v>182</v>
      </c>
      <c r="AZ173" s="10">
        <v>1</v>
      </c>
      <c r="BA173" s="6" t="s">
        <v>20</v>
      </c>
      <c r="BB173" s="10">
        <v>43756.2</v>
      </c>
      <c r="BC173" s="4">
        <v>43756.2</v>
      </c>
    </row>
    <row r="174" spans="15:55" x14ac:dyDescent="0.35">
      <c r="O174" s="3">
        <v>31</v>
      </c>
      <c r="P174" t="s">
        <v>401</v>
      </c>
      <c r="Q174" t="s">
        <v>402</v>
      </c>
      <c r="R174" t="s">
        <v>67</v>
      </c>
      <c r="S174">
        <v>7.5</v>
      </c>
      <c r="T174" t="s">
        <v>20</v>
      </c>
      <c r="U174">
        <v>3578.68</v>
      </c>
      <c r="V174" s="4">
        <v>26840.1</v>
      </c>
      <c r="AW174" s="5" t="s">
        <v>187</v>
      </c>
      <c r="AX174" s="6" t="s">
        <v>188</v>
      </c>
      <c r="AY174" s="6" t="s">
        <v>182</v>
      </c>
      <c r="AZ174" s="10">
        <v>28</v>
      </c>
      <c r="BA174" s="6" t="s">
        <v>20</v>
      </c>
      <c r="BB174" s="10">
        <v>3229</v>
      </c>
      <c r="BC174" s="4">
        <v>90412</v>
      </c>
    </row>
    <row r="175" spans="15:55" ht="15" thickBot="1" x14ac:dyDescent="0.4">
      <c r="O175" s="11" t="s">
        <v>223</v>
      </c>
      <c r="P175" s="12" t="s">
        <v>223</v>
      </c>
      <c r="Q175" s="12" t="s">
        <v>223</v>
      </c>
      <c r="R175" s="12" t="s">
        <v>223</v>
      </c>
      <c r="S175" s="12" t="s">
        <v>223</v>
      </c>
      <c r="T175" s="12" t="s">
        <v>223</v>
      </c>
      <c r="U175" s="12" t="s">
        <v>224</v>
      </c>
      <c r="V175" s="13">
        <v>1595027.9109070001</v>
      </c>
      <c r="AW175" s="5" t="s">
        <v>438</v>
      </c>
      <c r="AX175" s="6" t="s">
        <v>439</v>
      </c>
      <c r="AY175" s="6" t="s">
        <v>182</v>
      </c>
      <c r="AZ175" s="10">
        <v>1</v>
      </c>
      <c r="BA175" s="6" t="s">
        <v>20</v>
      </c>
      <c r="BB175" s="10">
        <v>3229</v>
      </c>
      <c r="BC175" s="4">
        <v>3229</v>
      </c>
    </row>
    <row r="176" spans="15:55" ht="15.5" thickTop="1" thickBot="1" x14ac:dyDescent="0.4">
      <c r="AW176" s="5" t="s">
        <v>551</v>
      </c>
      <c r="AX176" s="6" t="s">
        <v>552</v>
      </c>
      <c r="AY176" s="6" t="s">
        <v>182</v>
      </c>
      <c r="AZ176" s="10">
        <v>1</v>
      </c>
      <c r="BA176" s="6" t="s">
        <v>20</v>
      </c>
      <c r="BB176" s="10">
        <v>49511.1</v>
      </c>
      <c r="BC176" s="4">
        <v>49511.1</v>
      </c>
    </row>
    <row r="177" spans="15:55" ht="15" thickTop="1" x14ac:dyDescent="0.35">
      <c r="O177" s="88" t="s">
        <v>0</v>
      </c>
      <c r="P177" s="89"/>
      <c r="Q177" s="89"/>
      <c r="R177" s="89"/>
      <c r="S177" s="89"/>
      <c r="T177" s="1"/>
      <c r="U177" s="1"/>
      <c r="V177" s="2"/>
      <c r="AW177" s="5" t="s">
        <v>553</v>
      </c>
      <c r="AX177" s="6" t="s">
        <v>554</v>
      </c>
      <c r="AY177" s="6" t="s">
        <v>182</v>
      </c>
      <c r="AZ177" s="10">
        <v>1</v>
      </c>
      <c r="BA177" s="6" t="s">
        <v>20</v>
      </c>
      <c r="BB177" s="10">
        <v>21120</v>
      </c>
      <c r="BC177" s="4">
        <v>21120</v>
      </c>
    </row>
    <row r="178" spans="15:55" x14ac:dyDescent="0.35">
      <c r="O178" s="86" t="s">
        <v>1</v>
      </c>
      <c r="P178" s="87"/>
      <c r="Q178" s="87"/>
      <c r="R178" s="87"/>
      <c r="S178" s="87"/>
      <c r="V178" s="4"/>
      <c r="AW178" s="5" t="s">
        <v>474</v>
      </c>
      <c r="AX178" s="6" t="s">
        <v>475</v>
      </c>
      <c r="AY178" s="6" t="s">
        <v>192</v>
      </c>
      <c r="AZ178" s="10">
        <v>8</v>
      </c>
      <c r="BA178" s="6" t="s">
        <v>20</v>
      </c>
      <c r="BB178" s="10">
        <v>8750</v>
      </c>
      <c r="BC178" s="4">
        <v>70000</v>
      </c>
    </row>
    <row r="179" spans="15:55" x14ac:dyDescent="0.35">
      <c r="O179" s="3"/>
      <c r="V179" s="4"/>
      <c r="AW179" s="5" t="s">
        <v>190</v>
      </c>
      <c r="AX179" s="6" t="s">
        <v>191</v>
      </c>
      <c r="AY179" s="6" t="s">
        <v>192</v>
      </c>
      <c r="AZ179" s="10">
        <v>2</v>
      </c>
      <c r="BA179" s="6" t="s">
        <v>20</v>
      </c>
      <c r="BB179" s="10">
        <v>138738.7334</v>
      </c>
      <c r="BC179" s="4">
        <v>277477.46679999999</v>
      </c>
    </row>
    <row r="180" spans="15:55" x14ac:dyDescent="0.35">
      <c r="O180" s="86" t="s">
        <v>10</v>
      </c>
      <c r="P180" s="87" t="s">
        <v>11</v>
      </c>
      <c r="Q180" t="s">
        <v>562</v>
      </c>
      <c r="V180" s="4"/>
      <c r="AW180" s="5" t="s">
        <v>442</v>
      </c>
      <c r="AX180" s="6" t="s">
        <v>443</v>
      </c>
      <c r="AY180" s="6" t="s">
        <v>192</v>
      </c>
      <c r="AZ180" s="10">
        <v>23</v>
      </c>
      <c r="BA180" s="6" t="s">
        <v>20</v>
      </c>
      <c r="BB180" s="10">
        <v>18480</v>
      </c>
      <c r="BC180" s="4">
        <v>425040</v>
      </c>
    </row>
    <row r="181" spans="15:55" x14ac:dyDescent="0.35">
      <c r="O181" s="86" t="s">
        <v>16</v>
      </c>
      <c r="P181" s="87" t="s">
        <v>11</v>
      </c>
      <c r="Q181" t="s">
        <v>17</v>
      </c>
      <c r="V181" s="4"/>
      <c r="AW181" s="5" t="s">
        <v>555</v>
      </c>
      <c r="AX181" s="6" t="s">
        <v>556</v>
      </c>
      <c r="AY181" s="6" t="s">
        <v>192</v>
      </c>
      <c r="AZ181" s="10">
        <v>1</v>
      </c>
      <c r="BA181" s="6" t="s">
        <v>20</v>
      </c>
      <c r="BB181" s="10">
        <v>34900</v>
      </c>
      <c r="BC181" s="4">
        <v>34900</v>
      </c>
    </row>
    <row r="182" spans="15:55" x14ac:dyDescent="0.35">
      <c r="O182" s="86" t="s">
        <v>21</v>
      </c>
      <c r="P182" s="87" t="s">
        <v>11</v>
      </c>
      <c r="Q182" t="s">
        <v>482</v>
      </c>
      <c r="V182" s="4"/>
      <c r="AW182" s="5" t="s">
        <v>333</v>
      </c>
      <c r="AX182" s="6" t="s">
        <v>334</v>
      </c>
      <c r="AY182" s="6" t="s">
        <v>192</v>
      </c>
      <c r="AZ182" s="10">
        <v>123</v>
      </c>
      <c r="BA182" s="6" t="s">
        <v>20</v>
      </c>
      <c r="BB182" s="10">
        <v>3666.67</v>
      </c>
      <c r="BC182" s="4">
        <v>451000.41</v>
      </c>
    </row>
    <row r="183" spans="15:55" ht="15" thickBot="1" x14ac:dyDescent="0.4">
      <c r="O183" s="86" t="s">
        <v>26</v>
      </c>
      <c r="P183" s="87" t="s">
        <v>11</v>
      </c>
      <c r="Q183" t="s">
        <v>563</v>
      </c>
      <c r="V183" s="4"/>
      <c r="AW183" s="11" t="s">
        <v>557</v>
      </c>
      <c r="AX183" s="12" t="s">
        <v>558</v>
      </c>
      <c r="AY183" s="12" t="s">
        <v>192</v>
      </c>
      <c r="AZ183" s="12">
        <v>3</v>
      </c>
      <c r="BA183" s="12" t="s">
        <v>20</v>
      </c>
      <c r="BB183" s="12">
        <v>12235.890000000003</v>
      </c>
      <c r="BC183" s="13">
        <v>36707.67</v>
      </c>
    </row>
    <row r="184" spans="15:55" ht="15" thickTop="1" x14ac:dyDescent="0.35">
      <c r="O184" s="86" t="s">
        <v>31</v>
      </c>
      <c r="P184" s="87" t="s">
        <v>11</v>
      </c>
      <c r="Q184" t="s">
        <v>198</v>
      </c>
      <c r="V184" s="4"/>
    </row>
    <row r="185" spans="15:55" x14ac:dyDescent="0.35">
      <c r="O185" s="86" t="s">
        <v>35</v>
      </c>
      <c r="P185" s="87" t="s">
        <v>11</v>
      </c>
      <c r="Q185" t="s">
        <v>564</v>
      </c>
      <c r="V185" s="4"/>
    </row>
    <row r="186" spans="15:55" x14ac:dyDescent="0.35">
      <c r="O186" s="3"/>
      <c r="V186" s="4"/>
    </row>
    <row r="187" spans="15:55" x14ac:dyDescent="0.35">
      <c r="O187" s="3" t="s">
        <v>42</v>
      </c>
      <c r="P187" t="s">
        <v>43</v>
      </c>
      <c r="Q187" t="s">
        <v>44</v>
      </c>
      <c r="R187" t="s">
        <v>45</v>
      </c>
      <c r="S187" t="s">
        <v>46</v>
      </c>
      <c r="T187" t="s">
        <v>47</v>
      </c>
      <c r="U187" t="s">
        <v>48</v>
      </c>
      <c r="V187" s="4" t="s">
        <v>49</v>
      </c>
    </row>
    <row r="188" spans="15:55" x14ac:dyDescent="0.35">
      <c r="O188" s="3">
        <v>1</v>
      </c>
      <c r="P188" t="s">
        <v>284</v>
      </c>
      <c r="Q188" t="s">
        <v>285</v>
      </c>
      <c r="R188" t="s">
        <v>165</v>
      </c>
      <c r="S188" s="10">
        <v>30</v>
      </c>
      <c r="T188" t="s">
        <v>20</v>
      </c>
      <c r="U188" s="10">
        <v>17129.86</v>
      </c>
      <c r="V188" s="4">
        <v>513895.8</v>
      </c>
    </row>
    <row r="189" spans="15:55" x14ac:dyDescent="0.35">
      <c r="O189" s="3">
        <v>2</v>
      </c>
      <c r="P189" t="s">
        <v>166</v>
      </c>
      <c r="Q189" t="s">
        <v>167</v>
      </c>
      <c r="R189" t="s">
        <v>165</v>
      </c>
      <c r="S189" s="10">
        <v>1</v>
      </c>
      <c r="T189" t="s">
        <v>20</v>
      </c>
      <c r="U189" s="10">
        <v>25672.9</v>
      </c>
      <c r="V189" s="4">
        <v>25672.9</v>
      </c>
    </row>
    <row r="190" spans="15:55" x14ac:dyDescent="0.35">
      <c r="O190" s="3">
        <v>3</v>
      </c>
      <c r="P190" t="s">
        <v>528</v>
      </c>
      <c r="Q190" t="s">
        <v>529</v>
      </c>
      <c r="R190" t="s">
        <v>165</v>
      </c>
      <c r="S190" s="10">
        <v>1</v>
      </c>
      <c r="T190" t="s">
        <v>20</v>
      </c>
      <c r="U190" s="10">
        <v>20642.103299999999</v>
      </c>
      <c r="V190" s="4">
        <v>20642.103299999999</v>
      </c>
    </row>
    <row r="191" spans="15:55" x14ac:dyDescent="0.35">
      <c r="O191" s="3">
        <v>4</v>
      </c>
      <c r="P191" t="s">
        <v>530</v>
      </c>
      <c r="Q191" t="s">
        <v>531</v>
      </c>
      <c r="R191" t="s">
        <v>165</v>
      </c>
      <c r="S191" s="10">
        <v>2</v>
      </c>
      <c r="T191" t="s">
        <v>20</v>
      </c>
      <c r="U191" s="10">
        <v>10500</v>
      </c>
      <c r="V191" s="4">
        <v>21000</v>
      </c>
    </row>
    <row r="192" spans="15:55" x14ac:dyDescent="0.35">
      <c r="O192" s="3">
        <v>5</v>
      </c>
      <c r="P192" t="s">
        <v>168</v>
      </c>
      <c r="Q192" t="s">
        <v>169</v>
      </c>
      <c r="R192" t="s">
        <v>165</v>
      </c>
      <c r="S192" s="10">
        <v>8</v>
      </c>
      <c r="T192" t="s">
        <v>20</v>
      </c>
      <c r="U192" s="10">
        <v>38599.3796</v>
      </c>
      <c r="V192" s="4">
        <v>308795.0368</v>
      </c>
    </row>
    <row r="193" spans="15:22" x14ac:dyDescent="0.35">
      <c r="O193" s="3">
        <v>6</v>
      </c>
      <c r="P193" t="s">
        <v>286</v>
      </c>
      <c r="Q193" t="s">
        <v>287</v>
      </c>
      <c r="R193" t="s">
        <v>165</v>
      </c>
      <c r="S193" s="10">
        <v>11</v>
      </c>
      <c r="T193" t="s">
        <v>20</v>
      </c>
      <c r="U193" s="10">
        <v>43575.390599999999</v>
      </c>
      <c r="V193" s="4">
        <v>479329.2966</v>
      </c>
    </row>
    <row r="194" spans="15:22" x14ac:dyDescent="0.35">
      <c r="O194" s="3">
        <v>7</v>
      </c>
      <c r="P194" t="s">
        <v>532</v>
      </c>
      <c r="Q194" t="s">
        <v>533</v>
      </c>
      <c r="R194" t="s">
        <v>165</v>
      </c>
      <c r="S194" s="10">
        <v>1</v>
      </c>
      <c r="T194" t="s">
        <v>20</v>
      </c>
      <c r="U194" s="10">
        <v>9966.67</v>
      </c>
      <c r="V194" s="4">
        <v>9966.67</v>
      </c>
    </row>
    <row r="195" spans="15:22" x14ac:dyDescent="0.35">
      <c r="O195" s="3">
        <v>8</v>
      </c>
      <c r="P195" t="s">
        <v>176</v>
      </c>
      <c r="Q195" t="s">
        <v>177</v>
      </c>
      <c r="R195" t="s">
        <v>165</v>
      </c>
      <c r="S195" s="10">
        <v>7</v>
      </c>
      <c r="T195" t="s">
        <v>20</v>
      </c>
      <c r="U195" s="10">
        <v>11411.121800000001</v>
      </c>
      <c r="V195" s="4">
        <v>79877.852599999998</v>
      </c>
    </row>
    <row r="196" spans="15:22" x14ac:dyDescent="0.35">
      <c r="O196" s="3">
        <v>9</v>
      </c>
      <c r="P196" t="s">
        <v>534</v>
      </c>
      <c r="Q196" t="s">
        <v>535</v>
      </c>
      <c r="R196" t="s">
        <v>165</v>
      </c>
      <c r="S196" s="10">
        <v>1</v>
      </c>
      <c r="T196" t="s">
        <v>20</v>
      </c>
      <c r="U196" s="10">
        <v>5680</v>
      </c>
      <c r="V196" s="4">
        <v>5680</v>
      </c>
    </row>
    <row r="197" spans="15:22" x14ac:dyDescent="0.35">
      <c r="O197" s="3">
        <v>10</v>
      </c>
      <c r="P197" t="s">
        <v>536</v>
      </c>
      <c r="Q197" t="s">
        <v>537</v>
      </c>
      <c r="R197" t="s">
        <v>165</v>
      </c>
      <c r="S197" s="10">
        <v>2</v>
      </c>
      <c r="T197" t="s">
        <v>20</v>
      </c>
      <c r="U197" s="10">
        <v>54333.333299999998</v>
      </c>
      <c r="V197" s="4">
        <v>108666.6666</v>
      </c>
    </row>
    <row r="198" spans="15:22" x14ac:dyDescent="0.35">
      <c r="O198" s="3">
        <v>11</v>
      </c>
      <c r="P198" t="s">
        <v>292</v>
      </c>
      <c r="Q198" t="s">
        <v>293</v>
      </c>
      <c r="R198" t="s">
        <v>165</v>
      </c>
      <c r="S198" s="10">
        <v>16</v>
      </c>
      <c r="T198" t="s">
        <v>20</v>
      </c>
      <c r="U198" s="10">
        <v>21870.7837</v>
      </c>
      <c r="V198" s="4">
        <v>349932.5392</v>
      </c>
    </row>
    <row r="199" spans="15:22" x14ac:dyDescent="0.35">
      <c r="O199" s="3">
        <v>12</v>
      </c>
      <c r="P199" t="s">
        <v>539</v>
      </c>
      <c r="Q199" t="s">
        <v>540</v>
      </c>
      <c r="R199" t="s">
        <v>165</v>
      </c>
      <c r="S199" s="10">
        <v>1</v>
      </c>
      <c r="T199" t="s">
        <v>20</v>
      </c>
      <c r="U199" s="10">
        <v>18000</v>
      </c>
      <c r="V199" s="4">
        <v>18000</v>
      </c>
    </row>
    <row r="200" spans="15:22" x14ac:dyDescent="0.35">
      <c r="O200" s="3">
        <v>13</v>
      </c>
      <c r="P200" t="s">
        <v>294</v>
      </c>
      <c r="Q200" t="s">
        <v>295</v>
      </c>
      <c r="R200" t="s">
        <v>165</v>
      </c>
      <c r="S200" s="10">
        <v>12</v>
      </c>
      <c r="T200" t="s">
        <v>20</v>
      </c>
      <c r="U200" s="10">
        <v>16527.600600000002</v>
      </c>
      <c r="V200" s="4">
        <v>198331.2072</v>
      </c>
    </row>
    <row r="201" spans="15:22" x14ac:dyDescent="0.35">
      <c r="O201" s="3">
        <v>14</v>
      </c>
      <c r="P201" t="s">
        <v>296</v>
      </c>
      <c r="Q201" t="s">
        <v>297</v>
      </c>
      <c r="R201" t="s">
        <v>165</v>
      </c>
      <c r="S201" s="10">
        <v>1</v>
      </c>
      <c r="T201" t="s">
        <v>20</v>
      </c>
      <c r="U201" s="10">
        <v>17483.975399999999</v>
      </c>
      <c r="V201" s="4">
        <v>17483.975399999999</v>
      </c>
    </row>
    <row r="202" spans="15:22" x14ac:dyDescent="0.35">
      <c r="O202" s="3">
        <v>15</v>
      </c>
      <c r="P202" t="s">
        <v>542</v>
      </c>
      <c r="Q202" t="s">
        <v>543</v>
      </c>
      <c r="R202" t="s">
        <v>165</v>
      </c>
      <c r="S202" s="10">
        <v>1</v>
      </c>
      <c r="T202" t="s">
        <v>20</v>
      </c>
      <c r="U202" s="10">
        <v>22153.85</v>
      </c>
      <c r="V202" s="4">
        <v>22153.85</v>
      </c>
    </row>
    <row r="203" spans="15:22" x14ac:dyDescent="0.35">
      <c r="O203" s="3">
        <v>16</v>
      </c>
      <c r="P203" t="s">
        <v>544</v>
      </c>
      <c r="Q203" t="s">
        <v>545</v>
      </c>
      <c r="R203" t="s">
        <v>165</v>
      </c>
      <c r="S203" s="10">
        <v>10</v>
      </c>
      <c r="T203" t="s">
        <v>20</v>
      </c>
      <c r="U203" s="10">
        <v>15250</v>
      </c>
      <c r="V203" s="4">
        <v>152500</v>
      </c>
    </row>
    <row r="204" spans="15:22" x14ac:dyDescent="0.35">
      <c r="O204" s="3">
        <v>17</v>
      </c>
      <c r="P204" t="s">
        <v>547</v>
      </c>
      <c r="Q204" t="s">
        <v>548</v>
      </c>
      <c r="R204" t="s">
        <v>165</v>
      </c>
      <c r="S204" s="10">
        <v>3</v>
      </c>
      <c r="T204" t="s">
        <v>20</v>
      </c>
      <c r="U204" s="10">
        <v>19104.577099999999</v>
      </c>
      <c r="V204" s="4">
        <v>57313.731299999999</v>
      </c>
    </row>
    <row r="205" spans="15:22" x14ac:dyDescent="0.35">
      <c r="O205" s="3">
        <v>18</v>
      </c>
      <c r="P205" t="s">
        <v>436</v>
      </c>
      <c r="Q205" t="s">
        <v>437</v>
      </c>
      <c r="R205" t="s">
        <v>165</v>
      </c>
      <c r="S205" s="10">
        <v>2</v>
      </c>
      <c r="T205" t="s">
        <v>5</v>
      </c>
      <c r="U205" s="10">
        <v>5250</v>
      </c>
      <c r="V205" s="4">
        <v>10500</v>
      </c>
    </row>
    <row r="206" spans="15:22" x14ac:dyDescent="0.35">
      <c r="O206" s="3">
        <v>19</v>
      </c>
      <c r="P206" t="s">
        <v>184</v>
      </c>
      <c r="Q206" t="s">
        <v>185</v>
      </c>
      <c r="R206" t="s">
        <v>182</v>
      </c>
      <c r="S206" s="10">
        <v>31</v>
      </c>
      <c r="T206" t="s">
        <v>20</v>
      </c>
      <c r="U206" s="10">
        <v>1954.48</v>
      </c>
      <c r="V206" s="4">
        <v>60588.88</v>
      </c>
    </row>
    <row r="207" spans="15:22" x14ac:dyDescent="0.35">
      <c r="O207" s="3">
        <v>20</v>
      </c>
      <c r="P207" t="s">
        <v>549</v>
      </c>
      <c r="Q207" t="s">
        <v>550</v>
      </c>
      <c r="R207" t="s">
        <v>182</v>
      </c>
      <c r="S207" s="10">
        <v>1</v>
      </c>
      <c r="T207" t="s">
        <v>20</v>
      </c>
      <c r="U207" s="10">
        <v>43756.2</v>
      </c>
      <c r="V207" s="4">
        <v>43756.2</v>
      </c>
    </row>
    <row r="208" spans="15:22" x14ac:dyDescent="0.35">
      <c r="O208" s="3">
        <v>21</v>
      </c>
      <c r="P208" t="s">
        <v>187</v>
      </c>
      <c r="Q208" t="s">
        <v>188</v>
      </c>
      <c r="R208" t="s">
        <v>182</v>
      </c>
      <c r="S208" s="10">
        <v>28</v>
      </c>
      <c r="T208" t="s">
        <v>20</v>
      </c>
      <c r="U208" s="10">
        <v>3229</v>
      </c>
      <c r="V208" s="4">
        <v>90412</v>
      </c>
    </row>
    <row r="209" spans="15:22" x14ac:dyDescent="0.35">
      <c r="O209" s="3">
        <v>22</v>
      </c>
      <c r="P209" t="s">
        <v>438</v>
      </c>
      <c r="Q209" t="s">
        <v>439</v>
      </c>
      <c r="R209" t="s">
        <v>182</v>
      </c>
      <c r="S209" s="10">
        <v>1</v>
      </c>
      <c r="T209" t="s">
        <v>20</v>
      </c>
      <c r="U209" s="10">
        <v>3229</v>
      </c>
      <c r="V209" s="4">
        <v>3229</v>
      </c>
    </row>
    <row r="210" spans="15:22" x14ac:dyDescent="0.35">
      <c r="O210" s="3">
        <v>23</v>
      </c>
      <c r="P210" t="s">
        <v>551</v>
      </c>
      <c r="Q210" t="s">
        <v>552</v>
      </c>
      <c r="R210" t="s">
        <v>182</v>
      </c>
      <c r="S210" s="10">
        <v>1</v>
      </c>
      <c r="T210" t="s">
        <v>20</v>
      </c>
      <c r="U210" s="10">
        <v>49511.1</v>
      </c>
      <c r="V210" s="4">
        <v>49511.1</v>
      </c>
    </row>
    <row r="211" spans="15:22" x14ac:dyDescent="0.35">
      <c r="O211" s="3">
        <v>24</v>
      </c>
      <c r="P211" t="s">
        <v>553</v>
      </c>
      <c r="Q211" t="s">
        <v>554</v>
      </c>
      <c r="R211" t="s">
        <v>182</v>
      </c>
      <c r="S211" s="10">
        <v>1</v>
      </c>
      <c r="T211" t="s">
        <v>20</v>
      </c>
      <c r="U211" s="10">
        <v>21120</v>
      </c>
      <c r="V211" s="4">
        <v>21120</v>
      </c>
    </row>
    <row r="212" spans="15:22" x14ac:dyDescent="0.35">
      <c r="O212" s="3">
        <v>25</v>
      </c>
      <c r="P212" t="s">
        <v>474</v>
      </c>
      <c r="Q212" t="s">
        <v>475</v>
      </c>
      <c r="R212" t="s">
        <v>192</v>
      </c>
      <c r="S212" s="10">
        <v>8</v>
      </c>
      <c r="T212" t="s">
        <v>20</v>
      </c>
      <c r="U212" s="10">
        <v>8750</v>
      </c>
      <c r="V212" s="4">
        <v>70000</v>
      </c>
    </row>
    <row r="213" spans="15:22" x14ac:dyDescent="0.35">
      <c r="O213" s="3">
        <v>26</v>
      </c>
      <c r="P213" t="s">
        <v>190</v>
      </c>
      <c r="Q213" t="s">
        <v>191</v>
      </c>
      <c r="R213" t="s">
        <v>192</v>
      </c>
      <c r="S213" s="10">
        <v>2</v>
      </c>
      <c r="T213" t="s">
        <v>20</v>
      </c>
      <c r="U213" s="10">
        <v>138738.7334</v>
      </c>
      <c r="V213" s="4">
        <v>277477.46679999999</v>
      </c>
    </row>
    <row r="214" spans="15:22" x14ac:dyDescent="0.35">
      <c r="O214" s="3">
        <v>27</v>
      </c>
      <c r="P214" t="s">
        <v>442</v>
      </c>
      <c r="Q214" t="s">
        <v>443</v>
      </c>
      <c r="R214" t="s">
        <v>192</v>
      </c>
      <c r="S214" s="10">
        <v>23</v>
      </c>
      <c r="T214" t="s">
        <v>20</v>
      </c>
      <c r="U214" s="10">
        <v>18480</v>
      </c>
      <c r="V214" s="4">
        <v>425040</v>
      </c>
    </row>
    <row r="215" spans="15:22" x14ac:dyDescent="0.35">
      <c r="O215" s="3">
        <v>28</v>
      </c>
      <c r="P215" t="s">
        <v>555</v>
      </c>
      <c r="Q215" t="s">
        <v>556</v>
      </c>
      <c r="R215" t="s">
        <v>192</v>
      </c>
      <c r="S215" s="10">
        <v>1</v>
      </c>
      <c r="T215" t="s">
        <v>20</v>
      </c>
      <c r="U215" s="10">
        <v>34900</v>
      </c>
      <c r="V215" s="4">
        <v>34900</v>
      </c>
    </row>
    <row r="216" spans="15:22" x14ac:dyDescent="0.35">
      <c r="O216" s="3">
        <v>29</v>
      </c>
      <c r="P216" t="s">
        <v>333</v>
      </c>
      <c r="Q216" t="s">
        <v>334</v>
      </c>
      <c r="R216" t="s">
        <v>192</v>
      </c>
      <c r="S216" s="10">
        <v>123</v>
      </c>
      <c r="T216" t="s">
        <v>20</v>
      </c>
      <c r="U216" s="10">
        <v>3666.67</v>
      </c>
      <c r="V216" s="4">
        <v>451000.41</v>
      </c>
    </row>
    <row r="217" spans="15:22" x14ac:dyDescent="0.35">
      <c r="O217" s="3">
        <v>30</v>
      </c>
      <c r="P217" t="s">
        <v>557</v>
      </c>
      <c r="Q217" t="s">
        <v>558</v>
      </c>
      <c r="R217" t="s">
        <v>192</v>
      </c>
      <c r="S217">
        <v>3</v>
      </c>
      <c r="T217" t="s">
        <v>20</v>
      </c>
      <c r="U217">
        <v>12235.890000000003</v>
      </c>
      <c r="V217" s="4">
        <v>36707.67</v>
      </c>
    </row>
    <row r="218" spans="15:22" ht="15" thickBot="1" x14ac:dyDescent="0.4">
      <c r="O218" s="11" t="s">
        <v>223</v>
      </c>
      <c r="P218" s="12" t="s">
        <v>223</v>
      </c>
      <c r="Q218" s="12" t="s">
        <v>223</v>
      </c>
      <c r="R218" s="12" t="s">
        <v>223</v>
      </c>
      <c r="S218" s="12" t="s">
        <v>223</v>
      </c>
      <c r="T218" s="12" t="s">
        <v>223</v>
      </c>
      <c r="U218" s="12" t="s">
        <v>224</v>
      </c>
      <c r="V218" s="13">
        <v>3963484.3558000005</v>
      </c>
    </row>
    <row r="219" spans="15:22" ht="15" thickTop="1" x14ac:dyDescent="0.35"/>
  </sheetData>
  <mergeCells count="96">
    <mergeCell ref="AF110:AG110"/>
    <mergeCell ref="AF105:AG105"/>
    <mergeCell ref="AF106:AG106"/>
    <mergeCell ref="AF107:AG107"/>
    <mergeCell ref="AF108:AG108"/>
    <mergeCell ref="AF109:AG109"/>
    <mergeCell ref="AF74:AG74"/>
    <mergeCell ref="AF75:AG75"/>
    <mergeCell ref="AF76:AG76"/>
    <mergeCell ref="AF102:AJ102"/>
    <mergeCell ref="AF103:AJ103"/>
    <mergeCell ref="AF68:AJ68"/>
    <mergeCell ref="AF69:AJ69"/>
    <mergeCell ref="AF71:AG71"/>
    <mergeCell ref="AF72:AG72"/>
    <mergeCell ref="AF73:AG73"/>
    <mergeCell ref="AF40:AG40"/>
    <mergeCell ref="AF41:AG41"/>
    <mergeCell ref="AF42:AG42"/>
    <mergeCell ref="AF43:AG43"/>
    <mergeCell ref="AF44:AG44"/>
    <mergeCell ref="AF9:AG9"/>
    <mergeCell ref="AF10:AG10"/>
    <mergeCell ref="AF36:AJ36"/>
    <mergeCell ref="AF37:AJ37"/>
    <mergeCell ref="AF39:AG39"/>
    <mergeCell ref="O8:P8"/>
    <mergeCell ref="AF2:AJ2"/>
    <mergeCell ref="AF3:AJ3"/>
    <mergeCell ref="AF5:AG5"/>
    <mergeCell ref="AF6:AG6"/>
    <mergeCell ref="AF7:AG7"/>
    <mergeCell ref="AF8:AG8"/>
    <mergeCell ref="O2:S2"/>
    <mergeCell ref="O3:S3"/>
    <mergeCell ref="O5:P5"/>
    <mergeCell ref="O6:P6"/>
    <mergeCell ref="O7:P7"/>
    <mergeCell ref="O34:S34"/>
    <mergeCell ref="O9:P9"/>
    <mergeCell ref="O10:P10"/>
    <mergeCell ref="O19:S19"/>
    <mergeCell ref="O20:S20"/>
    <mergeCell ref="O22:P22"/>
    <mergeCell ref="O23:P23"/>
    <mergeCell ref="O24:P24"/>
    <mergeCell ref="O25:P25"/>
    <mergeCell ref="O26:P26"/>
    <mergeCell ref="O27:P27"/>
    <mergeCell ref="O33:S33"/>
    <mergeCell ref="O54:P54"/>
    <mergeCell ref="O36:P36"/>
    <mergeCell ref="O37:P37"/>
    <mergeCell ref="O38:P38"/>
    <mergeCell ref="O39:P39"/>
    <mergeCell ref="O40:P40"/>
    <mergeCell ref="O41:P41"/>
    <mergeCell ref="O48:S48"/>
    <mergeCell ref="O49:S49"/>
    <mergeCell ref="O51:P51"/>
    <mergeCell ref="O52:P52"/>
    <mergeCell ref="O53:P53"/>
    <mergeCell ref="O96:S96"/>
    <mergeCell ref="O55:P55"/>
    <mergeCell ref="O56:P56"/>
    <mergeCell ref="O63:S63"/>
    <mergeCell ref="O64:S64"/>
    <mergeCell ref="O66:P66"/>
    <mergeCell ref="O67:P67"/>
    <mergeCell ref="O68:P68"/>
    <mergeCell ref="O69:P69"/>
    <mergeCell ref="O70:P70"/>
    <mergeCell ref="O71:P71"/>
    <mergeCell ref="O95:S95"/>
    <mergeCell ref="O139:P139"/>
    <mergeCell ref="O98:P98"/>
    <mergeCell ref="O99:P99"/>
    <mergeCell ref="O100:P100"/>
    <mergeCell ref="O101:P101"/>
    <mergeCell ref="O102:P102"/>
    <mergeCell ref="O103:P103"/>
    <mergeCell ref="O133:S133"/>
    <mergeCell ref="O134:S134"/>
    <mergeCell ref="O136:P136"/>
    <mergeCell ref="O137:P137"/>
    <mergeCell ref="O138:P138"/>
    <mergeCell ref="O182:P182"/>
    <mergeCell ref="O183:P183"/>
    <mergeCell ref="O184:P184"/>
    <mergeCell ref="O185:P185"/>
    <mergeCell ref="O140:P140"/>
    <mergeCell ref="O141:P141"/>
    <mergeCell ref="O177:S177"/>
    <mergeCell ref="O178:S178"/>
    <mergeCell ref="O180:P180"/>
    <mergeCell ref="O181:P181"/>
  </mergeCells>
  <conditionalFormatting sqref="H6:H137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6:J137">
    <cfRule type="containsText" dxfId="41" priority="3" operator="containsText" text="tidak ada perubahan">
      <formula>NOT(ISERROR(SEARCH("tidak ada perubahan",J6)))</formula>
    </cfRule>
    <cfRule type="containsText" dxfId="40" priority="2" operator="containsText" text="kenaikan iu">
      <formula>NOT(ISERROR(SEARCH("kenaikan iu",J6)))</formula>
    </cfRule>
  </conditionalFormatting>
  <conditionalFormatting sqref="J6:J137">
    <cfRule type="containsText" dxfId="39" priority="1" operator="containsText" text="penurunan iu">
      <formula>NOT(ISERROR(SEARCH("penurunan iu",J6)))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EF07E-F391-4FCF-A158-F35D74222055}">
  <sheetPr codeName="Sheet5"/>
  <dimension ref="A1:BC185"/>
  <sheetViews>
    <sheetView showGridLines="0" topLeftCell="A74" zoomScale="60" zoomScaleNormal="60" workbookViewId="0">
      <selection activeCell="K6" sqref="K6:K112"/>
    </sheetView>
  </sheetViews>
  <sheetFormatPr defaultRowHeight="14.5" x14ac:dyDescent="0.35"/>
  <cols>
    <col min="1" max="1" width="11" bestFit="1" customWidth="1"/>
    <col min="2" max="2" width="62" bestFit="1" customWidth="1"/>
    <col min="3" max="3" width="30.1796875" bestFit="1" customWidth="1"/>
    <col min="5" max="5" width="10.36328125" bestFit="1" customWidth="1"/>
    <col min="7" max="7" width="12.453125" bestFit="1" customWidth="1"/>
    <col min="9" max="9" width="13.36328125" bestFit="1" customWidth="1"/>
    <col min="10" max="10" width="18.90625" bestFit="1" customWidth="1"/>
    <col min="11" max="11" width="52.1796875" customWidth="1"/>
  </cols>
  <sheetData>
    <row r="1" spans="1:55" ht="15" thickBot="1" x14ac:dyDescent="0.4"/>
    <row r="2" spans="1:55" ht="15.5" thickTop="1" thickBot="1" x14ac:dyDescent="0.4">
      <c r="O2" s="88" t="s">
        <v>0</v>
      </c>
      <c r="P2" s="89"/>
      <c r="Q2" s="89"/>
      <c r="R2" s="89"/>
      <c r="S2" s="89"/>
      <c r="T2" s="1"/>
      <c r="U2" s="1"/>
      <c r="V2" s="2"/>
      <c r="AF2" s="84" t="s">
        <v>0</v>
      </c>
      <c r="AG2" s="85"/>
      <c r="AH2" s="85"/>
      <c r="AI2" s="85"/>
      <c r="AJ2" s="85"/>
      <c r="AK2" s="16"/>
      <c r="AL2" s="16"/>
      <c r="AM2" s="17"/>
      <c r="AO2" s="25" t="s">
        <v>230</v>
      </c>
      <c r="AP2" s="16" t="s">
        <v>231</v>
      </c>
      <c r="AQ2" s="16" t="s">
        <v>67</v>
      </c>
      <c r="AR2" s="26">
        <v>3</v>
      </c>
      <c r="AS2" s="16" t="s">
        <v>5</v>
      </c>
      <c r="AT2" s="26">
        <v>8920.7541999999994</v>
      </c>
      <c r="AU2" s="17">
        <v>26762.262599999998</v>
      </c>
      <c r="AW2" s="25" t="s">
        <v>230</v>
      </c>
      <c r="AX2" s="16" t="s">
        <v>231</v>
      </c>
      <c r="AY2" s="16" t="s">
        <v>67</v>
      </c>
      <c r="AZ2" s="26">
        <v>3</v>
      </c>
      <c r="BA2" s="16" t="s">
        <v>5</v>
      </c>
      <c r="BB2" s="26">
        <v>8920.7541999999994</v>
      </c>
      <c r="BC2" s="17">
        <v>26762.262599999998</v>
      </c>
    </row>
    <row r="3" spans="1:55" ht="21.5" thickTop="1" x14ac:dyDescent="0.5">
      <c r="B3" s="14" t="s">
        <v>843</v>
      </c>
      <c r="O3" s="86" t="s">
        <v>1</v>
      </c>
      <c r="P3" s="87"/>
      <c r="Q3" s="87"/>
      <c r="R3" s="87"/>
      <c r="S3" s="87"/>
      <c r="V3" s="4"/>
      <c r="X3" s="7" t="s">
        <v>460</v>
      </c>
      <c r="Y3" s="1" t="s">
        <v>461</v>
      </c>
      <c r="Z3" s="1" t="s">
        <v>117</v>
      </c>
      <c r="AA3" s="8">
        <v>5</v>
      </c>
      <c r="AB3" s="1" t="s">
        <v>20</v>
      </c>
      <c r="AC3" s="8">
        <v>233122.90700000004</v>
      </c>
      <c r="AD3" s="2">
        <v>1165614.5349999999</v>
      </c>
      <c r="AF3" s="82" t="s">
        <v>1</v>
      </c>
      <c r="AG3" s="83"/>
      <c r="AH3" s="83"/>
      <c r="AI3" s="83"/>
      <c r="AJ3" s="83"/>
      <c r="AK3" s="18"/>
      <c r="AL3" s="18"/>
      <c r="AM3" s="19"/>
      <c r="AO3" s="20" t="s">
        <v>388</v>
      </c>
      <c r="AP3" s="18" t="s">
        <v>389</v>
      </c>
      <c r="AQ3" s="18" t="s">
        <v>67</v>
      </c>
      <c r="AR3" s="21">
        <v>10</v>
      </c>
      <c r="AS3" s="18" t="s">
        <v>20</v>
      </c>
      <c r="AT3" s="21">
        <v>2107.7273</v>
      </c>
      <c r="AU3" s="19">
        <v>21077.273000000001</v>
      </c>
      <c r="AW3" s="20" t="s">
        <v>388</v>
      </c>
      <c r="AX3" s="18" t="s">
        <v>389</v>
      </c>
      <c r="AY3" s="18" t="s">
        <v>67</v>
      </c>
      <c r="AZ3" s="21">
        <v>10</v>
      </c>
      <c r="BA3" s="18" t="s">
        <v>20</v>
      </c>
      <c r="BB3" s="21">
        <v>2107.7273</v>
      </c>
      <c r="BC3" s="19">
        <v>21077.273000000001</v>
      </c>
    </row>
    <row r="4" spans="1:55" ht="15" thickBot="1" x14ac:dyDescent="0.4">
      <c r="O4" s="3"/>
      <c r="V4" s="4"/>
      <c r="X4" s="3" t="s">
        <v>565</v>
      </c>
      <c r="Y4" t="s">
        <v>566</v>
      </c>
      <c r="Z4" t="s">
        <v>117</v>
      </c>
      <c r="AA4" s="10">
        <v>2</v>
      </c>
      <c r="AB4" t="s">
        <v>20</v>
      </c>
      <c r="AC4" s="10">
        <v>85000</v>
      </c>
      <c r="AD4" s="4">
        <v>170000</v>
      </c>
      <c r="AF4" s="20"/>
      <c r="AG4" s="18"/>
      <c r="AH4" s="18"/>
      <c r="AI4" s="18"/>
      <c r="AJ4" s="18"/>
      <c r="AK4" s="18"/>
      <c r="AL4" s="18"/>
      <c r="AM4" s="19"/>
      <c r="AO4" s="20" t="s">
        <v>75</v>
      </c>
      <c r="AP4" s="18" t="s">
        <v>76</v>
      </c>
      <c r="AQ4" s="18" t="s">
        <v>67</v>
      </c>
      <c r="AR4" s="21">
        <v>4</v>
      </c>
      <c r="AS4" s="18" t="s">
        <v>74</v>
      </c>
      <c r="AT4" s="21">
        <v>5721.4286000000002</v>
      </c>
      <c r="AU4" s="19">
        <v>22885.714400000001</v>
      </c>
      <c r="AW4" s="20" t="s">
        <v>75</v>
      </c>
      <c r="AX4" s="18" t="s">
        <v>76</v>
      </c>
      <c r="AY4" s="18" t="s">
        <v>67</v>
      </c>
      <c r="AZ4" s="21">
        <v>4</v>
      </c>
      <c r="BA4" s="18" t="s">
        <v>74</v>
      </c>
      <c r="BB4" s="21">
        <v>5721.4286000000002</v>
      </c>
      <c r="BC4" s="19">
        <v>22885.714400000001</v>
      </c>
    </row>
    <row r="5" spans="1:55" ht="33.5" customHeight="1" thickTop="1" thickBot="1" x14ac:dyDescent="0.4">
      <c r="A5" s="33" t="s">
        <v>200</v>
      </c>
      <c r="B5" s="34" t="s">
        <v>201</v>
      </c>
      <c r="C5" s="34" t="s">
        <v>202</v>
      </c>
      <c r="D5" s="34" t="s">
        <v>203</v>
      </c>
      <c r="E5" s="34" t="s">
        <v>204</v>
      </c>
      <c r="F5" s="35" t="s">
        <v>206</v>
      </c>
      <c r="G5" s="35" t="s">
        <v>470</v>
      </c>
      <c r="H5" s="35" t="s">
        <v>207</v>
      </c>
      <c r="I5" s="34" t="s">
        <v>208</v>
      </c>
      <c r="J5" s="34" t="s">
        <v>209</v>
      </c>
      <c r="K5" s="36" t="s">
        <v>860</v>
      </c>
      <c r="O5" s="86" t="s">
        <v>10</v>
      </c>
      <c r="P5" s="87" t="s">
        <v>11</v>
      </c>
      <c r="Q5" t="s">
        <v>567</v>
      </c>
      <c r="V5" s="4"/>
      <c r="X5" s="3" t="s">
        <v>568</v>
      </c>
      <c r="Y5" t="s">
        <v>569</v>
      </c>
      <c r="Z5" t="s">
        <v>117</v>
      </c>
      <c r="AA5" s="10">
        <v>1</v>
      </c>
      <c r="AB5" t="s">
        <v>20</v>
      </c>
      <c r="AC5" s="10">
        <v>66600</v>
      </c>
      <c r="AD5" s="4">
        <v>66600</v>
      </c>
      <c r="AF5" s="82" t="s">
        <v>10</v>
      </c>
      <c r="AG5" s="83" t="s">
        <v>11</v>
      </c>
      <c r="AH5" s="18" t="s">
        <v>823</v>
      </c>
      <c r="AI5" s="18"/>
      <c r="AJ5" s="18"/>
      <c r="AK5" s="18"/>
      <c r="AL5" s="18"/>
      <c r="AM5" s="19"/>
      <c r="AO5" s="20" t="s">
        <v>79</v>
      </c>
      <c r="AP5" s="18" t="s">
        <v>80</v>
      </c>
      <c r="AQ5" s="18" t="s">
        <v>67</v>
      </c>
      <c r="AR5" s="21">
        <v>2</v>
      </c>
      <c r="AS5" s="18" t="s">
        <v>20</v>
      </c>
      <c r="AT5" s="21">
        <v>15000</v>
      </c>
      <c r="AU5" s="19">
        <v>30000</v>
      </c>
      <c r="AW5" s="20" t="s">
        <v>79</v>
      </c>
      <c r="AX5" s="18" t="s">
        <v>80</v>
      </c>
      <c r="AY5" s="18" t="s">
        <v>67</v>
      </c>
      <c r="AZ5" s="21">
        <v>2</v>
      </c>
      <c r="BA5" s="18" t="s">
        <v>20</v>
      </c>
      <c r="BB5" s="21">
        <v>15000</v>
      </c>
      <c r="BC5" s="19">
        <v>30000</v>
      </c>
    </row>
    <row r="6" spans="1:55" ht="15" thickTop="1" x14ac:dyDescent="0.35">
      <c r="A6" s="38" t="str" cm="1">
        <f t="array" ref="A6:A112">_xlfn.UNIQUE(_xlfn._xlws.FILTER(AW2:AW300, AW2:AW300 &lt;&gt; ""))</f>
        <v>STA00020</v>
      </c>
      <c r="B6" s="31" t="str">
        <f>_xlfn.XLOOKUP(A6, AW$2:AW$300, AX$2:AX$300, "", 0)</f>
        <v>BATERAI AA</v>
      </c>
      <c r="C6" s="31" t="str">
        <f>_xlfn.XLOOKUP(A6, AW$2:AW$300, AY$2:AY$300, "", 0)</f>
        <v>STATIONARY AND OFFICE SUPPLIES</v>
      </c>
      <c r="D6" s="39" t="str">
        <f>_xlfn.XLOOKUP(A6, AW$2:AW$300, BA$2:BA$300, "", 0)</f>
        <v>pack</v>
      </c>
      <c r="E6" s="53">
        <f>_xlfn.XLOOKUP(A6, AW$2:AW$300, BB$2:BB$300, "", 0)</f>
        <v>8920.7541999999994</v>
      </c>
      <c r="F6" s="54" t="str">
        <f>_xlfn.XLOOKUP(A6, X$3:X$300, AA$3:AA$300, "0", 0)</f>
        <v>0</v>
      </c>
      <c r="G6" s="54">
        <f>_xlfn.XLOOKUP(A6, AO$2:AO$300, AR$2:AR$300, "0", 0)</f>
        <v>3</v>
      </c>
      <c r="H6" s="48">
        <f>G6-F6</f>
        <v>3</v>
      </c>
      <c r="I6" s="53">
        <f>H6*E6</f>
        <v>26762.262599999998</v>
      </c>
      <c r="J6" s="31" t="str">
        <f>CHOOSE(SIGN(G6 - F6) + 2, "Penurunan IU", "Tidak Ada Perubahan", "Kenaikan IU")</f>
        <v>Kenaikan IU</v>
      </c>
      <c r="K6" s="42" t="s">
        <v>1209</v>
      </c>
      <c r="O6" s="86" t="s">
        <v>16</v>
      </c>
      <c r="P6" s="87" t="s">
        <v>11</v>
      </c>
      <c r="Q6" t="s">
        <v>570</v>
      </c>
      <c r="V6" s="4"/>
      <c r="X6" s="3" t="s">
        <v>571</v>
      </c>
      <c r="Y6" t="s">
        <v>572</v>
      </c>
      <c r="Z6" t="s">
        <v>117</v>
      </c>
      <c r="AA6" s="10">
        <v>7</v>
      </c>
      <c r="AB6" t="s">
        <v>20</v>
      </c>
      <c r="AC6" s="10">
        <v>4698</v>
      </c>
      <c r="AD6" s="4">
        <v>32886</v>
      </c>
      <c r="AF6" s="82" t="s">
        <v>16</v>
      </c>
      <c r="AG6" s="83" t="s">
        <v>11</v>
      </c>
      <c r="AH6" s="18" t="s">
        <v>211</v>
      </c>
      <c r="AI6" s="18"/>
      <c r="AJ6" s="18"/>
      <c r="AK6" s="18"/>
      <c r="AL6" s="18"/>
      <c r="AM6" s="19"/>
      <c r="AO6" s="20" t="s">
        <v>357</v>
      </c>
      <c r="AP6" s="18" t="s">
        <v>358</v>
      </c>
      <c r="AQ6" s="18" t="s">
        <v>67</v>
      </c>
      <c r="AR6" s="21">
        <v>0.2</v>
      </c>
      <c r="AS6" s="18" t="s">
        <v>5</v>
      </c>
      <c r="AT6" s="21">
        <v>32500</v>
      </c>
      <c r="AU6" s="19">
        <v>6500</v>
      </c>
      <c r="AW6" s="20" t="s">
        <v>357</v>
      </c>
      <c r="AX6" s="18" t="s">
        <v>358</v>
      </c>
      <c r="AY6" s="18" t="s">
        <v>67</v>
      </c>
      <c r="AZ6" s="21">
        <v>0.2</v>
      </c>
      <c r="BA6" s="18" t="s">
        <v>5</v>
      </c>
      <c r="BB6" s="21">
        <v>32500</v>
      </c>
      <c r="BC6" s="19">
        <v>6500</v>
      </c>
    </row>
    <row r="7" spans="1:55" x14ac:dyDescent="0.35">
      <c r="A7" s="38" t="str">
        <v>STA00027</v>
      </c>
      <c r="B7" s="31" t="str">
        <f t="shared" ref="B7:B70" si="0">_xlfn.XLOOKUP(A7, AW$2:AW$300, AX$2:AX$300, "", 0)</f>
        <v>BALLPOINT</v>
      </c>
      <c r="C7" s="31" t="str">
        <f t="shared" ref="C7:C70" si="1">_xlfn.XLOOKUP(A7, AW$2:AW$300, AY$2:AY$300, "", 0)</f>
        <v>STATIONARY AND OFFICE SUPPLIES</v>
      </c>
      <c r="D7" s="39" t="str">
        <f t="shared" ref="D7:D70" si="2">_xlfn.XLOOKUP(A7, AW$2:AW$300, BA$2:BA$300, "", 0)</f>
        <v>pcs</v>
      </c>
      <c r="E7" s="53">
        <f t="shared" ref="E7:E70" si="3">_xlfn.XLOOKUP(A7, AW$2:AW$300, BB$2:BB$300, "", 0)</f>
        <v>2107.7273</v>
      </c>
      <c r="F7" s="54">
        <f t="shared" ref="F7:F70" si="4">_xlfn.XLOOKUP(A7, X$3:X$300, AA$3:AA$300, "0", 0)</f>
        <v>10</v>
      </c>
      <c r="G7" s="54">
        <f t="shared" ref="G7:G70" si="5">_xlfn.XLOOKUP(A7, AO$2:AO$300, AR$2:AR$300, "0", 0)</f>
        <v>10</v>
      </c>
      <c r="H7" s="48">
        <f t="shared" ref="H7:H70" si="6">G7-F7</f>
        <v>0</v>
      </c>
      <c r="I7" s="53">
        <f t="shared" ref="I7:I70" si="7">H7*E7</f>
        <v>0</v>
      </c>
      <c r="J7" s="31" t="str">
        <f t="shared" ref="J7:J70" si="8">CHOOSE(SIGN(G7 - F7) + 2, "Penurunan IU", "Tidak Ada Perubahan", "Kenaikan IU")</f>
        <v>Tidak Ada Perubahan</v>
      </c>
      <c r="K7" s="42" t="s">
        <v>1210</v>
      </c>
      <c r="O7" s="86" t="s">
        <v>21</v>
      </c>
      <c r="P7" s="87" t="s">
        <v>11</v>
      </c>
      <c r="Q7" t="s">
        <v>573</v>
      </c>
      <c r="V7" s="4"/>
      <c r="X7" s="3" t="s">
        <v>115</v>
      </c>
      <c r="Y7" t="s">
        <v>116</v>
      </c>
      <c r="Z7" t="s">
        <v>117</v>
      </c>
      <c r="AA7" s="10">
        <v>1000</v>
      </c>
      <c r="AB7" t="s">
        <v>52</v>
      </c>
      <c r="AC7" s="10">
        <v>628.57100000000003</v>
      </c>
      <c r="AD7" s="4">
        <v>628571</v>
      </c>
      <c r="AF7" s="82" t="s">
        <v>21</v>
      </c>
      <c r="AG7" s="83" t="s">
        <v>11</v>
      </c>
      <c r="AH7" s="18" t="s">
        <v>573</v>
      </c>
      <c r="AI7" s="18"/>
      <c r="AJ7" s="18"/>
      <c r="AK7" s="18"/>
      <c r="AL7" s="18"/>
      <c r="AM7" s="19"/>
      <c r="AO7" s="20" t="s">
        <v>83</v>
      </c>
      <c r="AP7" s="18" t="s">
        <v>84</v>
      </c>
      <c r="AQ7" s="18" t="s">
        <v>67</v>
      </c>
      <c r="AR7" s="21">
        <v>2</v>
      </c>
      <c r="AS7" s="18" t="s">
        <v>20</v>
      </c>
      <c r="AT7" s="21">
        <v>13625</v>
      </c>
      <c r="AU7" s="19">
        <v>27250</v>
      </c>
      <c r="AW7" s="20" t="s">
        <v>83</v>
      </c>
      <c r="AX7" s="18" t="s">
        <v>84</v>
      </c>
      <c r="AY7" s="18" t="s">
        <v>67</v>
      </c>
      <c r="AZ7" s="21">
        <v>2</v>
      </c>
      <c r="BA7" s="18" t="s">
        <v>20</v>
      </c>
      <c r="BB7" s="21">
        <v>13625</v>
      </c>
      <c r="BC7" s="19">
        <v>27250</v>
      </c>
    </row>
    <row r="8" spans="1:55" x14ac:dyDescent="0.35">
      <c r="A8" s="38" t="str">
        <v>STA00029</v>
      </c>
      <c r="B8" s="31" t="str">
        <f t="shared" si="0"/>
        <v>SOLATIP SEDANG</v>
      </c>
      <c r="C8" s="31" t="str">
        <f t="shared" si="1"/>
        <v>STATIONARY AND OFFICE SUPPLIES</v>
      </c>
      <c r="D8" s="39" t="str">
        <f t="shared" si="2"/>
        <v>roll</v>
      </c>
      <c r="E8" s="53">
        <f t="shared" si="3"/>
        <v>5721.4286000000002</v>
      </c>
      <c r="F8" s="54">
        <f t="shared" si="4"/>
        <v>3</v>
      </c>
      <c r="G8" s="54">
        <f t="shared" si="5"/>
        <v>4</v>
      </c>
      <c r="H8" s="48">
        <f t="shared" si="6"/>
        <v>1</v>
      </c>
      <c r="I8" s="53">
        <f t="shared" si="7"/>
        <v>5721.4286000000002</v>
      </c>
      <c r="J8" s="31" t="str">
        <f t="shared" si="8"/>
        <v>Kenaikan IU</v>
      </c>
      <c r="K8" s="42" t="s">
        <v>1211</v>
      </c>
      <c r="O8" s="86" t="s">
        <v>26</v>
      </c>
      <c r="P8" s="87" t="s">
        <v>11</v>
      </c>
      <c r="Q8" t="s">
        <v>574</v>
      </c>
      <c r="V8" s="4"/>
      <c r="X8" s="3" t="s">
        <v>318</v>
      </c>
      <c r="Y8" t="s">
        <v>319</v>
      </c>
      <c r="Z8" t="s">
        <v>117</v>
      </c>
      <c r="AA8">
        <v>50</v>
      </c>
      <c r="AB8" t="s">
        <v>20</v>
      </c>
      <c r="AC8">
        <v>800</v>
      </c>
      <c r="AD8" s="4">
        <v>40000</v>
      </c>
      <c r="AF8" s="82" t="s">
        <v>26</v>
      </c>
      <c r="AG8" s="83" t="s">
        <v>11</v>
      </c>
      <c r="AH8" s="18" t="s">
        <v>824</v>
      </c>
      <c r="AI8" s="18"/>
      <c r="AJ8" s="18"/>
      <c r="AK8" s="18"/>
      <c r="AL8" s="18"/>
      <c r="AM8" s="19"/>
      <c r="AO8" s="20" t="s">
        <v>242</v>
      </c>
      <c r="AP8" s="18" t="s">
        <v>243</v>
      </c>
      <c r="AQ8" s="18" t="s">
        <v>67</v>
      </c>
      <c r="AR8" s="21">
        <v>3</v>
      </c>
      <c r="AS8" s="18" t="s">
        <v>87</v>
      </c>
      <c r="AT8" s="21">
        <v>13600</v>
      </c>
      <c r="AU8" s="19">
        <v>40800</v>
      </c>
      <c r="AW8" s="20" t="s">
        <v>242</v>
      </c>
      <c r="AX8" s="18" t="s">
        <v>243</v>
      </c>
      <c r="AY8" s="18" t="s">
        <v>67</v>
      </c>
      <c r="AZ8" s="21">
        <v>3</v>
      </c>
      <c r="BA8" s="18" t="s">
        <v>87</v>
      </c>
      <c r="BB8" s="21">
        <v>13600</v>
      </c>
      <c r="BC8" s="19">
        <v>40800</v>
      </c>
    </row>
    <row r="9" spans="1:55" x14ac:dyDescent="0.35">
      <c r="A9" s="38" t="str">
        <v>STA00033</v>
      </c>
      <c r="B9" s="31" t="str">
        <f t="shared" si="0"/>
        <v>SPIDOL HACCP</v>
      </c>
      <c r="C9" s="31" t="str">
        <f t="shared" si="1"/>
        <v>STATIONARY AND OFFICE SUPPLIES</v>
      </c>
      <c r="D9" s="39" t="str">
        <f t="shared" si="2"/>
        <v>pcs</v>
      </c>
      <c r="E9" s="53">
        <f t="shared" si="3"/>
        <v>15000</v>
      </c>
      <c r="F9" s="54">
        <f t="shared" si="4"/>
        <v>1</v>
      </c>
      <c r="G9" s="54">
        <f t="shared" si="5"/>
        <v>2</v>
      </c>
      <c r="H9" s="48">
        <f t="shared" si="6"/>
        <v>1</v>
      </c>
      <c r="I9" s="53">
        <f t="shared" si="7"/>
        <v>15000</v>
      </c>
      <c r="J9" s="31" t="str">
        <f t="shared" si="8"/>
        <v>Kenaikan IU</v>
      </c>
      <c r="K9" s="42" t="s">
        <v>1212</v>
      </c>
      <c r="O9" s="86" t="s">
        <v>31</v>
      </c>
      <c r="P9" s="87" t="s">
        <v>11</v>
      </c>
      <c r="Q9" t="s">
        <v>186</v>
      </c>
      <c r="V9" s="4"/>
      <c r="X9" s="3" t="s">
        <v>121</v>
      </c>
      <c r="Y9" t="s">
        <v>122</v>
      </c>
      <c r="Z9" t="s">
        <v>123</v>
      </c>
      <c r="AA9" s="10">
        <v>5</v>
      </c>
      <c r="AB9" t="s">
        <v>5</v>
      </c>
      <c r="AC9" s="10">
        <v>5829.8370000000004</v>
      </c>
      <c r="AD9" s="4">
        <v>29149.185000000001</v>
      </c>
      <c r="AF9" s="82" t="s">
        <v>31</v>
      </c>
      <c r="AG9" s="83" t="s">
        <v>11</v>
      </c>
      <c r="AH9" s="18" t="s">
        <v>109</v>
      </c>
      <c r="AI9" s="18"/>
      <c r="AJ9" s="18"/>
      <c r="AK9" s="18"/>
      <c r="AL9" s="18"/>
      <c r="AM9" s="19"/>
      <c r="AO9" s="20" t="s">
        <v>90</v>
      </c>
      <c r="AP9" s="18" t="s">
        <v>91</v>
      </c>
      <c r="AQ9" s="18" t="s">
        <v>67</v>
      </c>
      <c r="AR9" s="21">
        <v>1</v>
      </c>
      <c r="AS9" s="18" t="s">
        <v>5</v>
      </c>
      <c r="AT9" s="21">
        <v>5666.6666999999989</v>
      </c>
      <c r="AU9" s="19">
        <v>5666.6666999999998</v>
      </c>
      <c r="AW9" s="20" t="s">
        <v>90</v>
      </c>
      <c r="AX9" s="18" t="s">
        <v>91</v>
      </c>
      <c r="AY9" s="18" t="s">
        <v>67</v>
      </c>
      <c r="AZ9" s="21">
        <v>1</v>
      </c>
      <c r="BA9" s="18" t="s">
        <v>5</v>
      </c>
      <c r="BB9" s="21">
        <v>5666.6666999999989</v>
      </c>
      <c r="BC9" s="19">
        <v>5666.6666999999998</v>
      </c>
    </row>
    <row r="10" spans="1:55" x14ac:dyDescent="0.35">
      <c r="A10" s="38" t="str">
        <v>STA00042</v>
      </c>
      <c r="B10" s="31" t="str">
        <f t="shared" si="0"/>
        <v>KARET GELANG</v>
      </c>
      <c r="C10" s="31" t="str">
        <f t="shared" si="1"/>
        <v>STATIONARY AND OFFICE SUPPLIES</v>
      </c>
      <c r="D10" s="39" t="str">
        <f t="shared" si="2"/>
        <v>pack</v>
      </c>
      <c r="E10" s="53">
        <f t="shared" si="3"/>
        <v>32500</v>
      </c>
      <c r="F10" s="54" t="str">
        <f t="shared" si="4"/>
        <v>0</v>
      </c>
      <c r="G10" s="54">
        <f t="shared" si="5"/>
        <v>0.2</v>
      </c>
      <c r="H10" s="48">
        <f t="shared" si="6"/>
        <v>0.2</v>
      </c>
      <c r="I10" s="53">
        <f t="shared" si="7"/>
        <v>6500</v>
      </c>
      <c r="J10" s="31" t="str">
        <f t="shared" si="8"/>
        <v>Kenaikan IU</v>
      </c>
      <c r="K10" s="42" t="s">
        <v>1212</v>
      </c>
      <c r="O10" s="86" t="s">
        <v>35</v>
      </c>
      <c r="P10" s="87" t="s">
        <v>11</v>
      </c>
      <c r="Q10" t="s">
        <v>575</v>
      </c>
      <c r="V10" s="4"/>
      <c r="X10" s="3" t="s">
        <v>124</v>
      </c>
      <c r="Y10" t="s">
        <v>125</v>
      </c>
      <c r="Z10" t="s">
        <v>123</v>
      </c>
      <c r="AA10" s="10">
        <v>5</v>
      </c>
      <c r="AB10" t="s">
        <v>5</v>
      </c>
      <c r="AC10" s="10">
        <v>5403.2861999999996</v>
      </c>
      <c r="AD10" s="4">
        <v>27016.431</v>
      </c>
      <c r="AF10" s="82" t="s">
        <v>35</v>
      </c>
      <c r="AG10" s="83" t="s">
        <v>11</v>
      </c>
      <c r="AH10" s="18" t="s">
        <v>825</v>
      </c>
      <c r="AI10" s="18"/>
      <c r="AJ10" s="18"/>
      <c r="AK10" s="18"/>
      <c r="AL10" s="18"/>
      <c r="AM10" s="19"/>
      <c r="AO10" s="20" t="s">
        <v>92</v>
      </c>
      <c r="AP10" s="18" t="s">
        <v>93</v>
      </c>
      <c r="AQ10" s="18" t="s">
        <v>67</v>
      </c>
      <c r="AR10" s="21">
        <v>1</v>
      </c>
      <c r="AS10" s="18" t="s">
        <v>94</v>
      </c>
      <c r="AT10" s="21">
        <v>11800</v>
      </c>
      <c r="AU10" s="19">
        <v>11800</v>
      </c>
      <c r="AW10" s="20" t="s">
        <v>92</v>
      </c>
      <c r="AX10" s="18" t="s">
        <v>93</v>
      </c>
      <c r="AY10" s="18" t="s">
        <v>67</v>
      </c>
      <c r="AZ10" s="21">
        <v>1</v>
      </c>
      <c r="BA10" s="18" t="s">
        <v>94</v>
      </c>
      <c r="BB10" s="21">
        <v>11800</v>
      </c>
      <c r="BC10" s="19">
        <v>11800</v>
      </c>
    </row>
    <row r="11" spans="1:55" x14ac:dyDescent="0.35">
      <c r="A11" s="38" t="str">
        <v>STA00050</v>
      </c>
      <c r="B11" s="31" t="str">
        <f t="shared" si="0"/>
        <v>MINYAK KAYU PUTIH</v>
      </c>
      <c r="C11" s="31" t="str">
        <f t="shared" si="1"/>
        <v>STATIONARY AND OFFICE SUPPLIES</v>
      </c>
      <c r="D11" s="39" t="str">
        <f t="shared" si="2"/>
        <v>pcs</v>
      </c>
      <c r="E11" s="53">
        <f t="shared" si="3"/>
        <v>13625</v>
      </c>
      <c r="F11" s="54" t="str">
        <f t="shared" si="4"/>
        <v>0</v>
      </c>
      <c r="G11" s="54">
        <f t="shared" si="5"/>
        <v>2</v>
      </c>
      <c r="H11" s="48">
        <f t="shared" si="6"/>
        <v>2</v>
      </c>
      <c r="I11" s="53">
        <f t="shared" si="7"/>
        <v>27250</v>
      </c>
      <c r="J11" s="31" t="str">
        <f t="shared" si="8"/>
        <v>Kenaikan IU</v>
      </c>
      <c r="K11" s="42" t="s">
        <v>1212</v>
      </c>
      <c r="O11" s="3"/>
      <c r="V11" s="4"/>
      <c r="X11" s="3" t="s">
        <v>126</v>
      </c>
      <c r="Y11" t="s">
        <v>127</v>
      </c>
      <c r="Z11" t="s">
        <v>123</v>
      </c>
      <c r="AA11" s="10">
        <v>34.700000000000003</v>
      </c>
      <c r="AB11" t="s">
        <v>5</v>
      </c>
      <c r="AC11" s="10">
        <v>6766.8011999999999</v>
      </c>
      <c r="AD11" s="4">
        <v>234808.00164</v>
      </c>
      <c r="AF11" s="20"/>
      <c r="AG11" s="18"/>
      <c r="AH11" s="18"/>
      <c r="AI11" s="18"/>
      <c r="AJ11" s="18"/>
      <c r="AK11" s="18"/>
      <c r="AL11" s="18"/>
      <c r="AM11" s="19"/>
      <c r="AO11" s="20" t="s">
        <v>254</v>
      </c>
      <c r="AP11" s="18" t="s">
        <v>255</v>
      </c>
      <c r="AQ11" s="18" t="s">
        <v>67</v>
      </c>
      <c r="AR11" s="21">
        <v>0.5</v>
      </c>
      <c r="AS11" s="18" t="s">
        <v>5</v>
      </c>
      <c r="AT11" s="21">
        <v>33672.7857</v>
      </c>
      <c r="AU11" s="19">
        <v>16836.39285</v>
      </c>
      <c r="AW11" s="20" t="s">
        <v>254</v>
      </c>
      <c r="AX11" s="18" t="s">
        <v>255</v>
      </c>
      <c r="AY11" s="18" t="s">
        <v>67</v>
      </c>
      <c r="AZ11" s="21">
        <v>0.5</v>
      </c>
      <c r="BA11" s="18" t="s">
        <v>5</v>
      </c>
      <c r="BB11" s="21">
        <v>33672.7857</v>
      </c>
      <c r="BC11" s="19">
        <v>16836.39285</v>
      </c>
    </row>
    <row r="12" spans="1:55" x14ac:dyDescent="0.35">
      <c r="A12" s="38" t="str">
        <v>STA00052</v>
      </c>
      <c r="B12" s="31" t="str">
        <f t="shared" si="0"/>
        <v>PANADOL MERAH</v>
      </c>
      <c r="C12" s="31" t="str">
        <f t="shared" si="1"/>
        <v>STATIONARY AND OFFICE SUPPLIES</v>
      </c>
      <c r="D12" s="39" t="str">
        <f t="shared" si="2"/>
        <v>str</v>
      </c>
      <c r="E12" s="53">
        <f t="shared" si="3"/>
        <v>13600</v>
      </c>
      <c r="F12" s="54">
        <f t="shared" si="4"/>
        <v>1.5</v>
      </c>
      <c r="G12" s="54">
        <f t="shared" si="5"/>
        <v>3</v>
      </c>
      <c r="H12" s="48">
        <f t="shared" si="6"/>
        <v>1.5</v>
      </c>
      <c r="I12" s="53">
        <f t="shared" si="7"/>
        <v>20400</v>
      </c>
      <c r="J12" s="31" t="str">
        <f t="shared" si="8"/>
        <v>Kenaikan IU</v>
      </c>
      <c r="K12" s="42" t="s">
        <v>1212</v>
      </c>
      <c r="O12" s="3" t="s">
        <v>42</v>
      </c>
      <c r="P12" t="s">
        <v>43</v>
      </c>
      <c r="Q12" t="s">
        <v>44</v>
      </c>
      <c r="R12" t="s">
        <v>45</v>
      </c>
      <c r="S12" t="s">
        <v>46</v>
      </c>
      <c r="T12" t="s">
        <v>47</v>
      </c>
      <c r="U12" t="s">
        <v>48</v>
      </c>
      <c r="V12" s="4" t="s">
        <v>49</v>
      </c>
      <c r="X12" s="3" t="s">
        <v>130</v>
      </c>
      <c r="Y12" t="s">
        <v>131</v>
      </c>
      <c r="Z12" t="s">
        <v>123</v>
      </c>
      <c r="AA12" s="10">
        <v>49</v>
      </c>
      <c r="AB12" t="s">
        <v>5</v>
      </c>
      <c r="AC12" s="10">
        <v>6349.7124000000003</v>
      </c>
      <c r="AD12" s="4">
        <v>311135.90759999998</v>
      </c>
      <c r="AF12" s="20" t="s">
        <v>42</v>
      </c>
      <c r="AG12" s="18" t="s">
        <v>43</v>
      </c>
      <c r="AH12" s="18" t="s">
        <v>44</v>
      </c>
      <c r="AI12" s="18" t="s">
        <v>45</v>
      </c>
      <c r="AJ12" s="18" t="s">
        <v>46</v>
      </c>
      <c r="AK12" s="18" t="s">
        <v>47</v>
      </c>
      <c r="AL12" s="18" t="s">
        <v>48</v>
      </c>
      <c r="AM12" s="19" t="s">
        <v>49</v>
      </c>
      <c r="AO12" s="20" t="s">
        <v>107</v>
      </c>
      <c r="AP12" s="18" t="s">
        <v>108</v>
      </c>
      <c r="AQ12" s="18" t="s">
        <v>67</v>
      </c>
      <c r="AR12" s="21">
        <v>2</v>
      </c>
      <c r="AS12" s="18" t="s">
        <v>5</v>
      </c>
      <c r="AT12" s="21">
        <v>19270.8874</v>
      </c>
      <c r="AU12" s="19">
        <v>38541.774799999999</v>
      </c>
      <c r="AW12" s="20" t="s">
        <v>107</v>
      </c>
      <c r="AX12" s="18" t="s">
        <v>108</v>
      </c>
      <c r="AY12" s="18" t="s">
        <v>67</v>
      </c>
      <c r="AZ12" s="21">
        <v>2</v>
      </c>
      <c r="BA12" s="18" t="s">
        <v>5</v>
      </c>
      <c r="BB12" s="21">
        <v>19270.8874</v>
      </c>
      <c r="BC12" s="19">
        <v>38541.774799999999</v>
      </c>
    </row>
    <row r="13" spans="1:55" x14ac:dyDescent="0.35">
      <c r="A13" s="38" t="str">
        <v>STA00075</v>
      </c>
      <c r="B13" s="31" t="str">
        <f t="shared" si="0"/>
        <v>LABEL/STICKER TOM &amp; JERRY 109</v>
      </c>
      <c r="C13" s="31" t="str">
        <f t="shared" si="1"/>
        <v>STATIONARY AND OFFICE SUPPLIES</v>
      </c>
      <c r="D13" s="39" t="str">
        <f t="shared" si="2"/>
        <v>pack</v>
      </c>
      <c r="E13" s="53">
        <f t="shared" si="3"/>
        <v>5666.6666999999989</v>
      </c>
      <c r="F13" s="54">
        <f t="shared" si="4"/>
        <v>7</v>
      </c>
      <c r="G13" s="54">
        <f t="shared" si="5"/>
        <v>1</v>
      </c>
      <c r="H13" s="48">
        <f t="shared" si="6"/>
        <v>-6</v>
      </c>
      <c r="I13" s="53">
        <f t="shared" si="7"/>
        <v>-34000.000199999995</v>
      </c>
      <c r="J13" s="31" t="str">
        <f t="shared" si="8"/>
        <v>Penurunan IU</v>
      </c>
      <c r="K13" s="42" t="s">
        <v>1213</v>
      </c>
      <c r="O13" s="3">
        <v>1</v>
      </c>
      <c r="P13" t="s">
        <v>460</v>
      </c>
      <c r="Q13" t="s">
        <v>461</v>
      </c>
      <c r="R13" t="s">
        <v>117</v>
      </c>
      <c r="S13" s="10">
        <v>5</v>
      </c>
      <c r="T13" t="s">
        <v>20</v>
      </c>
      <c r="U13" s="10">
        <v>233122.90700000004</v>
      </c>
      <c r="V13" s="4">
        <v>1165614.5349999999</v>
      </c>
      <c r="X13" s="3" t="s">
        <v>135</v>
      </c>
      <c r="Y13" t="s">
        <v>136</v>
      </c>
      <c r="Z13" t="s">
        <v>123</v>
      </c>
      <c r="AA13" s="10">
        <v>23.8</v>
      </c>
      <c r="AB13" t="s">
        <v>5</v>
      </c>
      <c r="AC13" s="10">
        <v>5656.1605</v>
      </c>
      <c r="AD13" s="4">
        <v>134616.61989999999</v>
      </c>
      <c r="AF13" s="20">
        <v>1</v>
      </c>
      <c r="AG13" s="18" t="s">
        <v>230</v>
      </c>
      <c r="AH13" s="18" t="s">
        <v>231</v>
      </c>
      <c r="AI13" s="18" t="s">
        <v>67</v>
      </c>
      <c r="AJ13" s="21">
        <v>3</v>
      </c>
      <c r="AK13" s="18" t="s">
        <v>5</v>
      </c>
      <c r="AL13" s="21">
        <v>8920.7541999999994</v>
      </c>
      <c r="AM13" s="19">
        <v>26762.262599999998</v>
      </c>
      <c r="AO13" s="20" t="s">
        <v>630</v>
      </c>
      <c r="AP13" s="18" t="s">
        <v>631</v>
      </c>
      <c r="AQ13" s="18" t="s">
        <v>67</v>
      </c>
      <c r="AR13" s="21">
        <v>25</v>
      </c>
      <c r="AS13" s="18" t="s">
        <v>20</v>
      </c>
      <c r="AT13" s="21">
        <v>7673.1288000000013</v>
      </c>
      <c r="AU13" s="19">
        <v>191828.22</v>
      </c>
      <c r="AW13" s="20" t="s">
        <v>630</v>
      </c>
      <c r="AX13" s="18" t="s">
        <v>631</v>
      </c>
      <c r="AY13" s="18" t="s">
        <v>67</v>
      </c>
      <c r="AZ13" s="21">
        <v>25</v>
      </c>
      <c r="BA13" s="18" t="s">
        <v>20</v>
      </c>
      <c r="BB13" s="21">
        <v>7673.1288000000013</v>
      </c>
      <c r="BC13" s="19">
        <v>191828.22</v>
      </c>
    </row>
    <row r="14" spans="1:55" x14ac:dyDescent="0.35">
      <c r="A14" s="38" t="str">
        <v>STA00080</v>
      </c>
      <c r="B14" s="31" t="str">
        <f t="shared" si="0"/>
        <v>KERTAS THERMAL 80 X 80</v>
      </c>
      <c r="C14" s="31" t="str">
        <f t="shared" si="1"/>
        <v>STATIONARY AND OFFICE SUPPLIES</v>
      </c>
      <c r="D14" s="39" t="str">
        <f t="shared" si="2"/>
        <v>ROLL</v>
      </c>
      <c r="E14" s="53">
        <f t="shared" si="3"/>
        <v>11800</v>
      </c>
      <c r="F14" s="54">
        <f t="shared" si="4"/>
        <v>50</v>
      </c>
      <c r="G14" s="54">
        <f t="shared" si="5"/>
        <v>1</v>
      </c>
      <c r="H14" s="48">
        <f t="shared" si="6"/>
        <v>-49</v>
      </c>
      <c r="I14" s="53">
        <f t="shared" si="7"/>
        <v>-578200</v>
      </c>
      <c r="J14" s="31" t="str">
        <f t="shared" si="8"/>
        <v>Penurunan IU</v>
      </c>
      <c r="K14" s="42" t="s">
        <v>1214</v>
      </c>
      <c r="O14" s="3">
        <v>2</v>
      </c>
      <c r="P14" t="s">
        <v>565</v>
      </c>
      <c r="Q14" t="s">
        <v>566</v>
      </c>
      <c r="R14" t="s">
        <v>117</v>
      </c>
      <c r="S14" s="10">
        <v>2</v>
      </c>
      <c r="T14" t="s">
        <v>20</v>
      </c>
      <c r="U14" s="10">
        <v>85000</v>
      </c>
      <c r="V14" s="4">
        <v>170000</v>
      </c>
      <c r="X14" s="3" t="s">
        <v>137</v>
      </c>
      <c r="Y14" t="s">
        <v>138</v>
      </c>
      <c r="Z14" t="s">
        <v>123</v>
      </c>
      <c r="AA14" s="10">
        <v>31.8</v>
      </c>
      <c r="AB14" t="s">
        <v>5</v>
      </c>
      <c r="AC14" s="10">
        <v>16035.2999</v>
      </c>
      <c r="AD14" s="4">
        <v>509922.53681999998</v>
      </c>
      <c r="AF14" s="20">
        <v>2</v>
      </c>
      <c r="AG14" s="18" t="s">
        <v>388</v>
      </c>
      <c r="AH14" s="18" t="s">
        <v>389</v>
      </c>
      <c r="AI14" s="18" t="s">
        <v>67</v>
      </c>
      <c r="AJ14" s="21">
        <v>10</v>
      </c>
      <c r="AK14" s="18" t="s">
        <v>20</v>
      </c>
      <c r="AL14" s="21">
        <v>2107.7273</v>
      </c>
      <c r="AM14" s="19">
        <v>21077.273000000001</v>
      </c>
      <c r="AO14" s="20" t="s">
        <v>258</v>
      </c>
      <c r="AP14" s="18" t="s">
        <v>259</v>
      </c>
      <c r="AQ14" s="18" t="s">
        <v>67</v>
      </c>
      <c r="AR14" s="18">
        <v>1</v>
      </c>
      <c r="AS14" s="18" t="s">
        <v>5</v>
      </c>
      <c r="AT14" s="18">
        <v>27576</v>
      </c>
      <c r="AU14" s="19">
        <v>27576</v>
      </c>
      <c r="AW14" s="20" t="s">
        <v>258</v>
      </c>
      <c r="AX14" s="18" t="s">
        <v>259</v>
      </c>
      <c r="AY14" s="18" t="s">
        <v>67</v>
      </c>
      <c r="AZ14" s="18">
        <v>1</v>
      </c>
      <c r="BA14" s="18" t="s">
        <v>5</v>
      </c>
      <c r="BB14" s="18">
        <v>27576</v>
      </c>
      <c r="BC14" s="19">
        <v>27576</v>
      </c>
    </row>
    <row r="15" spans="1:55" x14ac:dyDescent="0.35">
      <c r="A15" s="38" t="str">
        <v>STA00096</v>
      </c>
      <c r="B15" s="31" t="str">
        <f t="shared" si="0"/>
        <v>HANSAPLAS</v>
      </c>
      <c r="C15" s="31" t="str">
        <f t="shared" si="1"/>
        <v>STATIONARY AND OFFICE SUPPLIES</v>
      </c>
      <c r="D15" s="39" t="str">
        <f t="shared" si="2"/>
        <v>pack</v>
      </c>
      <c r="E15" s="53">
        <f t="shared" si="3"/>
        <v>33672.7857</v>
      </c>
      <c r="F15" s="54" t="str">
        <f t="shared" si="4"/>
        <v>0</v>
      </c>
      <c r="G15" s="54">
        <f t="shared" si="5"/>
        <v>0.5</v>
      </c>
      <c r="H15" s="48">
        <f t="shared" si="6"/>
        <v>0.5</v>
      </c>
      <c r="I15" s="53">
        <f t="shared" si="7"/>
        <v>16836.39285</v>
      </c>
      <c r="J15" s="31" t="str">
        <f t="shared" si="8"/>
        <v>Kenaikan IU</v>
      </c>
      <c r="K15" s="42" t="s">
        <v>1212</v>
      </c>
      <c r="O15" s="3">
        <v>3</v>
      </c>
      <c r="P15" t="s">
        <v>568</v>
      </c>
      <c r="Q15" t="s">
        <v>569</v>
      </c>
      <c r="R15" t="s">
        <v>117</v>
      </c>
      <c r="S15" s="10">
        <v>1</v>
      </c>
      <c r="T15" t="s">
        <v>20</v>
      </c>
      <c r="U15" s="10">
        <v>66600</v>
      </c>
      <c r="V15" s="4">
        <v>66600</v>
      </c>
      <c r="X15" s="3" t="s">
        <v>139</v>
      </c>
      <c r="Y15" t="s">
        <v>140</v>
      </c>
      <c r="Z15" t="s">
        <v>123</v>
      </c>
      <c r="AA15" s="10">
        <v>11</v>
      </c>
      <c r="AB15" t="s">
        <v>5</v>
      </c>
      <c r="AC15" s="10">
        <v>42175.246400000004</v>
      </c>
      <c r="AD15" s="4">
        <v>463927.71039999998</v>
      </c>
      <c r="AF15" s="20">
        <v>3</v>
      </c>
      <c r="AG15" s="18" t="s">
        <v>75</v>
      </c>
      <c r="AH15" s="18" t="s">
        <v>76</v>
      </c>
      <c r="AI15" s="18" t="s">
        <v>67</v>
      </c>
      <c r="AJ15" s="21">
        <v>4</v>
      </c>
      <c r="AK15" s="18" t="s">
        <v>74</v>
      </c>
      <c r="AL15" s="21">
        <v>5721.4286000000002</v>
      </c>
      <c r="AM15" s="19">
        <v>22885.714400000001</v>
      </c>
      <c r="AO15" s="20" t="s">
        <v>2</v>
      </c>
      <c r="AP15" s="18" t="s">
        <v>3</v>
      </c>
      <c r="AQ15" s="18" t="s">
        <v>4</v>
      </c>
      <c r="AR15" s="21">
        <v>4</v>
      </c>
      <c r="AS15" s="18" t="s">
        <v>5</v>
      </c>
      <c r="AT15" s="21">
        <v>24080.497599999999</v>
      </c>
      <c r="AU15" s="19">
        <v>96321.990399999995</v>
      </c>
      <c r="AW15" s="20" t="s">
        <v>2</v>
      </c>
      <c r="AX15" s="18" t="s">
        <v>3</v>
      </c>
      <c r="AY15" s="18" t="s">
        <v>4</v>
      </c>
      <c r="AZ15" s="21">
        <v>4</v>
      </c>
      <c r="BA15" s="18" t="s">
        <v>5</v>
      </c>
      <c r="BB15" s="21">
        <v>24080.497599999999</v>
      </c>
      <c r="BC15" s="19">
        <v>96321.990399999995</v>
      </c>
    </row>
    <row r="16" spans="1:55" x14ac:dyDescent="0.35">
      <c r="A16" s="38" t="str">
        <v>STA00109</v>
      </c>
      <c r="B16" s="31" t="str">
        <f t="shared" si="0"/>
        <v>STOCK CARD</v>
      </c>
      <c r="C16" s="31" t="str">
        <f t="shared" si="1"/>
        <v>STATIONARY AND OFFICE SUPPLIES</v>
      </c>
      <c r="D16" s="39" t="str">
        <f t="shared" si="2"/>
        <v>pack</v>
      </c>
      <c r="E16" s="53">
        <f t="shared" si="3"/>
        <v>19270.8874</v>
      </c>
      <c r="F16" s="54">
        <f t="shared" si="4"/>
        <v>3</v>
      </c>
      <c r="G16" s="54">
        <f t="shared" si="5"/>
        <v>2</v>
      </c>
      <c r="H16" s="48">
        <f t="shared" si="6"/>
        <v>-1</v>
      </c>
      <c r="I16" s="53">
        <f t="shared" si="7"/>
        <v>-19270.8874</v>
      </c>
      <c r="J16" s="31" t="str">
        <f t="shared" si="8"/>
        <v>Penurunan IU</v>
      </c>
      <c r="K16" s="42" t="s">
        <v>1212</v>
      </c>
      <c r="O16" s="3">
        <v>4</v>
      </c>
      <c r="P16" t="s">
        <v>571</v>
      </c>
      <c r="Q16" t="s">
        <v>572</v>
      </c>
      <c r="R16" t="s">
        <v>117</v>
      </c>
      <c r="S16" s="10">
        <v>7</v>
      </c>
      <c r="T16" t="s">
        <v>20</v>
      </c>
      <c r="U16" s="10">
        <v>4698</v>
      </c>
      <c r="V16" s="4">
        <v>32886</v>
      </c>
      <c r="X16" s="3" t="s">
        <v>145</v>
      </c>
      <c r="Y16" t="s">
        <v>146</v>
      </c>
      <c r="Z16" t="s">
        <v>123</v>
      </c>
      <c r="AA16" s="10">
        <v>56</v>
      </c>
      <c r="AB16" t="s">
        <v>5</v>
      </c>
      <c r="AC16" s="10">
        <v>4604.1441000000004</v>
      </c>
      <c r="AD16" s="4">
        <v>257832.06959999999</v>
      </c>
      <c r="AF16" s="20">
        <v>4</v>
      </c>
      <c r="AG16" s="18" t="s">
        <v>79</v>
      </c>
      <c r="AH16" s="18" t="s">
        <v>80</v>
      </c>
      <c r="AI16" s="18" t="s">
        <v>67</v>
      </c>
      <c r="AJ16" s="21">
        <v>2</v>
      </c>
      <c r="AK16" s="18" t="s">
        <v>20</v>
      </c>
      <c r="AL16" s="21">
        <v>15000</v>
      </c>
      <c r="AM16" s="19">
        <v>30000</v>
      </c>
      <c r="AO16" s="20" t="s">
        <v>217</v>
      </c>
      <c r="AP16" s="18" t="s">
        <v>218</v>
      </c>
      <c r="AQ16" s="18" t="s">
        <v>4</v>
      </c>
      <c r="AR16" s="21">
        <v>0.23</v>
      </c>
      <c r="AS16" s="18" t="s">
        <v>9</v>
      </c>
      <c r="AT16" s="21">
        <v>55265.74010000001</v>
      </c>
      <c r="AU16" s="19">
        <v>12711.120223</v>
      </c>
      <c r="AW16" s="20" t="s">
        <v>217</v>
      </c>
      <c r="AX16" s="18" t="s">
        <v>218</v>
      </c>
      <c r="AY16" s="18" t="s">
        <v>4</v>
      </c>
      <c r="AZ16" s="21">
        <v>0.23</v>
      </c>
      <c r="BA16" s="18" t="s">
        <v>9</v>
      </c>
      <c r="BB16" s="21">
        <v>55265.74010000001</v>
      </c>
      <c r="BC16" s="19">
        <v>12711.120223</v>
      </c>
    </row>
    <row r="17" spans="1:55" x14ac:dyDescent="0.35">
      <c r="A17" s="38" t="str">
        <v>STA00114</v>
      </c>
      <c r="B17" s="31" t="str">
        <f t="shared" si="0"/>
        <v>LABEL HARGA</v>
      </c>
      <c r="C17" s="31" t="str">
        <f t="shared" si="1"/>
        <v>STATIONARY AND OFFICE SUPPLIES</v>
      </c>
      <c r="D17" s="39" t="str">
        <f t="shared" si="2"/>
        <v>pcs</v>
      </c>
      <c r="E17" s="53">
        <f t="shared" si="3"/>
        <v>7673.1288000000013</v>
      </c>
      <c r="F17" s="54" t="str">
        <f t="shared" si="4"/>
        <v>0</v>
      </c>
      <c r="G17" s="54">
        <f t="shared" si="5"/>
        <v>25</v>
      </c>
      <c r="H17" s="48">
        <f t="shared" si="6"/>
        <v>25</v>
      </c>
      <c r="I17" s="53">
        <f t="shared" si="7"/>
        <v>191828.22000000003</v>
      </c>
      <c r="J17" s="31" t="str">
        <f t="shared" si="8"/>
        <v>Kenaikan IU</v>
      </c>
      <c r="K17" s="42" t="s">
        <v>1215</v>
      </c>
      <c r="O17" s="3">
        <v>5</v>
      </c>
      <c r="P17" t="s">
        <v>115</v>
      </c>
      <c r="Q17" t="s">
        <v>116</v>
      </c>
      <c r="R17" t="s">
        <v>117</v>
      </c>
      <c r="S17" s="10">
        <v>1000</v>
      </c>
      <c r="T17" t="s">
        <v>52</v>
      </c>
      <c r="U17" s="10">
        <v>628.57100000000003</v>
      </c>
      <c r="V17" s="4">
        <v>628571</v>
      </c>
      <c r="X17" s="3" t="s">
        <v>147</v>
      </c>
      <c r="Y17" t="s">
        <v>148</v>
      </c>
      <c r="Z17" t="s">
        <v>123</v>
      </c>
      <c r="AA17">
        <v>1.78</v>
      </c>
      <c r="AB17" t="s">
        <v>5</v>
      </c>
      <c r="AC17">
        <v>15047.8979</v>
      </c>
      <c r="AD17" s="4">
        <v>26785.258261999999</v>
      </c>
      <c r="AF17" s="20">
        <v>5</v>
      </c>
      <c r="AG17" s="18" t="s">
        <v>357</v>
      </c>
      <c r="AH17" s="18" t="s">
        <v>358</v>
      </c>
      <c r="AI17" s="18" t="s">
        <v>67</v>
      </c>
      <c r="AJ17" s="21">
        <v>0.2</v>
      </c>
      <c r="AK17" s="18" t="s">
        <v>5</v>
      </c>
      <c r="AL17" s="21">
        <v>32500</v>
      </c>
      <c r="AM17" s="19">
        <v>6500</v>
      </c>
      <c r="AO17" s="20" t="s">
        <v>13</v>
      </c>
      <c r="AP17" s="18" t="s">
        <v>14</v>
      </c>
      <c r="AQ17" s="18" t="s">
        <v>4</v>
      </c>
      <c r="AR17" s="21">
        <v>0.42</v>
      </c>
      <c r="AS17" s="18" t="s">
        <v>15</v>
      </c>
      <c r="AT17" s="21">
        <v>78266.618000000002</v>
      </c>
      <c r="AU17" s="19">
        <v>32871.97956</v>
      </c>
      <c r="AW17" s="20" t="s">
        <v>13</v>
      </c>
      <c r="AX17" s="18" t="s">
        <v>14</v>
      </c>
      <c r="AY17" s="18" t="s">
        <v>4</v>
      </c>
      <c r="AZ17" s="21">
        <v>0.42</v>
      </c>
      <c r="BA17" s="18" t="s">
        <v>15</v>
      </c>
      <c r="BB17" s="21">
        <v>78266.618000000002</v>
      </c>
      <c r="BC17" s="19">
        <v>32871.97956</v>
      </c>
    </row>
    <row r="18" spans="1:55" x14ac:dyDescent="0.35">
      <c r="A18" s="38" t="str">
        <v>STA00121</v>
      </c>
      <c r="B18" s="31" t="str">
        <f t="shared" si="0"/>
        <v>KERTAS BURAM A4</v>
      </c>
      <c r="C18" s="31" t="str">
        <f t="shared" si="1"/>
        <v>STATIONARY AND OFFICE SUPPLIES</v>
      </c>
      <c r="D18" s="39" t="str">
        <f t="shared" si="2"/>
        <v>pack</v>
      </c>
      <c r="E18" s="53">
        <f t="shared" si="3"/>
        <v>27576</v>
      </c>
      <c r="F18" s="54">
        <f t="shared" si="4"/>
        <v>0.5</v>
      </c>
      <c r="G18" s="54">
        <f t="shared" si="5"/>
        <v>1</v>
      </c>
      <c r="H18" s="48">
        <f t="shared" si="6"/>
        <v>0.5</v>
      </c>
      <c r="I18" s="53">
        <f t="shared" si="7"/>
        <v>13788</v>
      </c>
      <c r="J18" s="31" t="str">
        <f t="shared" si="8"/>
        <v>Kenaikan IU</v>
      </c>
      <c r="K18" s="42" t="s">
        <v>1216</v>
      </c>
      <c r="O18" s="3">
        <v>6</v>
      </c>
      <c r="P18" t="s">
        <v>318</v>
      </c>
      <c r="Q18" t="s">
        <v>319</v>
      </c>
      <c r="R18" t="s">
        <v>117</v>
      </c>
      <c r="S18">
        <v>50</v>
      </c>
      <c r="T18" t="s">
        <v>20</v>
      </c>
      <c r="U18">
        <v>800</v>
      </c>
      <c r="V18" s="4">
        <v>40000</v>
      </c>
      <c r="X18" s="3" t="s">
        <v>576</v>
      </c>
      <c r="Y18" t="s">
        <v>577</v>
      </c>
      <c r="Z18" t="s">
        <v>120</v>
      </c>
      <c r="AA18" s="10">
        <v>2</v>
      </c>
      <c r="AB18" t="s">
        <v>20</v>
      </c>
      <c r="AC18" s="10">
        <v>85000</v>
      </c>
      <c r="AD18" s="4">
        <v>170000</v>
      </c>
      <c r="AF18" s="20">
        <v>6</v>
      </c>
      <c r="AG18" s="18" t="s">
        <v>83</v>
      </c>
      <c r="AH18" s="18" t="s">
        <v>84</v>
      </c>
      <c r="AI18" s="18" t="s">
        <v>67</v>
      </c>
      <c r="AJ18" s="21">
        <v>2</v>
      </c>
      <c r="AK18" s="18" t="s">
        <v>20</v>
      </c>
      <c r="AL18" s="21">
        <v>13625</v>
      </c>
      <c r="AM18" s="19">
        <v>27250</v>
      </c>
      <c r="AO18" s="20" t="s">
        <v>219</v>
      </c>
      <c r="AP18" s="18" t="s">
        <v>220</v>
      </c>
      <c r="AQ18" s="18" t="s">
        <v>4</v>
      </c>
      <c r="AR18" s="21">
        <v>1.64</v>
      </c>
      <c r="AS18" s="18" t="s">
        <v>25</v>
      </c>
      <c r="AT18" s="21">
        <v>47805.109900000003</v>
      </c>
      <c r="AU18" s="19">
        <v>78400.380235999997</v>
      </c>
      <c r="AW18" s="20" t="s">
        <v>219</v>
      </c>
      <c r="AX18" s="18" t="s">
        <v>220</v>
      </c>
      <c r="AY18" s="18" t="s">
        <v>4</v>
      </c>
      <c r="AZ18" s="21">
        <v>1.64</v>
      </c>
      <c r="BA18" s="18" t="s">
        <v>25</v>
      </c>
      <c r="BB18" s="21">
        <v>47805.109900000003</v>
      </c>
      <c r="BC18" s="19">
        <v>78400.380235999997</v>
      </c>
    </row>
    <row r="19" spans="1:55" ht="15" thickBot="1" x14ac:dyDescent="0.4">
      <c r="A19" s="38" t="str">
        <v>CECM00013</v>
      </c>
      <c r="B19" s="31" t="str">
        <f t="shared" si="0"/>
        <v>DAIA 800 GR</v>
      </c>
      <c r="C19" s="31" t="str">
        <f t="shared" si="1"/>
        <v>CLEANING CHEMICAL</v>
      </c>
      <c r="D19" s="39" t="str">
        <f t="shared" si="2"/>
        <v>pack</v>
      </c>
      <c r="E19" s="53">
        <f t="shared" si="3"/>
        <v>24080.497599999999</v>
      </c>
      <c r="F19" s="54">
        <f t="shared" si="4"/>
        <v>3</v>
      </c>
      <c r="G19" s="54">
        <f t="shared" si="5"/>
        <v>4</v>
      </c>
      <c r="H19" s="48">
        <f t="shared" si="6"/>
        <v>1</v>
      </c>
      <c r="I19" s="53">
        <f t="shared" si="7"/>
        <v>24080.497599999999</v>
      </c>
      <c r="J19" s="31" t="str">
        <f t="shared" si="8"/>
        <v>Kenaikan IU</v>
      </c>
      <c r="K19" s="42" t="s">
        <v>1217</v>
      </c>
      <c r="O19" s="11" t="s">
        <v>223</v>
      </c>
      <c r="P19" s="12" t="s">
        <v>223</v>
      </c>
      <c r="Q19" s="12" t="s">
        <v>223</v>
      </c>
      <c r="R19" s="12" t="s">
        <v>223</v>
      </c>
      <c r="S19" s="12" t="s">
        <v>223</v>
      </c>
      <c r="T19" s="12" t="s">
        <v>223</v>
      </c>
      <c r="U19" s="12" t="s">
        <v>224</v>
      </c>
      <c r="V19" s="13">
        <v>2103671.5350000001</v>
      </c>
      <c r="X19" s="3" t="s">
        <v>578</v>
      </c>
      <c r="Y19" t="s">
        <v>579</v>
      </c>
      <c r="Z19" t="s">
        <v>120</v>
      </c>
      <c r="AA19" s="10">
        <v>2</v>
      </c>
      <c r="AB19" t="s">
        <v>20</v>
      </c>
      <c r="AC19" s="10">
        <v>85000</v>
      </c>
      <c r="AD19" s="4">
        <v>170000</v>
      </c>
      <c r="AF19" s="20">
        <v>7</v>
      </c>
      <c r="AG19" s="18" t="s">
        <v>242</v>
      </c>
      <c r="AH19" s="18" t="s">
        <v>243</v>
      </c>
      <c r="AI19" s="18" t="s">
        <v>67</v>
      </c>
      <c r="AJ19" s="21">
        <v>3</v>
      </c>
      <c r="AK19" s="18" t="s">
        <v>87</v>
      </c>
      <c r="AL19" s="21">
        <v>13600</v>
      </c>
      <c r="AM19" s="19">
        <v>40800</v>
      </c>
      <c r="AO19" s="20" t="s">
        <v>221</v>
      </c>
      <c r="AP19" s="18" t="s">
        <v>222</v>
      </c>
      <c r="AQ19" s="18" t="s">
        <v>4</v>
      </c>
      <c r="AR19" s="21">
        <v>0.52</v>
      </c>
      <c r="AS19" s="18" t="s">
        <v>25</v>
      </c>
      <c r="AT19" s="21">
        <v>84815.170100000003</v>
      </c>
      <c r="AU19" s="19">
        <v>44103.888451999999</v>
      </c>
      <c r="AW19" s="20" t="s">
        <v>221</v>
      </c>
      <c r="AX19" s="18" t="s">
        <v>222</v>
      </c>
      <c r="AY19" s="18" t="s">
        <v>4</v>
      </c>
      <c r="AZ19" s="21">
        <v>0.52</v>
      </c>
      <c r="BA19" s="18" t="s">
        <v>25</v>
      </c>
      <c r="BB19" s="21">
        <v>84815.170100000003</v>
      </c>
      <c r="BC19" s="19">
        <v>44103.888451999999</v>
      </c>
    </row>
    <row r="20" spans="1:55" ht="15.5" thickTop="1" thickBot="1" x14ac:dyDescent="0.4">
      <c r="A20" s="38" t="str">
        <v>CECM0005</v>
      </c>
      <c r="B20" s="31" t="str">
        <f t="shared" si="0"/>
        <v>XYZ GLASS CLEANER 5 LTR</v>
      </c>
      <c r="C20" s="31" t="str">
        <f t="shared" si="1"/>
        <v>CLEANING CHEMICAL</v>
      </c>
      <c r="D20" s="39" t="str">
        <f t="shared" si="2"/>
        <v>gln</v>
      </c>
      <c r="E20" s="53">
        <f t="shared" si="3"/>
        <v>55265.74010000001</v>
      </c>
      <c r="F20" s="54" t="str">
        <f t="shared" si="4"/>
        <v>0</v>
      </c>
      <c r="G20" s="54">
        <f t="shared" si="5"/>
        <v>0.23</v>
      </c>
      <c r="H20" s="48">
        <f t="shared" si="6"/>
        <v>0.23</v>
      </c>
      <c r="I20" s="53">
        <f t="shared" si="7"/>
        <v>12711.120223000004</v>
      </c>
      <c r="J20" s="31" t="str">
        <f t="shared" si="8"/>
        <v>Kenaikan IU</v>
      </c>
      <c r="K20" s="42" t="s">
        <v>1217</v>
      </c>
      <c r="X20" s="3" t="s">
        <v>414</v>
      </c>
      <c r="Y20" t="s">
        <v>415</v>
      </c>
      <c r="Z20" t="s">
        <v>120</v>
      </c>
      <c r="AA20" s="10">
        <v>3</v>
      </c>
      <c r="AB20" t="s">
        <v>20</v>
      </c>
      <c r="AC20" s="10">
        <v>97500</v>
      </c>
      <c r="AD20" s="4">
        <v>292500</v>
      </c>
      <c r="AF20" s="20">
        <v>8</v>
      </c>
      <c r="AG20" s="18" t="s">
        <v>90</v>
      </c>
      <c r="AH20" s="18" t="s">
        <v>91</v>
      </c>
      <c r="AI20" s="18" t="s">
        <v>67</v>
      </c>
      <c r="AJ20" s="21">
        <v>1</v>
      </c>
      <c r="AK20" s="18" t="s">
        <v>5</v>
      </c>
      <c r="AL20" s="21">
        <v>5666.6666999999989</v>
      </c>
      <c r="AM20" s="19">
        <v>5666.6666999999998</v>
      </c>
      <c r="AO20" s="20" t="s">
        <v>23</v>
      </c>
      <c r="AP20" s="18" t="s">
        <v>24</v>
      </c>
      <c r="AQ20" s="18" t="s">
        <v>4</v>
      </c>
      <c r="AR20" s="21">
        <v>0.66</v>
      </c>
      <c r="AS20" s="18" t="s">
        <v>25</v>
      </c>
      <c r="AT20" s="21">
        <v>17965.7497</v>
      </c>
      <c r="AU20" s="19">
        <v>11857.394802000001</v>
      </c>
      <c r="AW20" s="20" t="s">
        <v>23</v>
      </c>
      <c r="AX20" s="18" t="s">
        <v>24</v>
      </c>
      <c r="AY20" s="18" t="s">
        <v>4</v>
      </c>
      <c r="AZ20" s="21">
        <v>0.66</v>
      </c>
      <c r="BA20" s="18" t="s">
        <v>25</v>
      </c>
      <c r="BB20" s="21">
        <v>17965.7497</v>
      </c>
      <c r="BC20" s="19">
        <v>11857.394802000001</v>
      </c>
    </row>
    <row r="21" spans="1:55" ht="15" thickTop="1" x14ac:dyDescent="0.35">
      <c r="A21" s="38" t="str">
        <v>CECM0008</v>
      </c>
      <c r="B21" s="31" t="str">
        <f t="shared" si="0"/>
        <v>XYZ ANTI BACTERIAL HANDSOAP 5 L</v>
      </c>
      <c r="C21" s="31" t="str">
        <f t="shared" si="1"/>
        <v>CLEANING CHEMICAL</v>
      </c>
      <c r="D21" s="39" t="str">
        <f t="shared" si="2"/>
        <v>jerrycan</v>
      </c>
      <c r="E21" s="53">
        <f t="shared" si="3"/>
        <v>78266.618000000002</v>
      </c>
      <c r="F21" s="54">
        <f t="shared" si="4"/>
        <v>0.35</v>
      </c>
      <c r="G21" s="54">
        <f t="shared" si="5"/>
        <v>0.42</v>
      </c>
      <c r="H21" s="48">
        <f t="shared" si="6"/>
        <v>7.0000000000000007E-2</v>
      </c>
      <c r="I21" s="53">
        <f t="shared" si="7"/>
        <v>5478.6632600000003</v>
      </c>
      <c r="J21" s="31" t="str">
        <f t="shared" si="8"/>
        <v>Kenaikan IU</v>
      </c>
      <c r="K21" s="42" t="s">
        <v>1217</v>
      </c>
      <c r="O21" s="88" t="s">
        <v>0</v>
      </c>
      <c r="P21" s="89"/>
      <c r="Q21" s="89"/>
      <c r="R21" s="89"/>
      <c r="S21" s="89"/>
      <c r="T21" s="1"/>
      <c r="U21" s="1"/>
      <c r="V21" s="2"/>
      <c r="X21" s="3" t="s">
        <v>118</v>
      </c>
      <c r="Y21" t="s">
        <v>119</v>
      </c>
      <c r="Z21" t="s">
        <v>120</v>
      </c>
      <c r="AA21" s="10">
        <v>3</v>
      </c>
      <c r="AB21" t="s">
        <v>20</v>
      </c>
      <c r="AC21" s="10">
        <v>14700</v>
      </c>
      <c r="AD21" s="4">
        <v>44100</v>
      </c>
      <c r="AF21" s="20">
        <v>9</v>
      </c>
      <c r="AG21" s="18" t="s">
        <v>92</v>
      </c>
      <c r="AH21" s="18" t="s">
        <v>93</v>
      </c>
      <c r="AI21" s="18" t="s">
        <v>67</v>
      </c>
      <c r="AJ21" s="21">
        <v>1</v>
      </c>
      <c r="AK21" s="18" t="s">
        <v>94</v>
      </c>
      <c r="AL21" s="21">
        <v>11800</v>
      </c>
      <c r="AM21" s="19">
        <v>11800</v>
      </c>
      <c r="AO21" s="20" t="s">
        <v>28</v>
      </c>
      <c r="AP21" s="18" t="s">
        <v>29</v>
      </c>
      <c r="AQ21" s="18" t="s">
        <v>4</v>
      </c>
      <c r="AR21" s="21">
        <v>14.48</v>
      </c>
      <c r="AS21" s="18" t="s">
        <v>30</v>
      </c>
      <c r="AT21" s="21">
        <v>19757.159199999998</v>
      </c>
      <c r="AU21" s="19">
        <v>286083.66521599999</v>
      </c>
      <c r="AW21" s="20" t="s">
        <v>28</v>
      </c>
      <c r="AX21" s="18" t="s">
        <v>29</v>
      </c>
      <c r="AY21" s="18" t="s">
        <v>4</v>
      </c>
      <c r="AZ21" s="21">
        <v>14.48</v>
      </c>
      <c r="BA21" s="18" t="s">
        <v>30</v>
      </c>
      <c r="BB21" s="21">
        <v>19757.159199999998</v>
      </c>
      <c r="BC21" s="19">
        <v>286083.66521599999</v>
      </c>
    </row>
    <row r="22" spans="1:55" x14ac:dyDescent="0.35">
      <c r="A22" s="38" t="str">
        <v>CECM0010</v>
      </c>
      <c r="B22" s="31" t="str">
        <f t="shared" si="0"/>
        <v>SUMA CRYSTAL 5 L</v>
      </c>
      <c r="C22" s="31" t="str">
        <f t="shared" si="1"/>
        <v>CLEANING CHEMICAL</v>
      </c>
      <c r="D22" s="39" t="str">
        <f t="shared" si="2"/>
        <v>ltr</v>
      </c>
      <c r="E22" s="53">
        <f t="shared" si="3"/>
        <v>47805.109900000003</v>
      </c>
      <c r="F22" s="54">
        <f t="shared" si="4"/>
        <v>0.32</v>
      </c>
      <c r="G22" s="54">
        <f t="shared" si="5"/>
        <v>1.64</v>
      </c>
      <c r="H22" s="48">
        <f t="shared" si="6"/>
        <v>1.3199999999999998</v>
      </c>
      <c r="I22" s="53">
        <f t="shared" si="7"/>
        <v>63102.745067999997</v>
      </c>
      <c r="J22" s="31" t="str">
        <f t="shared" si="8"/>
        <v>Kenaikan IU</v>
      </c>
      <c r="K22" s="42" t="s">
        <v>1218</v>
      </c>
      <c r="O22" s="86" t="s">
        <v>1</v>
      </c>
      <c r="P22" s="87"/>
      <c r="Q22" s="87"/>
      <c r="R22" s="87"/>
      <c r="S22" s="87"/>
      <c r="V22" s="4"/>
      <c r="X22" s="3" t="s">
        <v>580</v>
      </c>
      <c r="Y22" t="s">
        <v>581</v>
      </c>
      <c r="Z22" t="s">
        <v>151</v>
      </c>
      <c r="AA22" s="10">
        <v>1</v>
      </c>
      <c r="AB22" t="s">
        <v>20</v>
      </c>
      <c r="AC22" s="10">
        <v>134462.5</v>
      </c>
      <c r="AD22" s="4">
        <v>134462.5</v>
      </c>
      <c r="AF22" s="20">
        <v>10</v>
      </c>
      <c r="AG22" s="18" t="s">
        <v>254</v>
      </c>
      <c r="AH22" s="18" t="s">
        <v>255</v>
      </c>
      <c r="AI22" s="18" t="s">
        <v>67</v>
      </c>
      <c r="AJ22" s="21">
        <v>0.5</v>
      </c>
      <c r="AK22" s="18" t="s">
        <v>5</v>
      </c>
      <c r="AL22" s="21">
        <v>33672.7857</v>
      </c>
      <c r="AM22" s="19">
        <v>16836.39285</v>
      </c>
      <c r="AO22" s="20" t="s">
        <v>33</v>
      </c>
      <c r="AP22" s="18" t="s">
        <v>34</v>
      </c>
      <c r="AQ22" s="18" t="s">
        <v>4</v>
      </c>
      <c r="AR22" s="21">
        <v>10.36</v>
      </c>
      <c r="AS22" s="18" t="s">
        <v>30</v>
      </c>
      <c r="AT22" s="21">
        <v>13000</v>
      </c>
      <c r="AU22" s="19">
        <v>134680</v>
      </c>
      <c r="AW22" s="20" t="s">
        <v>33</v>
      </c>
      <c r="AX22" s="18" t="s">
        <v>34</v>
      </c>
      <c r="AY22" s="18" t="s">
        <v>4</v>
      </c>
      <c r="AZ22" s="21">
        <v>10.36</v>
      </c>
      <c r="BA22" s="18" t="s">
        <v>30</v>
      </c>
      <c r="BB22" s="21">
        <v>13000</v>
      </c>
      <c r="BC22" s="19">
        <v>134680</v>
      </c>
    </row>
    <row r="23" spans="1:55" x14ac:dyDescent="0.35">
      <c r="A23" s="38" t="str">
        <v>CECM0011</v>
      </c>
      <c r="B23" s="31" t="str">
        <f t="shared" si="0"/>
        <v>SUMA NOVA 5 L</v>
      </c>
      <c r="C23" s="31" t="str">
        <f t="shared" si="1"/>
        <v>CLEANING CHEMICAL</v>
      </c>
      <c r="D23" s="39" t="str">
        <f t="shared" si="2"/>
        <v>ltr</v>
      </c>
      <c r="E23" s="53">
        <f t="shared" si="3"/>
        <v>84815.170100000003</v>
      </c>
      <c r="F23" s="54">
        <f t="shared" si="4"/>
        <v>2.06</v>
      </c>
      <c r="G23" s="54">
        <f t="shared" si="5"/>
        <v>0.52</v>
      </c>
      <c r="H23" s="48">
        <f t="shared" si="6"/>
        <v>-1.54</v>
      </c>
      <c r="I23" s="53">
        <f t="shared" si="7"/>
        <v>-130615.36195400001</v>
      </c>
      <c r="J23" s="31" t="str">
        <f t="shared" si="8"/>
        <v>Penurunan IU</v>
      </c>
      <c r="K23" s="42" t="s">
        <v>1218</v>
      </c>
      <c r="O23" s="3"/>
      <c r="V23" s="4"/>
      <c r="X23" s="3" t="s">
        <v>418</v>
      </c>
      <c r="Y23" t="s">
        <v>419</v>
      </c>
      <c r="Z23" t="s">
        <v>151</v>
      </c>
      <c r="AA23" s="10">
        <v>1</v>
      </c>
      <c r="AB23" t="s">
        <v>420</v>
      </c>
      <c r="AC23" s="10">
        <v>4697.9935999999998</v>
      </c>
      <c r="AD23" s="4">
        <v>4697.9935999999998</v>
      </c>
      <c r="AF23" s="20">
        <v>11</v>
      </c>
      <c r="AG23" s="18" t="s">
        <v>107</v>
      </c>
      <c r="AH23" s="18" t="s">
        <v>108</v>
      </c>
      <c r="AI23" s="18" t="s">
        <v>67</v>
      </c>
      <c r="AJ23" s="21">
        <v>2</v>
      </c>
      <c r="AK23" s="18" t="s">
        <v>5</v>
      </c>
      <c r="AL23" s="21">
        <v>19270.8874</v>
      </c>
      <c r="AM23" s="19">
        <v>38541.774799999999</v>
      </c>
      <c r="AO23" s="20" t="s">
        <v>304</v>
      </c>
      <c r="AP23" s="18" t="s">
        <v>305</v>
      </c>
      <c r="AQ23" s="18" t="s">
        <v>41</v>
      </c>
      <c r="AR23" s="21">
        <v>1</v>
      </c>
      <c r="AS23" s="18" t="s">
        <v>20</v>
      </c>
      <c r="AT23" s="21">
        <v>7216.670000000001</v>
      </c>
      <c r="AU23" s="19">
        <v>7216.67</v>
      </c>
      <c r="AW23" s="20" t="s">
        <v>304</v>
      </c>
      <c r="AX23" s="18" t="s">
        <v>305</v>
      </c>
      <c r="AY23" s="18" t="s">
        <v>41</v>
      </c>
      <c r="AZ23" s="21">
        <v>1</v>
      </c>
      <c r="BA23" s="18" t="s">
        <v>20</v>
      </c>
      <c r="BB23" s="21">
        <v>7216.670000000001</v>
      </c>
      <c r="BC23" s="19">
        <v>7216.67</v>
      </c>
    </row>
    <row r="24" spans="1:55" x14ac:dyDescent="0.35">
      <c r="A24" s="38" t="str">
        <v>CECM0012</v>
      </c>
      <c r="B24" s="31" t="str">
        <f t="shared" si="0"/>
        <v>NOBLA LIQUID 20 L</v>
      </c>
      <c r="C24" s="31" t="str">
        <f t="shared" si="1"/>
        <v>CLEANING CHEMICAL</v>
      </c>
      <c r="D24" s="39" t="str">
        <f t="shared" si="2"/>
        <v>ltr</v>
      </c>
      <c r="E24" s="53">
        <f t="shared" si="3"/>
        <v>17965.7497</v>
      </c>
      <c r="F24" s="54">
        <f t="shared" si="4"/>
        <v>2.2000000000000002</v>
      </c>
      <c r="G24" s="54">
        <f t="shared" si="5"/>
        <v>0.66</v>
      </c>
      <c r="H24" s="48">
        <f t="shared" si="6"/>
        <v>-1.54</v>
      </c>
      <c r="I24" s="53">
        <f t="shared" si="7"/>
        <v>-27667.254538000001</v>
      </c>
      <c r="J24" s="31" t="str">
        <f t="shared" si="8"/>
        <v>Penurunan IU</v>
      </c>
      <c r="K24" s="42" t="s">
        <v>1218</v>
      </c>
      <c r="O24" s="86" t="s">
        <v>10</v>
      </c>
      <c r="P24" s="87" t="s">
        <v>11</v>
      </c>
      <c r="Q24" t="s">
        <v>582</v>
      </c>
      <c r="V24" s="4"/>
      <c r="X24" s="3" t="s">
        <v>265</v>
      </c>
      <c r="Y24" t="s">
        <v>266</v>
      </c>
      <c r="Z24" t="s">
        <v>151</v>
      </c>
      <c r="AA24" s="10">
        <v>6</v>
      </c>
      <c r="AB24" t="s">
        <v>267</v>
      </c>
      <c r="AC24" s="10">
        <v>34511.794399999999</v>
      </c>
      <c r="AD24" s="4">
        <v>207070.76639999999</v>
      </c>
      <c r="AF24" s="20">
        <v>12</v>
      </c>
      <c r="AG24" s="18" t="s">
        <v>630</v>
      </c>
      <c r="AH24" s="18" t="s">
        <v>631</v>
      </c>
      <c r="AI24" s="18" t="s">
        <v>67</v>
      </c>
      <c r="AJ24" s="21">
        <v>25</v>
      </c>
      <c r="AK24" s="18" t="s">
        <v>20</v>
      </c>
      <c r="AL24" s="21">
        <v>7673.1288000000013</v>
      </c>
      <c r="AM24" s="19">
        <v>191828.22</v>
      </c>
      <c r="AO24" s="20" t="s">
        <v>50</v>
      </c>
      <c r="AP24" s="18" t="s">
        <v>51</v>
      </c>
      <c r="AQ24" s="18" t="s">
        <v>41</v>
      </c>
      <c r="AR24" s="21">
        <v>20</v>
      </c>
      <c r="AS24" s="18" t="s">
        <v>52</v>
      </c>
      <c r="AT24" s="21">
        <v>20499.997299999999</v>
      </c>
      <c r="AU24" s="19">
        <v>409999.946</v>
      </c>
      <c r="AW24" s="20" t="s">
        <v>50</v>
      </c>
      <c r="AX24" s="18" t="s">
        <v>51</v>
      </c>
      <c r="AY24" s="18" t="s">
        <v>41</v>
      </c>
      <c r="AZ24" s="21">
        <v>20</v>
      </c>
      <c r="BA24" s="18" t="s">
        <v>52</v>
      </c>
      <c r="BB24" s="21">
        <v>20499.997299999999</v>
      </c>
      <c r="BC24" s="19">
        <v>409999.946</v>
      </c>
    </row>
    <row r="25" spans="1:55" x14ac:dyDescent="0.35">
      <c r="A25" s="38" t="str">
        <v>CECM0014</v>
      </c>
      <c r="B25" s="31" t="str">
        <f t="shared" si="0"/>
        <v>XYZ KARBOL LEMONGRASS 5 L</v>
      </c>
      <c r="C25" s="31" t="str">
        <f t="shared" si="1"/>
        <v>CLEANING CHEMICAL</v>
      </c>
      <c r="D25" s="39" t="str">
        <f t="shared" si="2"/>
        <v>liter</v>
      </c>
      <c r="E25" s="53">
        <f t="shared" si="3"/>
        <v>19757.159199999998</v>
      </c>
      <c r="F25" s="54">
        <f t="shared" si="4"/>
        <v>13.8</v>
      </c>
      <c r="G25" s="54">
        <f t="shared" si="5"/>
        <v>14.48</v>
      </c>
      <c r="H25" s="48">
        <f t="shared" si="6"/>
        <v>0.67999999999999972</v>
      </c>
      <c r="I25" s="53">
        <f t="shared" si="7"/>
        <v>13434.868255999992</v>
      </c>
      <c r="J25" s="31" t="str">
        <f t="shared" si="8"/>
        <v>Kenaikan IU</v>
      </c>
      <c r="K25" s="42" t="s">
        <v>1219</v>
      </c>
      <c r="O25" s="86" t="s">
        <v>16</v>
      </c>
      <c r="P25" s="87" t="s">
        <v>11</v>
      </c>
      <c r="Q25" t="s">
        <v>17</v>
      </c>
      <c r="V25" s="4"/>
      <c r="X25" s="3" t="s">
        <v>154</v>
      </c>
      <c r="Y25" t="s">
        <v>155</v>
      </c>
      <c r="Z25" t="s">
        <v>151</v>
      </c>
      <c r="AA25" s="10">
        <v>90</v>
      </c>
      <c r="AB25" t="s">
        <v>20</v>
      </c>
      <c r="AC25" s="10">
        <v>998.3442</v>
      </c>
      <c r="AD25" s="4">
        <v>89850.978000000003</v>
      </c>
      <c r="AF25" s="20">
        <v>13</v>
      </c>
      <c r="AG25" s="18" t="s">
        <v>258</v>
      </c>
      <c r="AH25" s="18" t="s">
        <v>259</v>
      </c>
      <c r="AI25" s="18" t="s">
        <v>67</v>
      </c>
      <c r="AJ25" s="18">
        <v>1</v>
      </c>
      <c r="AK25" s="18" t="s">
        <v>5</v>
      </c>
      <c r="AL25" s="18">
        <v>27576</v>
      </c>
      <c r="AM25" s="19">
        <v>27576</v>
      </c>
      <c r="AO25" s="20" t="s">
        <v>53</v>
      </c>
      <c r="AP25" s="18" t="s">
        <v>54</v>
      </c>
      <c r="AQ25" s="18" t="s">
        <v>41</v>
      </c>
      <c r="AR25" s="21">
        <v>5</v>
      </c>
      <c r="AS25" s="18" t="s">
        <v>20</v>
      </c>
      <c r="AT25" s="21">
        <v>3111.8</v>
      </c>
      <c r="AU25" s="19">
        <v>15559</v>
      </c>
      <c r="AW25" s="20" t="s">
        <v>53</v>
      </c>
      <c r="AX25" s="18" t="s">
        <v>54</v>
      </c>
      <c r="AY25" s="18" t="s">
        <v>41</v>
      </c>
      <c r="AZ25" s="21">
        <v>5</v>
      </c>
      <c r="BA25" s="18" t="s">
        <v>20</v>
      </c>
      <c r="BB25" s="21">
        <v>3111.8</v>
      </c>
      <c r="BC25" s="19">
        <v>15559</v>
      </c>
    </row>
    <row r="26" spans="1:55" ht="15" thickBot="1" x14ac:dyDescent="0.4">
      <c r="A26" s="38" t="str">
        <v>CECM0018</v>
      </c>
      <c r="B26" s="31" t="str">
        <f t="shared" si="0"/>
        <v>XYZ GENERAL CLEANER  (CUCI PIRING LIME)</v>
      </c>
      <c r="C26" s="31" t="str">
        <f t="shared" si="1"/>
        <v>CLEANING CHEMICAL</v>
      </c>
      <c r="D26" s="39" t="str">
        <f t="shared" si="2"/>
        <v>liter</v>
      </c>
      <c r="E26" s="53">
        <f t="shared" si="3"/>
        <v>13000</v>
      </c>
      <c r="F26" s="54">
        <f t="shared" si="4"/>
        <v>10</v>
      </c>
      <c r="G26" s="54">
        <f t="shared" si="5"/>
        <v>10.36</v>
      </c>
      <c r="H26" s="48">
        <f t="shared" si="6"/>
        <v>0.35999999999999943</v>
      </c>
      <c r="I26" s="53">
        <f t="shared" si="7"/>
        <v>4679.9999999999927</v>
      </c>
      <c r="J26" s="31" t="str">
        <f t="shared" si="8"/>
        <v>Kenaikan IU</v>
      </c>
      <c r="K26" s="42" t="s">
        <v>1220</v>
      </c>
      <c r="O26" s="86" t="s">
        <v>21</v>
      </c>
      <c r="P26" s="87" t="s">
        <v>11</v>
      </c>
      <c r="Q26" t="s">
        <v>573</v>
      </c>
      <c r="V26" s="4"/>
      <c r="X26" s="3" t="s">
        <v>156</v>
      </c>
      <c r="Y26" t="s">
        <v>157</v>
      </c>
      <c r="Z26" t="s">
        <v>151</v>
      </c>
      <c r="AA26" s="10">
        <v>18</v>
      </c>
      <c r="AB26" t="s">
        <v>20</v>
      </c>
      <c r="AC26" s="10">
        <v>2626.67</v>
      </c>
      <c r="AD26" s="4">
        <v>47280.06</v>
      </c>
      <c r="AF26" s="22" t="s">
        <v>223</v>
      </c>
      <c r="AG26" s="23" t="s">
        <v>223</v>
      </c>
      <c r="AH26" s="23" t="s">
        <v>223</v>
      </c>
      <c r="AI26" s="23" t="s">
        <v>223</v>
      </c>
      <c r="AJ26" s="23" t="s">
        <v>223</v>
      </c>
      <c r="AK26" s="23" t="s">
        <v>223</v>
      </c>
      <c r="AL26" s="23" t="s">
        <v>224</v>
      </c>
      <c r="AM26" s="24">
        <v>467524.30434999999</v>
      </c>
      <c r="AO26" s="20" t="s">
        <v>453</v>
      </c>
      <c r="AP26" s="18" t="s">
        <v>454</v>
      </c>
      <c r="AQ26" s="18" t="s">
        <v>41</v>
      </c>
      <c r="AR26" s="21">
        <v>1</v>
      </c>
      <c r="AS26" s="18" t="s">
        <v>267</v>
      </c>
      <c r="AT26" s="21">
        <v>20047.73</v>
      </c>
      <c r="AU26" s="19">
        <v>20047.73</v>
      </c>
      <c r="AW26" s="20" t="s">
        <v>453</v>
      </c>
      <c r="AX26" s="18" t="s">
        <v>454</v>
      </c>
      <c r="AY26" s="18" t="s">
        <v>41</v>
      </c>
      <c r="AZ26" s="21">
        <v>1</v>
      </c>
      <c r="BA26" s="18" t="s">
        <v>267</v>
      </c>
      <c r="BB26" s="21">
        <v>20047.73</v>
      </c>
      <c r="BC26" s="19">
        <v>20047.73</v>
      </c>
    </row>
    <row r="27" spans="1:55" x14ac:dyDescent="0.35">
      <c r="A27" s="38" t="str">
        <v>CETS0002</v>
      </c>
      <c r="B27" s="31" t="str">
        <f t="shared" si="0"/>
        <v>TOWEL ANJOLY MERAH-KECIL</v>
      </c>
      <c r="C27" s="31" t="str">
        <f t="shared" si="1"/>
        <v>CLEANING TOOLS AND SUPPLIES</v>
      </c>
      <c r="D27" s="39" t="str">
        <f t="shared" si="2"/>
        <v>pcs</v>
      </c>
      <c r="E27" s="53">
        <f t="shared" si="3"/>
        <v>7216.670000000001</v>
      </c>
      <c r="F27" s="54" t="str">
        <f t="shared" si="4"/>
        <v>0</v>
      </c>
      <c r="G27" s="54">
        <f t="shared" si="5"/>
        <v>1</v>
      </c>
      <c r="H27" s="48">
        <f t="shared" si="6"/>
        <v>1</v>
      </c>
      <c r="I27" s="53">
        <f t="shared" si="7"/>
        <v>7216.670000000001</v>
      </c>
      <c r="J27" s="31" t="str">
        <f t="shared" si="8"/>
        <v>Kenaikan IU</v>
      </c>
      <c r="K27" s="42" t="s">
        <v>1221</v>
      </c>
      <c r="O27" s="86" t="s">
        <v>26</v>
      </c>
      <c r="P27" s="87" t="s">
        <v>11</v>
      </c>
      <c r="Q27" t="s">
        <v>583</v>
      </c>
      <c r="V27" s="4"/>
      <c r="X27" s="3" t="s">
        <v>272</v>
      </c>
      <c r="Y27" t="s">
        <v>273</v>
      </c>
      <c r="Z27" t="s">
        <v>151</v>
      </c>
      <c r="AA27">
        <v>1.8</v>
      </c>
      <c r="AB27" t="s">
        <v>5</v>
      </c>
      <c r="AC27">
        <v>3760</v>
      </c>
      <c r="AD27" s="4">
        <v>6768</v>
      </c>
      <c r="AO27" s="20" t="s">
        <v>407</v>
      </c>
      <c r="AP27" s="18" t="s">
        <v>408</v>
      </c>
      <c r="AQ27" s="18" t="s">
        <v>41</v>
      </c>
      <c r="AR27" s="21">
        <v>1</v>
      </c>
      <c r="AS27" s="18" t="s">
        <v>267</v>
      </c>
      <c r="AT27" s="21">
        <v>37385.989600000001</v>
      </c>
      <c r="AU27" s="19">
        <v>37385.989600000001</v>
      </c>
      <c r="AW27" s="20" t="s">
        <v>407</v>
      </c>
      <c r="AX27" s="18" t="s">
        <v>408</v>
      </c>
      <c r="AY27" s="18" t="s">
        <v>41</v>
      </c>
      <c r="AZ27" s="21">
        <v>1</v>
      </c>
      <c r="BA27" s="18" t="s">
        <v>267</v>
      </c>
      <c r="BB27" s="21">
        <v>37385.989600000001</v>
      </c>
      <c r="BC27" s="19">
        <v>37385.989600000001</v>
      </c>
    </row>
    <row r="28" spans="1:55" ht="15" thickBot="1" x14ac:dyDescent="0.4">
      <c r="A28" s="38" t="str">
        <v>CETS00028</v>
      </c>
      <c r="B28" s="31" t="str">
        <f t="shared" si="0"/>
        <v>GLUE PAD</v>
      </c>
      <c r="C28" s="31" t="str">
        <f t="shared" si="1"/>
        <v>CLEANING TOOLS AND SUPPLIES</v>
      </c>
      <c r="D28" s="39" t="str">
        <f t="shared" si="2"/>
        <v>lembar</v>
      </c>
      <c r="E28" s="53">
        <f t="shared" si="3"/>
        <v>20499.997299999999</v>
      </c>
      <c r="F28" s="54">
        <f t="shared" si="4"/>
        <v>33</v>
      </c>
      <c r="G28" s="54">
        <f t="shared" si="5"/>
        <v>20</v>
      </c>
      <c r="H28" s="48">
        <f t="shared" si="6"/>
        <v>-13</v>
      </c>
      <c r="I28" s="53">
        <f t="shared" si="7"/>
        <v>-266499.96489999996</v>
      </c>
      <c r="J28" s="31" t="str">
        <f t="shared" si="8"/>
        <v>Penurunan IU</v>
      </c>
      <c r="K28" s="42" t="s">
        <v>1222</v>
      </c>
      <c r="O28" s="86" t="s">
        <v>31</v>
      </c>
      <c r="P28" s="87" t="s">
        <v>11</v>
      </c>
      <c r="Q28" t="s">
        <v>186</v>
      </c>
      <c r="V28" s="4"/>
      <c r="X28" s="3" t="s">
        <v>65</v>
      </c>
      <c r="Y28" t="s">
        <v>66</v>
      </c>
      <c r="Z28" t="s">
        <v>67</v>
      </c>
      <c r="AA28" s="10">
        <v>27</v>
      </c>
      <c r="AB28" t="s">
        <v>20</v>
      </c>
      <c r="AC28" s="10">
        <v>340.55119999999999</v>
      </c>
      <c r="AD28" s="4">
        <v>9194.8824000000004</v>
      </c>
      <c r="AO28" s="20" t="s">
        <v>57</v>
      </c>
      <c r="AP28" s="18" t="s">
        <v>58</v>
      </c>
      <c r="AQ28" s="18" t="s">
        <v>41</v>
      </c>
      <c r="AR28" s="21">
        <v>11</v>
      </c>
      <c r="AS28" s="18" t="s">
        <v>5</v>
      </c>
      <c r="AT28" s="21">
        <v>7698.8933999999999</v>
      </c>
      <c r="AU28" s="19">
        <v>84687.827399999995</v>
      </c>
      <c r="AW28" s="20" t="s">
        <v>57</v>
      </c>
      <c r="AX28" s="18" t="s">
        <v>58</v>
      </c>
      <c r="AY28" s="18" t="s">
        <v>41</v>
      </c>
      <c r="AZ28" s="21">
        <v>11</v>
      </c>
      <c r="BA28" s="18" t="s">
        <v>5</v>
      </c>
      <c r="BB28" s="21">
        <v>7698.8933999999999</v>
      </c>
      <c r="BC28" s="19">
        <v>84687.827399999995</v>
      </c>
    </row>
    <row r="29" spans="1:55" x14ac:dyDescent="0.35">
      <c r="A29" s="38" t="str">
        <v>CETS0006</v>
      </c>
      <c r="B29" s="31" t="str">
        <f t="shared" si="0"/>
        <v>SPONGE BUSA</v>
      </c>
      <c r="C29" s="31" t="str">
        <f t="shared" si="1"/>
        <v>CLEANING TOOLS AND SUPPLIES</v>
      </c>
      <c r="D29" s="39" t="str">
        <f t="shared" si="2"/>
        <v>pcs</v>
      </c>
      <c r="E29" s="53">
        <f t="shared" si="3"/>
        <v>3111.8</v>
      </c>
      <c r="F29" s="54">
        <f t="shared" si="4"/>
        <v>7</v>
      </c>
      <c r="G29" s="54">
        <f t="shared" si="5"/>
        <v>5</v>
      </c>
      <c r="H29" s="48">
        <f t="shared" si="6"/>
        <v>-2</v>
      </c>
      <c r="I29" s="53">
        <f t="shared" si="7"/>
        <v>-6223.6</v>
      </c>
      <c r="J29" s="31" t="str">
        <f t="shared" si="8"/>
        <v>Penurunan IU</v>
      </c>
      <c r="K29" s="42" t="s">
        <v>1221</v>
      </c>
      <c r="O29" s="86" t="s">
        <v>35</v>
      </c>
      <c r="P29" s="87" t="s">
        <v>11</v>
      </c>
      <c r="Q29" t="s">
        <v>584</v>
      </c>
      <c r="V29" s="4"/>
      <c r="X29" s="3" t="s">
        <v>388</v>
      </c>
      <c r="Y29" t="s">
        <v>389</v>
      </c>
      <c r="Z29" t="s">
        <v>67</v>
      </c>
      <c r="AA29" s="10">
        <v>10</v>
      </c>
      <c r="AB29" t="s">
        <v>20</v>
      </c>
      <c r="AC29" s="10">
        <v>2639</v>
      </c>
      <c r="AD29" s="4">
        <v>26390</v>
      </c>
      <c r="AF29" s="84" t="s">
        <v>0</v>
      </c>
      <c r="AG29" s="85"/>
      <c r="AH29" s="85"/>
      <c r="AI29" s="85"/>
      <c r="AJ29" s="85"/>
      <c r="AK29" s="16"/>
      <c r="AL29" s="16"/>
      <c r="AM29" s="17"/>
      <c r="AO29" s="20" t="s">
        <v>59</v>
      </c>
      <c r="AP29" s="18" t="s">
        <v>60</v>
      </c>
      <c r="AQ29" s="18" t="s">
        <v>41</v>
      </c>
      <c r="AR29" s="21">
        <v>16</v>
      </c>
      <c r="AS29" s="18" t="s">
        <v>5</v>
      </c>
      <c r="AT29" s="21">
        <v>7698.2142000000003</v>
      </c>
      <c r="AU29" s="19">
        <v>123171.42720000001</v>
      </c>
      <c r="AW29" s="20" t="s">
        <v>59</v>
      </c>
      <c r="AX29" s="18" t="s">
        <v>60</v>
      </c>
      <c r="AY29" s="18" t="s">
        <v>41</v>
      </c>
      <c r="AZ29" s="21">
        <v>16</v>
      </c>
      <c r="BA29" s="18" t="s">
        <v>5</v>
      </c>
      <c r="BB29" s="21">
        <v>7698.2142000000003</v>
      </c>
      <c r="BC29" s="19">
        <v>123171.42720000001</v>
      </c>
    </row>
    <row r="30" spans="1:55" x14ac:dyDescent="0.35">
      <c r="A30" s="38" t="str">
        <v>CETS0009</v>
      </c>
      <c r="B30" s="31" t="str">
        <f t="shared" si="0"/>
        <v>REFIL KAIN PEL/REFIL MOP PEL OBOR</v>
      </c>
      <c r="C30" s="31" t="str">
        <f t="shared" si="1"/>
        <v>CLEANING TOOLS AND SUPPLIES</v>
      </c>
      <c r="D30" s="39" t="str">
        <f t="shared" si="2"/>
        <v>unit</v>
      </c>
      <c r="E30" s="53">
        <f t="shared" si="3"/>
        <v>20047.73</v>
      </c>
      <c r="F30" s="54">
        <f t="shared" si="4"/>
        <v>2</v>
      </c>
      <c r="G30" s="54">
        <f t="shared" si="5"/>
        <v>1</v>
      </c>
      <c r="H30" s="48">
        <f t="shared" si="6"/>
        <v>-1</v>
      </c>
      <c r="I30" s="53">
        <f t="shared" si="7"/>
        <v>-20047.73</v>
      </c>
      <c r="J30" s="31" t="str">
        <f t="shared" si="8"/>
        <v>Penurunan IU</v>
      </c>
      <c r="K30" s="42" t="s">
        <v>1223</v>
      </c>
      <c r="O30" s="3"/>
      <c r="V30" s="4"/>
      <c r="X30" s="3" t="s">
        <v>72</v>
      </c>
      <c r="Y30" t="s">
        <v>73</v>
      </c>
      <c r="Z30" t="s">
        <v>67</v>
      </c>
      <c r="AA30" s="10">
        <v>2</v>
      </c>
      <c r="AB30" t="s">
        <v>74</v>
      </c>
      <c r="AC30" s="10">
        <v>3009.8631999999998</v>
      </c>
      <c r="AD30" s="4">
        <v>6019.7263999999996</v>
      </c>
      <c r="AF30" s="82" t="s">
        <v>1</v>
      </c>
      <c r="AG30" s="83"/>
      <c r="AH30" s="83"/>
      <c r="AI30" s="83"/>
      <c r="AJ30" s="83"/>
      <c r="AK30" s="18"/>
      <c r="AL30" s="18"/>
      <c r="AM30" s="19"/>
      <c r="AO30" s="20" t="s">
        <v>61</v>
      </c>
      <c r="AP30" s="18" t="s">
        <v>62</v>
      </c>
      <c r="AQ30" s="18" t="s">
        <v>41</v>
      </c>
      <c r="AR30" s="18">
        <v>3</v>
      </c>
      <c r="AS30" s="18" t="s">
        <v>5</v>
      </c>
      <c r="AT30" s="18">
        <v>13935.541000000001</v>
      </c>
      <c r="AU30" s="19">
        <v>41806.623</v>
      </c>
      <c r="AW30" s="20" t="s">
        <v>61</v>
      </c>
      <c r="AX30" s="18" t="s">
        <v>62</v>
      </c>
      <c r="AY30" s="18" t="s">
        <v>41</v>
      </c>
      <c r="AZ30" s="18">
        <v>3</v>
      </c>
      <c r="BA30" s="18" t="s">
        <v>5</v>
      </c>
      <c r="BB30" s="18">
        <v>13935.541000000001</v>
      </c>
      <c r="BC30" s="19">
        <v>41806.623</v>
      </c>
    </row>
    <row r="31" spans="1:55" x14ac:dyDescent="0.35">
      <c r="A31" s="38" t="str">
        <v>CETS0010</v>
      </c>
      <c r="B31" s="31" t="str">
        <f t="shared" si="0"/>
        <v>SAPU 8517KW</v>
      </c>
      <c r="C31" s="31" t="str">
        <f t="shared" si="1"/>
        <v>CLEANING TOOLS AND SUPPLIES</v>
      </c>
      <c r="D31" s="39" t="str">
        <f t="shared" si="2"/>
        <v>unit</v>
      </c>
      <c r="E31" s="53">
        <f t="shared" si="3"/>
        <v>37385.989600000001</v>
      </c>
      <c r="F31" s="54">
        <f t="shared" si="4"/>
        <v>3</v>
      </c>
      <c r="G31" s="54">
        <f t="shared" si="5"/>
        <v>1</v>
      </c>
      <c r="H31" s="48">
        <f t="shared" si="6"/>
        <v>-2</v>
      </c>
      <c r="I31" s="53">
        <f t="shared" si="7"/>
        <v>-74771.979200000002</v>
      </c>
      <c r="J31" s="31" t="str">
        <f t="shared" si="8"/>
        <v>Penurunan IU</v>
      </c>
      <c r="K31" s="42" t="s">
        <v>1224</v>
      </c>
      <c r="O31" s="3" t="s">
        <v>42</v>
      </c>
      <c r="P31" t="s">
        <v>43</v>
      </c>
      <c r="Q31" t="s">
        <v>44</v>
      </c>
      <c r="R31" t="s">
        <v>45</v>
      </c>
      <c r="S31" t="s">
        <v>46</v>
      </c>
      <c r="T31" t="s">
        <v>47</v>
      </c>
      <c r="U31" t="s">
        <v>48</v>
      </c>
      <c r="V31" s="4" t="s">
        <v>49</v>
      </c>
      <c r="X31" s="3" t="s">
        <v>75</v>
      </c>
      <c r="Y31" t="s">
        <v>76</v>
      </c>
      <c r="Z31" t="s">
        <v>67</v>
      </c>
      <c r="AA31" s="10">
        <v>3</v>
      </c>
      <c r="AB31" t="s">
        <v>74</v>
      </c>
      <c r="AC31" s="10">
        <v>6150</v>
      </c>
      <c r="AD31" s="4">
        <v>18450</v>
      </c>
      <c r="AF31" s="20"/>
      <c r="AG31" s="18"/>
      <c r="AH31" s="18"/>
      <c r="AI31" s="18"/>
      <c r="AJ31" s="18"/>
      <c r="AK31" s="18"/>
      <c r="AL31" s="18"/>
      <c r="AM31" s="19"/>
      <c r="AO31" s="20" t="s">
        <v>460</v>
      </c>
      <c r="AP31" s="18" t="s">
        <v>461</v>
      </c>
      <c r="AQ31" s="18" t="s">
        <v>117</v>
      </c>
      <c r="AR31" s="21">
        <v>6</v>
      </c>
      <c r="AS31" s="18" t="s">
        <v>20</v>
      </c>
      <c r="AT31" s="21">
        <v>207638.79070000001</v>
      </c>
      <c r="AU31" s="19">
        <v>1245832.7442000001</v>
      </c>
      <c r="AW31" s="20" t="s">
        <v>460</v>
      </c>
      <c r="AX31" s="18" t="s">
        <v>461</v>
      </c>
      <c r="AY31" s="18" t="s">
        <v>117</v>
      </c>
      <c r="AZ31" s="21">
        <v>6</v>
      </c>
      <c r="BA31" s="18" t="s">
        <v>20</v>
      </c>
      <c r="BB31" s="21">
        <v>207638.79070000001</v>
      </c>
      <c r="BC31" s="19">
        <v>1245832.7442000001</v>
      </c>
    </row>
    <row r="32" spans="1:55" x14ac:dyDescent="0.35">
      <c r="A32" s="38" t="str">
        <v>CETS0025</v>
      </c>
      <c r="B32" s="31" t="str">
        <f t="shared" si="0"/>
        <v>PLASTIK SAMPAH 60 x 100 (10 LEMBAR)</v>
      </c>
      <c r="C32" s="31" t="str">
        <f t="shared" si="1"/>
        <v>CLEANING TOOLS AND SUPPLIES</v>
      </c>
      <c r="D32" s="39" t="str">
        <f t="shared" si="2"/>
        <v>pack</v>
      </c>
      <c r="E32" s="53">
        <f t="shared" si="3"/>
        <v>7698.8933999999999</v>
      </c>
      <c r="F32" s="54">
        <f t="shared" si="4"/>
        <v>9</v>
      </c>
      <c r="G32" s="54">
        <f t="shared" si="5"/>
        <v>11</v>
      </c>
      <c r="H32" s="48">
        <f t="shared" si="6"/>
        <v>2</v>
      </c>
      <c r="I32" s="53">
        <f t="shared" si="7"/>
        <v>15397.7868</v>
      </c>
      <c r="J32" s="31" t="str">
        <f t="shared" si="8"/>
        <v>Kenaikan IU</v>
      </c>
      <c r="K32" s="42" t="s">
        <v>1225</v>
      </c>
      <c r="O32" s="3">
        <v>1</v>
      </c>
      <c r="P32" t="s">
        <v>121</v>
      </c>
      <c r="Q32" t="s">
        <v>122</v>
      </c>
      <c r="R32" t="s">
        <v>123</v>
      </c>
      <c r="S32" s="10">
        <v>5</v>
      </c>
      <c r="T32" t="s">
        <v>5</v>
      </c>
      <c r="U32" s="10">
        <v>5829.8370000000004</v>
      </c>
      <c r="V32" s="4">
        <v>29149.185000000001</v>
      </c>
      <c r="X32" s="3" t="s">
        <v>79</v>
      </c>
      <c r="Y32" t="s">
        <v>80</v>
      </c>
      <c r="Z32" t="s">
        <v>67</v>
      </c>
      <c r="AA32" s="10">
        <v>1</v>
      </c>
      <c r="AB32" t="s">
        <v>20</v>
      </c>
      <c r="AC32" s="10">
        <v>15000</v>
      </c>
      <c r="AD32" s="4">
        <v>15000</v>
      </c>
      <c r="AF32" s="82" t="s">
        <v>10</v>
      </c>
      <c r="AG32" s="83" t="s">
        <v>11</v>
      </c>
      <c r="AH32" s="18" t="s">
        <v>826</v>
      </c>
      <c r="AI32" s="18"/>
      <c r="AJ32" s="18"/>
      <c r="AK32" s="18"/>
      <c r="AL32" s="18"/>
      <c r="AM32" s="19"/>
      <c r="AO32" s="20" t="s">
        <v>115</v>
      </c>
      <c r="AP32" s="18" t="s">
        <v>116</v>
      </c>
      <c r="AQ32" s="18" t="s">
        <v>117</v>
      </c>
      <c r="AR32" s="21">
        <v>1500</v>
      </c>
      <c r="AS32" s="18" t="s">
        <v>52</v>
      </c>
      <c r="AT32" s="21">
        <v>600</v>
      </c>
      <c r="AU32" s="19">
        <v>900000</v>
      </c>
      <c r="AW32" s="20" t="s">
        <v>115</v>
      </c>
      <c r="AX32" s="18" t="s">
        <v>116</v>
      </c>
      <c r="AY32" s="18" t="s">
        <v>117</v>
      </c>
      <c r="AZ32" s="21">
        <v>1500</v>
      </c>
      <c r="BA32" s="18" t="s">
        <v>52</v>
      </c>
      <c r="BB32" s="21">
        <v>600</v>
      </c>
      <c r="BC32" s="19">
        <v>900000</v>
      </c>
    </row>
    <row r="33" spans="1:55" x14ac:dyDescent="0.35">
      <c r="A33" s="38" t="str">
        <v>CETS0026</v>
      </c>
      <c r="B33" s="31" t="str">
        <f t="shared" si="0"/>
        <v>PLASTIK SAMPAH 90 x 120 (5 LEMBAR)</v>
      </c>
      <c r="C33" s="31" t="str">
        <f t="shared" si="1"/>
        <v>CLEANING TOOLS AND SUPPLIES</v>
      </c>
      <c r="D33" s="39" t="str">
        <f t="shared" si="2"/>
        <v>pack</v>
      </c>
      <c r="E33" s="53">
        <f t="shared" si="3"/>
        <v>7698.2142000000003</v>
      </c>
      <c r="F33" s="54">
        <f t="shared" si="4"/>
        <v>13</v>
      </c>
      <c r="G33" s="54">
        <f t="shared" si="5"/>
        <v>16</v>
      </c>
      <c r="H33" s="48">
        <f t="shared" si="6"/>
        <v>3</v>
      </c>
      <c r="I33" s="53">
        <f t="shared" si="7"/>
        <v>23094.642599999999</v>
      </c>
      <c r="J33" s="31" t="str">
        <f t="shared" si="8"/>
        <v>Kenaikan IU</v>
      </c>
      <c r="K33" s="42" t="s">
        <v>1225</v>
      </c>
      <c r="O33" s="3">
        <v>2</v>
      </c>
      <c r="P33" t="s">
        <v>124</v>
      </c>
      <c r="Q33" t="s">
        <v>125</v>
      </c>
      <c r="R33" t="s">
        <v>123</v>
      </c>
      <c r="S33" s="10">
        <v>5</v>
      </c>
      <c r="T33" t="s">
        <v>5</v>
      </c>
      <c r="U33" s="10">
        <v>5403.2861999999996</v>
      </c>
      <c r="V33" s="4">
        <v>27016.431</v>
      </c>
      <c r="X33" s="3" t="s">
        <v>393</v>
      </c>
      <c r="Y33" t="s">
        <v>394</v>
      </c>
      <c r="Z33" t="s">
        <v>67</v>
      </c>
      <c r="AA33" s="10">
        <v>1</v>
      </c>
      <c r="AB33" t="s">
        <v>20</v>
      </c>
      <c r="AC33" s="10">
        <v>12500</v>
      </c>
      <c r="AD33" s="4">
        <v>12500</v>
      </c>
      <c r="AF33" s="82" t="s">
        <v>16</v>
      </c>
      <c r="AG33" s="83" t="s">
        <v>11</v>
      </c>
      <c r="AH33" s="18" t="s">
        <v>211</v>
      </c>
      <c r="AI33" s="18"/>
      <c r="AJ33" s="18"/>
      <c r="AK33" s="18"/>
      <c r="AL33" s="18"/>
      <c r="AM33" s="19"/>
      <c r="AO33" s="20" t="s">
        <v>350</v>
      </c>
      <c r="AP33" s="18" t="s">
        <v>351</v>
      </c>
      <c r="AQ33" s="18" t="s">
        <v>117</v>
      </c>
      <c r="AR33" s="21">
        <v>2</v>
      </c>
      <c r="AS33" s="18" t="s">
        <v>20</v>
      </c>
      <c r="AT33" s="21">
        <v>115000</v>
      </c>
      <c r="AU33" s="19">
        <v>230000</v>
      </c>
      <c r="AW33" s="20" t="s">
        <v>350</v>
      </c>
      <c r="AX33" s="18" t="s">
        <v>351</v>
      </c>
      <c r="AY33" s="18" t="s">
        <v>117</v>
      </c>
      <c r="AZ33" s="21">
        <v>2</v>
      </c>
      <c r="BA33" s="18" t="s">
        <v>20</v>
      </c>
      <c r="BB33" s="21">
        <v>115000</v>
      </c>
      <c r="BC33" s="19">
        <v>230000</v>
      </c>
    </row>
    <row r="34" spans="1:55" x14ac:dyDescent="0.35">
      <c r="A34" s="38" t="str">
        <v>CETS0027</v>
      </c>
      <c r="B34" s="31" t="str">
        <f t="shared" si="0"/>
        <v>PLASTIK KRESEK HITAM 35 (Utk Tong Sampah)</v>
      </c>
      <c r="C34" s="31" t="str">
        <f t="shared" si="1"/>
        <v>CLEANING TOOLS AND SUPPLIES</v>
      </c>
      <c r="D34" s="39" t="str">
        <f t="shared" si="2"/>
        <v>pack</v>
      </c>
      <c r="E34" s="53">
        <f t="shared" si="3"/>
        <v>13935.541000000001</v>
      </c>
      <c r="F34" s="54">
        <f t="shared" si="4"/>
        <v>4</v>
      </c>
      <c r="G34" s="54">
        <f t="shared" si="5"/>
        <v>3</v>
      </c>
      <c r="H34" s="48">
        <f t="shared" si="6"/>
        <v>-1</v>
      </c>
      <c r="I34" s="53">
        <f t="shared" si="7"/>
        <v>-13935.541000000001</v>
      </c>
      <c r="J34" s="31" t="str">
        <f t="shared" si="8"/>
        <v>Penurunan IU</v>
      </c>
      <c r="K34" s="42" t="s">
        <v>1217</v>
      </c>
      <c r="O34" s="3">
        <v>3</v>
      </c>
      <c r="P34" t="s">
        <v>126</v>
      </c>
      <c r="Q34" t="s">
        <v>127</v>
      </c>
      <c r="R34" t="s">
        <v>123</v>
      </c>
      <c r="S34" s="10">
        <v>34.700000000000003</v>
      </c>
      <c r="T34" t="s">
        <v>5</v>
      </c>
      <c r="U34" s="10">
        <v>6766.8011999999999</v>
      </c>
      <c r="V34" s="4">
        <v>234808.00164</v>
      </c>
      <c r="X34" s="3" t="s">
        <v>512</v>
      </c>
      <c r="Y34" t="s">
        <v>513</v>
      </c>
      <c r="Z34" t="s">
        <v>67</v>
      </c>
      <c r="AA34" s="10">
        <v>3</v>
      </c>
      <c r="AB34" t="s">
        <v>486</v>
      </c>
      <c r="AC34" s="10">
        <v>32333.333299999998</v>
      </c>
      <c r="AD34" s="4">
        <v>96999.999899999995</v>
      </c>
      <c r="AF34" s="82" t="s">
        <v>21</v>
      </c>
      <c r="AG34" s="83" t="s">
        <v>11</v>
      </c>
      <c r="AH34" s="18" t="s">
        <v>573</v>
      </c>
      <c r="AI34" s="18"/>
      <c r="AJ34" s="18"/>
      <c r="AK34" s="18"/>
      <c r="AL34" s="18"/>
      <c r="AM34" s="19"/>
      <c r="AO34" s="20" t="s">
        <v>576</v>
      </c>
      <c r="AP34" s="18" t="s">
        <v>577</v>
      </c>
      <c r="AQ34" s="18" t="s">
        <v>120</v>
      </c>
      <c r="AR34" s="21">
        <v>1</v>
      </c>
      <c r="AS34" s="18" t="s">
        <v>20</v>
      </c>
      <c r="AT34" s="21">
        <v>85000</v>
      </c>
      <c r="AU34" s="19">
        <v>85000</v>
      </c>
      <c r="AW34" s="20" t="s">
        <v>576</v>
      </c>
      <c r="AX34" s="18" t="s">
        <v>577</v>
      </c>
      <c r="AY34" s="18" t="s">
        <v>120</v>
      </c>
      <c r="AZ34" s="21">
        <v>1</v>
      </c>
      <c r="BA34" s="18" t="s">
        <v>20</v>
      </c>
      <c r="BB34" s="21">
        <v>85000</v>
      </c>
      <c r="BC34" s="19">
        <v>85000</v>
      </c>
    </row>
    <row r="35" spans="1:55" x14ac:dyDescent="0.35">
      <c r="A35" s="38" t="str">
        <v>MKT00004</v>
      </c>
      <c r="B35" s="31" t="str">
        <f t="shared" si="0"/>
        <v>FOAMBOARD</v>
      </c>
      <c r="C35" s="31" t="str">
        <f t="shared" si="1"/>
        <v>MARKETING</v>
      </c>
      <c r="D35" s="39" t="str">
        <f t="shared" si="2"/>
        <v>pcs</v>
      </c>
      <c r="E35" s="53">
        <f t="shared" si="3"/>
        <v>207638.79070000001</v>
      </c>
      <c r="F35" s="54">
        <f t="shared" si="4"/>
        <v>5</v>
      </c>
      <c r="G35" s="54">
        <f t="shared" si="5"/>
        <v>6</v>
      </c>
      <c r="H35" s="48">
        <f t="shared" si="6"/>
        <v>1</v>
      </c>
      <c r="I35" s="53">
        <f t="shared" si="7"/>
        <v>207638.79070000001</v>
      </c>
      <c r="J35" s="31" t="str">
        <f t="shared" si="8"/>
        <v>Kenaikan IU</v>
      </c>
      <c r="K35" s="42" t="s">
        <v>1226</v>
      </c>
      <c r="O35" s="3">
        <v>4</v>
      </c>
      <c r="P35" t="s">
        <v>130</v>
      </c>
      <c r="Q35" t="s">
        <v>131</v>
      </c>
      <c r="R35" t="s">
        <v>123</v>
      </c>
      <c r="S35" s="10">
        <v>49</v>
      </c>
      <c r="T35" t="s">
        <v>5</v>
      </c>
      <c r="U35" s="10">
        <v>6349.7124000000003</v>
      </c>
      <c r="V35" s="4">
        <v>311135.90759999998</v>
      </c>
      <c r="X35" s="3" t="s">
        <v>484</v>
      </c>
      <c r="Y35" t="s">
        <v>485</v>
      </c>
      <c r="Z35" t="s">
        <v>67</v>
      </c>
      <c r="AA35" s="10">
        <v>2</v>
      </c>
      <c r="AB35" t="s">
        <v>486</v>
      </c>
      <c r="AC35" s="10">
        <v>8500</v>
      </c>
      <c r="AD35" s="4">
        <v>17000</v>
      </c>
      <c r="AF35" s="82" t="s">
        <v>26</v>
      </c>
      <c r="AG35" s="83" t="s">
        <v>11</v>
      </c>
      <c r="AH35" s="18" t="s">
        <v>827</v>
      </c>
      <c r="AI35" s="18"/>
      <c r="AJ35" s="18"/>
      <c r="AK35" s="18"/>
      <c r="AL35" s="18"/>
      <c r="AM35" s="19"/>
      <c r="AO35" s="20" t="s">
        <v>578</v>
      </c>
      <c r="AP35" s="18" t="s">
        <v>579</v>
      </c>
      <c r="AQ35" s="18" t="s">
        <v>120</v>
      </c>
      <c r="AR35" s="21">
        <v>1</v>
      </c>
      <c r="AS35" s="18" t="s">
        <v>20</v>
      </c>
      <c r="AT35" s="21">
        <v>85000</v>
      </c>
      <c r="AU35" s="19">
        <v>85000</v>
      </c>
      <c r="AW35" s="20" t="s">
        <v>578</v>
      </c>
      <c r="AX35" s="18" t="s">
        <v>579</v>
      </c>
      <c r="AY35" s="18" t="s">
        <v>120</v>
      </c>
      <c r="AZ35" s="21">
        <v>1</v>
      </c>
      <c r="BA35" s="18" t="s">
        <v>20</v>
      </c>
      <c r="BB35" s="21">
        <v>85000</v>
      </c>
      <c r="BC35" s="19">
        <v>85000</v>
      </c>
    </row>
    <row r="36" spans="1:55" x14ac:dyDescent="0.35">
      <c r="A36" s="38" t="str">
        <v>MKT00032</v>
      </c>
      <c r="B36" s="31" t="str">
        <f t="shared" si="0"/>
        <v>FLYER A5</v>
      </c>
      <c r="C36" s="31" t="str">
        <f t="shared" si="1"/>
        <v>MARKETING</v>
      </c>
      <c r="D36" s="39" t="str">
        <f t="shared" si="2"/>
        <v>lembar</v>
      </c>
      <c r="E36" s="53">
        <f t="shared" si="3"/>
        <v>600</v>
      </c>
      <c r="F36" s="54">
        <f t="shared" si="4"/>
        <v>1000</v>
      </c>
      <c r="G36" s="54">
        <f t="shared" si="5"/>
        <v>1500</v>
      </c>
      <c r="H36" s="48">
        <f t="shared" si="6"/>
        <v>500</v>
      </c>
      <c r="I36" s="53">
        <f t="shared" si="7"/>
        <v>300000</v>
      </c>
      <c r="J36" s="31" t="str">
        <f t="shared" si="8"/>
        <v>Kenaikan IU</v>
      </c>
      <c r="K36" s="42" t="s">
        <v>1227</v>
      </c>
      <c r="O36" s="3">
        <v>5</v>
      </c>
      <c r="P36" t="s">
        <v>135</v>
      </c>
      <c r="Q36" t="s">
        <v>136</v>
      </c>
      <c r="R36" t="s">
        <v>123</v>
      </c>
      <c r="S36" s="10">
        <v>23.8</v>
      </c>
      <c r="T36" t="s">
        <v>5</v>
      </c>
      <c r="U36" s="10">
        <v>5656.1605</v>
      </c>
      <c r="V36" s="4">
        <v>134616.61989999999</v>
      </c>
      <c r="X36" s="3" t="s">
        <v>81</v>
      </c>
      <c r="Y36" t="s">
        <v>82</v>
      </c>
      <c r="Z36" t="s">
        <v>67</v>
      </c>
      <c r="AA36" s="10">
        <v>2</v>
      </c>
      <c r="AB36" t="s">
        <v>20</v>
      </c>
      <c r="AC36" s="10">
        <v>9473.4182000000001</v>
      </c>
      <c r="AD36" s="4">
        <v>18946.8364</v>
      </c>
      <c r="AF36" s="82" t="s">
        <v>31</v>
      </c>
      <c r="AG36" s="83" t="s">
        <v>11</v>
      </c>
      <c r="AH36" s="18" t="s">
        <v>32</v>
      </c>
      <c r="AI36" s="18"/>
      <c r="AJ36" s="18"/>
      <c r="AK36" s="18"/>
      <c r="AL36" s="18"/>
      <c r="AM36" s="19"/>
      <c r="AO36" s="20" t="s">
        <v>121</v>
      </c>
      <c r="AP36" s="18" t="s">
        <v>122</v>
      </c>
      <c r="AQ36" s="18" t="s">
        <v>123</v>
      </c>
      <c r="AR36" s="21">
        <v>2</v>
      </c>
      <c r="AS36" s="18" t="s">
        <v>5</v>
      </c>
      <c r="AT36" s="21">
        <v>5829.8370000000004</v>
      </c>
      <c r="AU36" s="19">
        <v>11659.674000000001</v>
      </c>
      <c r="AW36" s="20" t="s">
        <v>121</v>
      </c>
      <c r="AX36" s="18" t="s">
        <v>122</v>
      </c>
      <c r="AY36" s="18" t="s">
        <v>123</v>
      </c>
      <c r="AZ36" s="21">
        <v>2</v>
      </c>
      <c r="BA36" s="18" t="s">
        <v>5</v>
      </c>
      <c r="BB36" s="21">
        <v>5829.8370000000004</v>
      </c>
      <c r="BC36" s="19">
        <v>11659.674000000001</v>
      </c>
    </row>
    <row r="37" spans="1:55" x14ac:dyDescent="0.35">
      <c r="A37" s="38" t="str">
        <v>MKT00042</v>
      </c>
      <c r="B37" s="31" t="str">
        <f t="shared" si="0"/>
        <v>MATERI PROMOSI LIGHT BOX</v>
      </c>
      <c r="C37" s="31" t="str">
        <f t="shared" si="1"/>
        <v>MARKETING</v>
      </c>
      <c r="D37" s="39" t="str">
        <f t="shared" si="2"/>
        <v>pcs</v>
      </c>
      <c r="E37" s="53">
        <f t="shared" si="3"/>
        <v>115000</v>
      </c>
      <c r="F37" s="54" t="str">
        <f t="shared" si="4"/>
        <v>0</v>
      </c>
      <c r="G37" s="54">
        <f t="shared" si="5"/>
        <v>2</v>
      </c>
      <c r="H37" s="48">
        <f t="shared" si="6"/>
        <v>2</v>
      </c>
      <c r="I37" s="53">
        <f t="shared" si="7"/>
        <v>230000</v>
      </c>
      <c r="J37" s="31" t="str">
        <f t="shared" si="8"/>
        <v>Kenaikan IU</v>
      </c>
      <c r="K37" s="42" t="s">
        <v>1228</v>
      </c>
      <c r="O37" s="3">
        <v>6</v>
      </c>
      <c r="P37" t="s">
        <v>137</v>
      </c>
      <c r="Q37" t="s">
        <v>138</v>
      </c>
      <c r="R37" t="s">
        <v>123</v>
      </c>
      <c r="S37" s="10">
        <v>31.8</v>
      </c>
      <c r="T37" t="s">
        <v>5</v>
      </c>
      <c r="U37" s="10">
        <v>16035.2999</v>
      </c>
      <c r="V37" s="4">
        <v>509922.53681999998</v>
      </c>
      <c r="X37" s="3" t="s">
        <v>240</v>
      </c>
      <c r="Y37" t="s">
        <v>241</v>
      </c>
      <c r="Z37" t="s">
        <v>67</v>
      </c>
      <c r="AA37" s="10">
        <v>1</v>
      </c>
      <c r="AB37" t="s">
        <v>20</v>
      </c>
      <c r="AC37" s="10">
        <v>22500</v>
      </c>
      <c r="AD37" s="4">
        <v>22500</v>
      </c>
      <c r="AF37" s="82" t="s">
        <v>35</v>
      </c>
      <c r="AG37" s="83" t="s">
        <v>11</v>
      </c>
      <c r="AH37" s="18" t="s">
        <v>828</v>
      </c>
      <c r="AI37" s="18"/>
      <c r="AJ37" s="18"/>
      <c r="AK37" s="18"/>
      <c r="AL37" s="18"/>
      <c r="AM37" s="19"/>
      <c r="AO37" s="20" t="s">
        <v>124</v>
      </c>
      <c r="AP37" s="18" t="s">
        <v>125</v>
      </c>
      <c r="AQ37" s="18" t="s">
        <v>123</v>
      </c>
      <c r="AR37" s="21">
        <v>6</v>
      </c>
      <c r="AS37" s="18" t="s">
        <v>5</v>
      </c>
      <c r="AT37" s="21">
        <v>5403.2861999999996</v>
      </c>
      <c r="AU37" s="19">
        <v>32419.717199999999</v>
      </c>
      <c r="AW37" s="20" t="s">
        <v>124</v>
      </c>
      <c r="AX37" s="18" t="s">
        <v>125</v>
      </c>
      <c r="AY37" s="18" t="s">
        <v>123</v>
      </c>
      <c r="AZ37" s="21">
        <v>6</v>
      </c>
      <c r="BA37" s="18" t="s">
        <v>5</v>
      </c>
      <c r="BB37" s="21">
        <v>5403.2861999999996</v>
      </c>
      <c r="BC37" s="19">
        <v>32419.717199999999</v>
      </c>
    </row>
    <row r="38" spans="1:55" x14ac:dyDescent="0.35">
      <c r="A38" s="38" t="str">
        <v>MRP00026</v>
      </c>
      <c r="B38" s="31" t="str">
        <f t="shared" si="0"/>
        <v>FILTER AIR SEDIMEN NANO 5 MIKRON</v>
      </c>
      <c r="C38" s="31" t="str">
        <f t="shared" si="1"/>
        <v>IT GA AND MRP STOCK</v>
      </c>
      <c r="D38" s="39" t="str">
        <f t="shared" si="2"/>
        <v>pcs</v>
      </c>
      <c r="E38" s="53">
        <f t="shared" si="3"/>
        <v>85000</v>
      </c>
      <c r="F38" s="54">
        <f t="shared" si="4"/>
        <v>2</v>
      </c>
      <c r="G38" s="54">
        <f t="shared" si="5"/>
        <v>1</v>
      </c>
      <c r="H38" s="48">
        <f t="shared" si="6"/>
        <v>-1</v>
      </c>
      <c r="I38" s="53">
        <f t="shared" si="7"/>
        <v>-85000</v>
      </c>
      <c r="J38" s="31" t="str">
        <f t="shared" si="8"/>
        <v>Penurunan IU</v>
      </c>
      <c r="K38" s="42" t="s">
        <v>1229</v>
      </c>
      <c r="O38" s="3">
        <v>7</v>
      </c>
      <c r="P38" t="s">
        <v>139</v>
      </c>
      <c r="Q38" t="s">
        <v>140</v>
      </c>
      <c r="R38" t="s">
        <v>123</v>
      </c>
      <c r="S38" s="10">
        <v>11</v>
      </c>
      <c r="T38" t="s">
        <v>5</v>
      </c>
      <c r="U38" s="10">
        <v>42175.246400000004</v>
      </c>
      <c r="V38" s="4">
        <v>463927.71039999998</v>
      </c>
      <c r="X38" s="3" t="s">
        <v>242</v>
      </c>
      <c r="Y38" t="s">
        <v>243</v>
      </c>
      <c r="Z38" t="s">
        <v>67</v>
      </c>
      <c r="AA38" s="10">
        <v>1.5</v>
      </c>
      <c r="AB38" t="s">
        <v>87</v>
      </c>
      <c r="AC38" s="10">
        <v>14500</v>
      </c>
      <c r="AD38" s="4">
        <v>21750</v>
      </c>
      <c r="AF38" s="20"/>
      <c r="AG38" s="18"/>
      <c r="AH38" s="18"/>
      <c r="AI38" s="18"/>
      <c r="AJ38" s="18"/>
      <c r="AK38" s="18"/>
      <c r="AL38" s="18"/>
      <c r="AM38" s="19"/>
      <c r="AO38" s="20" t="s">
        <v>126</v>
      </c>
      <c r="AP38" s="18" t="s">
        <v>127</v>
      </c>
      <c r="AQ38" s="18" t="s">
        <v>123</v>
      </c>
      <c r="AR38" s="21">
        <v>18</v>
      </c>
      <c r="AS38" s="18" t="s">
        <v>5</v>
      </c>
      <c r="AT38" s="21">
        <v>6855.9902000000002</v>
      </c>
      <c r="AU38" s="19">
        <v>123407.8236</v>
      </c>
      <c r="AW38" s="20" t="s">
        <v>126</v>
      </c>
      <c r="AX38" s="18" t="s">
        <v>127</v>
      </c>
      <c r="AY38" s="18" t="s">
        <v>123</v>
      </c>
      <c r="AZ38" s="21">
        <v>18</v>
      </c>
      <c r="BA38" s="18" t="s">
        <v>5</v>
      </c>
      <c r="BB38" s="21">
        <v>6855.9902000000002</v>
      </c>
      <c r="BC38" s="19">
        <v>123407.8236</v>
      </c>
    </row>
    <row r="39" spans="1:55" x14ac:dyDescent="0.35">
      <c r="A39" s="38" t="str">
        <v>MRP00029</v>
      </c>
      <c r="B39" s="31" t="str">
        <f t="shared" si="0"/>
        <v>LAMPU UV PERANGKAP SERANGGA</v>
      </c>
      <c r="C39" s="31" t="str">
        <f t="shared" si="1"/>
        <v>IT GA AND MRP STOCK</v>
      </c>
      <c r="D39" s="39" t="str">
        <f t="shared" si="2"/>
        <v>pcs</v>
      </c>
      <c r="E39" s="53">
        <f t="shared" si="3"/>
        <v>85000</v>
      </c>
      <c r="F39" s="54">
        <f t="shared" si="4"/>
        <v>2</v>
      </c>
      <c r="G39" s="54">
        <f t="shared" si="5"/>
        <v>1</v>
      </c>
      <c r="H39" s="48">
        <f t="shared" si="6"/>
        <v>-1</v>
      </c>
      <c r="I39" s="53">
        <f t="shared" si="7"/>
        <v>-85000</v>
      </c>
      <c r="J39" s="31" t="str">
        <f t="shared" si="8"/>
        <v>Penurunan IU</v>
      </c>
      <c r="K39" s="42" t="s">
        <v>1229</v>
      </c>
      <c r="O39" s="3">
        <v>8</v>
      </c>
      <c r="P39" t="s">
        <v>145</v>
      </c>
      <c r="Q39" t="s">
        <v>146</v>
      </c>
      <c r="R39" t="s">
        <v>123</v>
      </c>
      <c r="S39" s="10">
        <v>56</v>
      </c>
      <c r="T39" t="s">
        <v>5</v>
      </c>
      <c r="U39" s="10">
        <v>4604.1441000000004</v>
      </c>
      <c r="V39" s="4">
        <v>257832.06959999999</v>
      </c>
      <c r="X39" s="3" t="s">
        <v>246</v>
      </c>
      <c r="Y39" t="s">
        <v>247</v>
      </c>
      <c r="Z39" t="s">
        <v>67</v>
      </c>
      <c r="AA39" s="10">
        <v>6</v>
      </c>
      <c r="AB39" t="s">
        <v>5</v>
      </c>
      <c r="AC39" s="10">
        <v>1400</v>
      </c>
      <c r="AD39" s="4">
        <v>8400</v>
      </c>
      <c r="AF39" s="20" t="s">
        <v>42</v>
      </c>
      <c r="AG39" s="18" t="s">
        <v>43</v>
      </c>
      <c r="AH39" s="18" t="s">
        <v>44</v>
      </c>
      <c r="AI39" s="18" t="s">
        <v>45</v>
      </c>
      <c r="AJ39" s="18" t="s">
        <v>46</v>
      </c>
      <c r="AK39" s="18" t="s">
        <v>47</v>
      </c>
      <c r="AL39" s="18" t="s">
        <v>48</v>
      </c>
      <c r="AM39" s="19" t="s">
        <v>49</v>
      </c>
      <c r="AO39" s="20" t="s">
        <v>128</v>
      </c>
      <c r="AP39" s="18" t="s">
        <v>129</v>
      </c>
      <c r="AQ39" s="18" t="s">
        <v>123</v>
      </c>
      <c r="AR39" s="21">
        <v>3</v>
      </c>
      <c r="AS39" s="18" t="s">
        <v>74</v>
      </c>
      <c r="AT39" s="21">
        <v>142073.9621</v>
      </c>
      <c r="AU39" s="19">
        <v>426221.88630000001</v>
      </c>
      <c r="AW39" s="20" t="s">
        <v>128</v>
      </c>
      <c r="AX39" s="18" t="s">
        <v>129</v>
      </c>
      <c r="AY39" s="18" t="s">
        <v>123</v>
      </c>
      <c r="AZ39" s="21">
        <v>3</v>
      </c>
      <c r="BA39" s="18" t="s">
        <v>74</v>
      </c>
      <c r="BB39" s="21">
        <v>142073.9621</v>
      </c>
      <c r="BC39" s="19">
        <v>426221.88630000001</v>
      </c>
    </row>
    <row r="40" spans="1:55" x14ac:dyDescent="0.35">
      <c r="A40" s="38" t="str">
        <v>NCG00018</v>
      </c>
      <c r="B40" s="31" t="str">
        <f t="shared" si="0"/>
        <v>SARUNG TANGAN PELASTIK</v>
      </c>
      <c r="C40" s="31" t="str">
        <f t="shared" si="1"/>
        <v>NCG</v>
      </c>
      <c r="D40" s="39" t="str">
        <f t="shared" si="2"/>
        <v>pack</v>
      </c>
      <c r="E40" s="53">
        <f t="shared" si="3"/>
        <v>5829.8370000000004</v>
      </c>
      <c r="F40" s="54">
        <f t="shared" si="4"/>
        <v>5</v>
      </c>
      <c r="G40" s="54">
        <f t="shared" si="5"/>
        <v>2</v>
      </c>
      <c r="H40" s="48">
        <f t="shared" si="6"/>
        <v>-3</v>
      </c>
      <c r="I40" s="53">
        <f t="shared" si="7"/>
        <v>-17489.511000000002</v>
      </c>
      <c r="J40" s="31" t="str">
        <f t="shared" si="8"/>
        <v>Penurunan IU</v>
      </c>
      <c r="K40" s="42" t="s">
        <v>1230</v>
      </c>
      <c r="O40" s="3">
        <v>9</v>
      </c>
      <c r="P40" t="s">
        <v>147</v>
      </c>
      <c r="Q40" t="s">
        <v>148</v>
      </c>
      <c r="R40" t="s">
        <v>123</v>
      </c>
      <c r="S40">
        <v>1.78</v>
      </c>
      <c r="T40" t="s">
        <v>5</v>
      </c>
      <c r="U40">
        <v>15047.8979</v>
      </c>
      <c r="V40" s="4">
        <v>26785.258261999999</v>
      </c>
      <c r="X40" s="3" t="s">
        <v>88</v>
      </c>
      <c r="Y40" t="s">
        <v>89</v>
      </c>
      <c r="Z40" t="s">
        <v>67</v>
      </c>
      <c r="AA40" s="10">
        <v>1</v>
      </c>
      <c r="AB40" t="s">
        <v>5</v>
      </c>
      <c r="AC40" s="10">
        <v>1781.4286</v>
      </c>
      <c r="AD40" s="4">
        <v>1781.4286</v>
      </c>
      <c r="AF40" s="20">
        <v>1</v>
      </c>
      <c r="AG40" s="18" t="s">
        <v>2</v>
      </c>
      <c r="AH40" s="18" t="s">
        <v>3</v>
      </c>
      <c r="AI40" s="18" t="s">
        <v>4</v>
      </c>
      <c r="AJ40" s="21">
        <v>4</v>
      </c>
      <c r="AK40" s="18" t="s">
        <v>5</v>
      </c>
      <c r="AL40" s="21">
        <v>24080.497599999999</v>
      </c>
      <c r="AM40" s="19">
        <v>96321.990399999995</v>
      </c>
      <c r="AO40" s="20" t="s">
        <v>130</v>
      </c>
      <c r="AP40" s="18" t="s">
        <v>131</v>
      </c>
      <c r="AQ40" s="18" t="s">
        <v>123</v>
      </c>
      <c r="AR40" s="21">
        <v>37</v>
      </c>
      <c r="AS40" s="18" t="s">
        <v>5</v>
      </c>
      <c r="AT40" s="21">
        <v>6354.0349999999999</v>
      </c>
      <c r="AU40" s="19">
        <v>235099.29500000001</v>
      </c>
      <c r="AW40" s="20" t="s">
        <v>130</v>
      </c>
      <c r="AX40" s="18" t="s">
        <v>131</v>
      </c>
      <c r="AY40" s="18" t="s">
        <v>123</v>
      </c>
      <c r="AZ40" s="21">
        <v>37</v>
      </c>
      <c r="BA40" s="18" t="s">
        <v>5</v>
      </c>
      <c r="BB40" s="21">
        <v>6354.0349999999999</v>
      </c>
      <c r="BC40" s="19">
        <v>235099.29500000001</v>
      </c>
    </row>
    <row r="41" spans="1:55" ht="15" thickBot="1" x14ac:dyDescent="0.4">
      <c r="A41" s="38" t="str">
        <v>NCGK0001</v>
      </c>
      <c r="B41" s="31" t="str">
        <f t="shared" si="0"/>
        <v>PLASTIK PE 2 KG 20 x 35 (Kitchen)</v>
      </c>
      <c r="C41" s="31" t="str">
        <f t="shared" si="1"/>
        <v>NCG</v>
      </c>
      <c r="D41" s="39" t="str">
        <f t="shared" si="2"/>
        <v>pack</v>
      </c>
      <c r="E41" s="53">
        <f t="shared" si="3"/>
        <v>5403.2861999999996</v>
      </c>
      <c r="F41" s="54">
        <f t="shared" si="4"/>
        <v>5</v>
      </c>
      <c r="G41" s="54">
        <f t="shared" si="5"/>
        <v>6</v>
      </c>
      <c r="H41" s="48">
        <f t="shared" si="6"/>
        <v>1</v>
      </c>
      <c r="I41" s="53">
        <f t="shared" si="7"/>
        <v>5403.2861999999996</v>
      </c>
      <c r="J41" s="31" t="str">
        <f t="shared" si="8"/>
        <v>Kenaikan IU</v>
      </c>
      <c r="K41" s="42" t="s">
        <v>1231</v>
      </c>
      <c r="O41" s="11" t="s">
        <v>223</v>
      </c>
      <c r="P41" s="12" t="s">
        <v>223</v>
      </c>
      <c r="Q41" s="12" t="s">
        <v>223</v>
      </c>
      <c r="R41" s="12" t="s">
        <v>223</v>
      </c>
      <c r="S41" s="12" t="s">
        <v>223</v>
      </c>
      <c r="T41" s="12" t="s">
        <v>223</v>
      </c>
      <c r="U41" s="12" t="s">
        <v>224</v>
      </c>
      <c r="V41" s="13">
        <v>1995193.720222</v>
      </c>
      <c r="X41" s="3" t="s">
        <v>327</v>
      </c>
      <c r="Y41" t="s">
        <v>328</v>
      </c>
      <c r="Z41" t="s">
        <v>67</v>
      </c>
      <c r="AA41" s="10">
        <v>4</v>
      </c>
      <c r="AB41" t="s">
        <v>5</v>
      </c>
      <c r="AC41" s="10">
        <v>6250</v>
      </c>
      <c r="AD41" s="4">
        <v>25000</v>
      </c>
      <c r="AF41" s="20">
        <v>2</v>
      </c>
      <c r="AG41" s="18" t="s">
        <v>217</v>
      </c>
      <c r="AH41" s="18" t="s">
        <v>218</v>
      </c>
      <c r="AI41" s="18" t="s">
        <v>4</v>
      </c>
      <c r="AJ41" s="21">
        <v>0.23</v>
      </c>
      <c r="AK41" s="18" t="s">
        <v>9</v>
      </c>
      <c r="AL41" s="21">
        <v>55265.74010000001</v>
      </c>
      <c r="AM41" s="19">
        <v>12711.120223</v>
      </c>
      <c r="AO41" s="20" t="s">
        <v>132</v>
      </c>
      <c r="AP41" s="18" t="s">
        <v>133</v>
      </c>
      <c r="AQ41" s="18" t="s">
        <v>123</v>
      </c>
      <c r="AR41" s="21">
        <v>24</v>
      </c>
      <c r="AS41" s="18" t="s">
        <v>134</v>
      </c>
      <c r="AT41" s="21">
        <v>12999.515500000001</v>
      </c>
      <c r="AU41" s="19">
        <v>311988.37199999997</v>
      </c>
      <c r="AW41" s="20" t="s">
        <v>132</v>
      </c>
      <c r="AX41" s="18" t="s">
        <v>133</v>
      </c>
      <c r="AY41" s="18" t="s">
        <v>123</v>
      </c>
      <c r="AZ41" s="21">
        <v>24</v>
      </c>
      <c r="BA41" s="18" t="s">
        <v>134</v>
      </c>
      <c r="BB41" s="21">
        <v>12999.515500000001</v>
      </c>
      <c r="BC41" s="19">
        <v>311988.37199999997</v>
      </c>
    </row>
    <row r="42" spans="1:55" ht="15.5" thickTop="1" thickBot="1" x14ac:dyDescent="0.4">
      <c r="A42" s="38" t="str">
        <v>NCGK0003</v>
      </c>
      <c r="B42" s="31" t="str">
        <f t="shared" si="0"/>
        <v>PLASTIK PE 1 KG 15 x 30</v>
      </c>
      <c r="C42" s="31" t="str">
        <f t="shared" si="1"/>
        <v>NCG</v>
      </c>
      <c r="D42" s="39" t="str">
        <f t="shared" si="2"/>
        <v>pack</v>
      </c>
      <c r="E42" s="53">
        <f t="shared" si="3"/>
        <v>6855.9902000000002</v>
      </c>
      <c r="F42" s="54">
        <f t="shared" si="4"/>
        <v>34.700000000000003</v>
      </c>
      <c r="G42" s="54">
        <f t="shared" si="5"/>
        <v>18</v>
      </c>
      <c r="H42" s="48">
        <f t="shared" si="6"/>
        <v>-16.700000000000003</v>
      </c>
      <c r="I42" s="53">
        <f t="shared" si="7"/>
        <v>-114495.03634000002</v>
      </c>
      <c r="J42" s="31" t="str">
        <f t="shared" si="8"/>
        <v>Penurunan IU</v>
      </c>
      <c r="K42" s="42" t="s">
        <v>1231</v>
      </c>
      <c r="X42" s="3" t="s">
        <v>90</v>
      </c>
      <c r="Y42" t="s">
        <v>91</v>
      </c>
      <c r="Z42" t="s">
        <v>67</v>
      </c>
      <c r="AA42" s="10">
        <v>7</v>
      </c>
      <c r="AB42" t="s">
        <v>5</v>
      </c>
      <c r="AC42" s="10">
        <v>6250</v>
      </c>
      <c r="AD42" s="4">
        <v>43750</v>
      </c>
      <c r="AF42" s="20">
        <v>3</v>
      </c>
      <c r="AG42" s="18" t="s">
        <v>13</v>
      </c>
      <c r="AH42" s="18" t="s">
        <v>14</v>
      </c>
      <c r="AI42" s="18" t="s">
        <v>4</v>
      </c>
      <c r="AJ42" s="21">
        <v>0.42</v>
      </c>
      <c r="AK42" s="18" t="s">
        <v>15</v>
      </c>
      <c r="AL42" s="21">
        <v>78266.618000000002</v>
      </c>
      <c r="AM42" s="19">
        <v>32871.97956</v>
      </c>
      <c r="AO42" s="20" t="s">
        <v>135</v>
      </c>
      <c r="AP42" s="18" t="s">
        <v>136</v>
      </c>
      <c r="AQ42" s="18" t="s">
        <v>123</v>
      </c>
      <c r="AR42" s="21">
        <v>18</v>
      </c>
      <c r="AS42" s="18" t="s">
        <v>5</v>
      </c>
      <c r="AT42" s="21">
        <v>5723.5763999999999</v>
      </c>
      <c r="AU42" s="19">
        <v>103024.37519999999</v>
      </c>
      <c r="AW42" s="20" t="s">
        <v>135</v>
      </c>
      <c r="AX42" s="18" t="s">
        <v>136</v>
      </c>
      <c r="AY42" s="18" t="s">
        <v>123</v>
      </c>
      <c r="AZ42" s="21">
        <v>18</v>
      </c>
      <c r="BA42" s="18" t="s">
        <v>5</v>
      </c>
      <c r="BB42" s="21">
        <v>5723.5763999999999</v>
      </c>
      <c r="BC42" s="19">
        <v>103024.37519999999</v>
      </c>
    </row>
    <row r="43" spans="1:55" ht="15" thickTop="1" x14ac:dyDescent="0.35">
      <c r="A43" s="38" t="str">
        <v>NCGK0005</v>
      </c>
      <c r="B43" s="31" t="str">
        <f t="shared" si="0"/>
        <v>CLING WRAP 45 x 50 @ 6 ROLL</v>
      </c>
      <c r="C43" s="31" t="str">
        <f t="shared" si="1"/>
        <v>NCG</v>
      </c>
      <c r="D43" s="39" t="str">
        <f t="shared" si="2"/>
        <v>roll</v>
      </c>
      <c r="E43" s="53">
        <f t="shared" si="3"/>
        <v>142073.9621</v>
      </c>
      <c r="F43" s="54">
        <f t="shared" si="4"/>
        <v>4</v>
      </c>
      <c r="G43" s="54">
        <f t="shared" si="5"/>
        <v>3</v>
      </c>
      <c r="H43" s="48">
        <f t="shared" si="6"/>
        <v>-1</v>
      </c>
      <c r="I43" s="53">
        <f t="shared" si="7"/>
        <v>-142073.9621</v>
      </c>
      <c r="J43" s="31" t="str">
        <f t="shared" si="8"/>
        <v>Penurunan IU</v>
      </c>
      <c r="K43" s="42" t="s">
        <v>1231</v>
      </c>
      <c r="O43" s="88" t="s">
        <v>0</v>
      </c>
      <c r="P43" s="89"/>
      <c r="Q43" s="89"/>
      <c r="R43" s="89"/>
      <c r="S43" s="89"/>
      <c r="T43" s="1"/>
      <c r="U43" s="1"/>
      <c r="V43" s="2"/>
      <c r="X43" s="3" t="s">
        <v>92</v>
      </c>
      <c r="Y43" t="s">
        <v>93</v>
      </c>
      <c r="Z43" t="s">
        <v>67</v>
      </c>
      <c r="AA43" s="10">
        <v>50</v>
      </c>
      <c r="AB43" t="s">
        <v>94</v>
      </c>
      <c r="AC43" s="10">
        <v>11800</v>
      </c>
      <c r="AD43" s="4">
        <v>590000</v>
      </c>
      <c r="AF43" s="20">
        <v>4</v>
      </c>
      <c r="AG43" s="18" t="s">
        <v>219</v>
      </c>
      <c r="AH43" s="18" t="s">
        <v>220</v>
      </c>
      <c r="AI43" s="18" t="s">
        <v>4</v>
      </c>
      <c r="AJ43" s="21">
        <v>1.64</v>
      </c>
      <c r="AK43" s="18" t="s">
        <v>25</v>
      </c>
      <c r="AL43" s="21">
        <v>47805.109900000003</v>
      </c>
      <c r="AM43" s="19">
        <v>78400.380235999997</v>
      </c>
      <c r="AO43" s="20" t="s">
        <v>137</v>
      </c>
      <c r="AP43" s="18" t="s">
        <v>138</v>
      </c>
      <c r="AQ43" s="18" t="s">
        <v>123</v>
      </c>
      <c r="AR43" s="21">
        <v>25</v>
      </c>
      <c r="AS43" s="18" t="s">
        <v>5</v>
      </c>
      <c r="AT43" s="21">
        <v>16085.6471</v>
      </c>
      <c r="AU43" s="19">
        <v>402141.17749999999</v>
      </c>
      <c r="AW43" s="20" t="s">
        <v>137</v>
      </c>
      <c r="AX43" s="18" t="s">
        <v>138</v>
      </c>
      <c r="AY43" s="18" t="s">
        <v>123</v>
      </c>
      <c r="AZ43" s="21">
        <v>25</v>
      </c>
      <c r="BA43" s="18" t="s">
        <v>5</v>
      </c>
      <c r="BB43" s="21">
        <v>16085.6471</v>
      </c>
      <c r="BC43" s="19">
        <v>402141.17749999999</v>
      </c>
    </row>
    <row r="44" spans="1:55" x14ac:dyDescent="0.35">
      <c r="A44" s="38" t="str">
        <v>NCGK0006</v>
      </c>
      <c r="B44" s="31" t="str">
        <f t="shared" si="0"/>
        <v>TISSUE SEE-U HANDTOWELS @ 20 PACK</v>
      </c>
      <c r="C44" s="31" t="str">
        <f t="shared" si="1"/>
        <v>NCG</v>
      </c>
      <c r="D44" s="39" t="str">
        <f t="shared" si="2"/>
        <v>pack</v>
      </c>
      <c r="E44" s="53">
        <f t="shared" si="3"/>
        <v>6354.0349999999999</v>
      </c>
      <c r="F44" s="54">
        <f t="shared" si="4"/>
        <v>49</v>
      </c>
      <c r="G44" s="54">
        <f t="shared" si="5"/>
        <v>37</v>
      </c>
      <c r="H44" s="48">
        <f t="shared" si="6"/>
        <v>-12</v>
      </c>
      <c r="I44" s="53">
        <f t="shared" si="7"/>
        <v>-76248.42</v>
      </c>
      <c r="J44" s="31" t="str">
        <f t="shared" si="8"/>
        <v>Penurunan IU</v>
      </c>
      <c r="K44" s="42" t="s">
        <v>1232</v>
      </c>
      <c r="O44" s="86" t="s">
        <v>1</v>
      </c>
      <c r="P44" s="87"/>
      <c r="Q44" s="87"/>
      <c r="R44" s="87"/>
      <c r="S44" s="87"/>
      <c r="V44" s="4"/>
      <c r="X44" s="3" t="s">
        <v>518</v>
      </c>
      <c r="Y44" t="s">
        <v>519</v>
      </c>
      <c r="Z44" t="s">
        <v>67</v>
      </c>
      <c r="AA44" s="10">
        <v>3</v>
      </c>
      <c r="AB44" t="s">
        <v>98</v>
      </c>
      <c r="AC44" s="10">
        <v>18000</v>
      </c>
      <c r="AD44" s="4">
        <v>54000</v>
      </c>
      <c r="AF44" s="20">
        <v>5</v>
      </c>
      <c r="AG44" s="18" t="s">
        <v>221</v>
      </c>
      <c r="AH44" s="18" t="s">
        <v>222</v>
      </c>
      <c r="AI44" s="18" t="s">
        <v>4</v>
      </c>
      <c r="AJ44" s="21">
        <v>0.52</v>
      </c>
      <c r="AK44" s="18" t="s">
        <v>25</v>
      </c>
      <c r="AL44" s="21">
        <v>84815.170100000003</v>
      </c>
      <c r="AM44" s="19">
        <v>44103.888451999999</v>
      </c>
      <c r="AO44" s="20" t="s">
        <v>139</v>
      </c>
      <c r="AP44" s="18" t="s">
        <v>140</v>
      </c>
      <c r="AQ44" s="18" t="s">
        <v>123</v>
      </c>
      <c r="AR44" s="21">
        <v>4</v>
      </c>
      <c r="AS44" s="18" t="s">
        <v>5</v>
      </c>
      <c r="AT44" s="21">
        <v>42963.8554</v>
      </c>
      <c r="AU44" s="19">
        <v>171855.4216</v>
      </c>
      <c r="AW44" s="20" t="s">
        <v>139</v>
      </c>
      <c r="AX44" s="18" t="s">
        <v>140</v>
      </c>
      <c r="AY44" s="18" t="s">
        <v>123</v>
      </c>
      <c r="AZ44" s="21">
        <v>4</v>
      </c>
      <c r="BA44" s="18" t="s">
        <v>5</v>
      </c>
      <c r="BB44" s="21">
        <v>42963.8554</v>
      </c>
      <c r="BC44" s="19">
        <v>171855.4216</v>
      </c>
    </row>
    <row r="45" spans="1:55" x14ac:dyDescent="0.35">
      <c r="A45" s="38" t="str">
        <v>NCGK0007</v>
      </c>
      <c r="B45" s="31" t="str">
        <f t="shared" si="0"/>
        <v>GAS BUTANE PORTABLE PURITY 230G @24 CAN</v>
      </c>
      <c r="C45" s="31" t="str">
        <f t="shared" si="1"/>
        <v>NCG</v>
      </c>
      <c r="D45" s="39" t="str">
        <f t="shared" si="2"/>
        <v>can</v>
      </c>
      <c r="E45" s="53">
        <f t="shared" si="3"/>
        <v>12999.515500000001</v>
      </c>
      <c r="F45" s="54">
        <f t="shared" si="4"/>
        <v>26</v>
      </c>
      <c r="G45" s="54">
        <f t="shared" si="5"/>
        <v>24</v>
      </c>
      <c r="H45" s="48">
        <f t="shared" si="6"/>
        <v>-2</v>
      </c>
      <c r="I45" s="53">
        <f t="shared" si="7"/>
        <v>-25999.031000000003</v>
      </c>
      <c r="J45" s="31" t="str">
        <f t="shared" si="8"/>
        <v>Penurunan IU</v>
      </c>
      <c r="K45" s="42" t="s">
        <v>1233</v>
      </c>
      <c r="O45" s="3"/>
      <c r="V45" s="4"/>
      <c r="X45" s="3" t="s">
        <v>100</v>
      </c>
      <c r="Y45" t="s">
        <v>101</v>
      </c>
      <c r="Z45" t="s">
        <v>67</v>
      </c>
      <c r="AA45" s="10">
        <v>1</v>
      </c>
      <c r="AB45" t="s">
        <v>87</v>
      </c>
      <c r="AC45" s="10">
        <v>8183.3333000000011</v>
      </c>
      <c r="AD45" s="4">
        <v>8183.3333000000002</v>
      </c>
      <c r="AF45" s="20">
        <v>6</v>
      </c>
      <c r="AG45" s="18" t="s">
        <v>23</v>
      </c>
      <c r="AH45" s="18" t="s">
        <v>24</v>
      </c>
      <c r="AI45" s="18" t="s">
        <v>4</v>
      </c>
      <c r="AJ45" s="21">
        <v>0.66</v>
      </c>
      <c r="AK45" s="18" t="s">
        <v>25</v>
      </c>
      <c r="AL45" s="21">
        <v>17965.7497</v>
      </c>
      <c r="AM45" s="19">
        <v>11857.394802000001</v>
      </c>
      <c r="AO45" s="20" t="s">
        <v>141</v>
      </c>
      <c r="AP45" s="18" t="s">
        <v>142</v>
      </c>
      <c r="AQ45" s="18" t="s">
        <v>123</v>
      </c>
      <c r="AR45" s="21">
        <v>5</v>
      </c>
      <c r="AS45" s="18" t="s">
        <v>5</v>
      </c>
      <c r="AT45" s="21">
        <v>40791.065900000001</v>
      </c>
      <c r="AU45" s="19">
        <v>203955.32949999999</v>
      </c>
      <c r="AW45" s="20" t="s">
        <v>141</v>
      </c>
      <c r="AX45" s="18" t="s">
        <v>142</v>
      </c>
      <c r="AY45" s="18" t="s">
        <v>123</v>
      </c>
      <c r="AZ45" s="21">
        <v>5</v>
      </c>
      <c r="BA45" s="18" t="s">
        <v>5</v>
      </c>
      <c r="BB45" s="21">
        <v>40791.065900000001</v>
      </c>
      <c r="BC45" s="19">
        <v>203955.32949999999</v>
      </c>
    </row>
    <row r="46" spans="1:55" x14ac:dyDescent="0.35">
      <c r="A46" s="38" t="str">
        <v>NCGK0008</v>
      </c>
      <c r="B46" s="31" t="str">
        <f t="shared" si="0"/>
        <v>PLASTIK PE 1/4 KG 10x20</v>
      </c>
      <c r="C46" s="31" t="str">
        <f t="shared" si="1"/>
        <v>NCG</v>
      </c>
      <c r="D46" s="39" t="str">
        <f t="shared" si="2"/>
        <v>pack</v>
      </c>
      <c r="E46" s="53">
        <f t="shared" si="3"/>
        <v>5723.5763999999999</v>
      </c>
      <c r="F46" s="54">
        <f t="shared" si="4"/>
        <v>23.8</v>
      </c>
      <c r="G46" s="54">
        <f t="shared" si="5"/>
        <v>18</v>
      </c>
      <c r="H46" s="48">
        <f t="shared" si="6"/>
        <v>-5.8000000000000007</v>
      </c>
      <c r="I46" s="53">
        <f t="shared" si="7"/>
        <v>-33196.743120000006</v>
      </c>
      <c r="J46" s="31" t="str">
        <f t="shared" si="8"/>
        <v>Penurunan IU</v>
      </c>
      <c r="K46" s="42" t="s">
        <v>1231</v>
      </c>
      <c r="O46" s="86" t="s">
        <v>10</v>
      </c>
      <c r="P46" s="87" t="s">
        <v>11</v>
      </c>
      <c r="Q46" t="s">
        <v>585</v>
      </c>
      <c r="V46" s="4"/>
      <c r="X46" s="3" t="s">
        <v>256</v>
      </c>
      <c r="Y46" t="s">
        <v>257</v>
      </c>
      <c r="Z46" t="s">
        <v>67</v>
      </c>
      <c r="AA46" s="10">
        <v>6</v>
      </c>
      <c r="AB46" t="s">
        <v>20</v>
      </c>
      <c r="AC46" s="10">
        <v>3485.0962</v>
      </c>
      <c r="AD46" s="4">
        <v>20910.5772</v>
      </c>
      <c r="AF46" s="20">
        <v>7</v>
      </c>
      <c r="AG46" s="18" t="s">
        <v>28</v>
      </c>
      <c r="AH46" s="18" t="s">
        <v>29</v>
      </c>
      <c r="AI46" s="18" t="s">
        <v>4</v>
      </c>
      <c r="AJ46" s="21">
        <v>14.48</v>
      </c>
      <c r="AK46" s="18" t="s">
        <v>30</v>
      </c>
      <c r="AL46" s="21">
        <v>19757.159199999998</v>
      </c>
      <c r="AM46" s="19">
        <v>286083.66521599999</v>
      </c>
      <c r="AO46" s="20" t="s">
        <v>145</v>
      </c>
      <c r="AP46" s="18" t="s">
        <v>146</v>
      </c>
      <c r="AQ46" s="18" t="s">
        <v>123</v>
      </c>
      <c r="AR46" s="21">
        <v>61</v>
      </c>
      <c r="AS46" s="18" t="s">
        <v>5</v>
      </c>
      <c r="AT46" s="21">
        <v>4604.1441000000004</v>
      </c>
      <c r="AU46" s="19">
        <v>280852.79009999998</v>
      </c>
      <c r="AW46" s="20" t="s">
        <v>145</v>
      </c>
      <c r="AX46" s="18" t="s">
        <v>146</v>
      </c>
      <c r="AY46" s="18" t="s">
        <v>123</v>
      </c>
      <c r="AZ46" s="21">
        <v>61</v>
      </c>
      <c r="BA46" s="18" t="s">
        <v>5</v>
      </c>
      <c r="BB46" s="21">
        <v>4604.1441000000004</v>
      </c>
      <c r="BC46" s="19">
        <v>280852.79009999998</v>
      </c>
    </row>
    <row r="47" spans="1:55" x14ac:dyDescent="0.35">
      <c r="A47" s="38" t="str">
        <v>NCGK0009</v>
      </c>
      <c r="B47" s="31" t="str">
        <f t="shared" si="0"/>
        <v>PLASTIK PE 10 KG 40 x 60</v>
      </c>
      <c r="C47" s="31" t="str">
        <f t="shared" si="1"/>
        <v>NCG</v>
      </c>
      <c r="D47" s="39" t="str">
        <f t="shared" si="2"/>
        <v>pack</v>
      </c>
      <c r="E47" s="53">
        <f t="shared" si="3"/>
        <v>16085.6471</v>
      </c>
      <c r="F47" s="54">
        <f t="shared" si="4"/>
        <v>31.8</v>
      </c>
      <c r="G47" s="54">
        <f t="shared" si="5"/>
        <v>25</v>
      </c>
      <c r="H47" s="48">
        <f t="shared" si="6"/>
        <v>-6.8000000000000007</v>
      </c>
      <c r="I47" s="53">
        <f t="shared" si="7"/>
        <v>-109382.40028000002</v>
      </c>
      <c r="J47" s="31" t="str">
        <f t="shared" si="8"/>
        <v>Penurunan IU</v>
      </c>
      <c r="K47" s="42" t="s">
        <v>1231</v>
      </c>
      <c r="O47" s="86" t="s">
        <v>16</v>
      </c>
      <c r="P47" s="87" t="s">
        <v>11</v>
      </c>
      <c r="Q47" t="s">
        <v>17</v>
      </c>
      <c r="V47" s="4"/>
      <c r="X47" s="3" t="s">
        <v>107</v>
      </c>
      <c r="Y47" t="s">
        <v>108</v>
      </c>
      <c r="Z47" t="s">
        <v>67</v>
      </c>
      <c r="AA47" s="10">
        <v>3</v>
      </c>
      <c r="AB47" t="s">
        <v>5</v>
      </c>
      <c r="AC47" s="10">
        <v>16246.4782</v>
      </c>
      <c r="AD47" s="4">
        <v>48739.434600000001</v>
      </c>
      <c r="AF47" s="20">
        <v>8</v>
      </c>
      <c r="AG47" s="18" t="s">
        <v>33</v>
      </c>
      <c r="AH47" s="18" t="s">
        <v>34</v>
      </c>
      <c r="AI47" s="18" t="s">
        <v>4</v>
      </c>
      <c r="AJ47" s="21">
        <v>10.36</v>
      </c>
      <c r="AK47" s="18" t="s">
        <v>30</v>
      </c>
      <c r="AL47" s="21">
        <v>13000</v>
      </c>
      <c r="AM47" s="19">
        <v>134680</v>
      </c>
      <c r="AO47" s="20" t="s">
        <v>147</v>
      </c>
      <c r="AP47" s="18" t="s">
        <v>148</v>
      </c>
      <c r="AQ47" s="18" t="s">
        <v>123</v>
      </c>
      <c r="AR47" s="21">
        <v>0.82</v>
      </c>
      <c r="AS47" s="18" t="s">
        <v>5</v>
      </c>
      <c r="AT47" s="21">
        <v>15004.7466</v>
      </c>
      <c r="AU47" s="19">
        <v>12303.892212000001</v>
      </c>
      <c r="AW47" s="20" t="s">
        <v>147</v>
      </c>
      <c r="AX47" s="18" t="s">
        <v>148</v>
      </c>
      <c r="AY47" s="18" t="s">
        <v>123</v>
      </c>
      <c r="AZ47" s="21">
        <v>0.82</v>
      </c>
      <c r="BA47" s="18" t="s">
        <v>5</v>
      </c>
      <c r="BB47" s="21">
        <v>15004.7466</v>
      </c>
      <c r="BC47" s="19">
        <v>12303.892212000001</v>
      </c>
    </row>
    <row r="48" spans="1:55" x14ac:dyDescent="0.35">
      <c r="A48" s="38" t="str">
        <v>NCGK0011</v>
      </c>
      <c r="B48" s="31" t="str">
        <f t="shared" si="0"/>
        <v>HAND GLOVES NITRILE SIZE M</v>
      </c>
      <c r="C48" s="31" t="str">
        <f t="shared" si="1"/>
        <v>NCG</v>
      </c>
      <c r="D48" s="39" t="str">
        <f t="shared" si="2"/>
        <v>pack</v>
      </c>
      <c r="E48" s="53">
        <f t="shared" si="3"/>
        <v>42963.8554</v>
      </c>
      <c r="F48" s="54">
        <f t="shared" si="4"/>
        <v>11</v>
      </c>
      <c r="G48" s="54">
        <f t="shared" si="5"/>
        <v>4</v>
      </c>
      <c r="H48" s="48">
        <f t="shared" si="6"/>
        <v>-7</v>
      </c>
      <c r="I48" s="53">
        <f t="shared" si="7"/>
        <v>-300746.9878</v>
      </c>
      <c r="J48" s="31" t="str">
        <f t="shared" si="8"/>
        <v>Penurunan IU</v>
      </c>
      <c r="K48" s="42" t="s">
        <v>1234</v>
      </c>
      <c r="O48" s="86" t="s">
        <v>21</v>
      </c>
      <c r="P48" s="87" t="s">
        <v>11</v>
      </c>
      <c r="Q48" t="s">
        <v>573</v>
      </c>
      <c r="V48" s="4"/>
      <c r="X48" s="3" t="s">
        <v>258</v>
      </c>
      <c r="Y48" t="s">
        <v>259</v>
      </c>
      <c r="Z48" t="s">
        <v>67</v>
      </c>
      <c r="AA48" s="10">
        <v>0.5</v>
      </c>
      <c r="AB48" t="s">
        <v>5</v>
      </c>
      <c r="AC48" s="10">
        <v>24500</v>
      </c>
      <c r="AD48" s="4">
        <v>12250</v>
      </c>
      <c r="AF48" s="20">
        <v>9</v>
      </c>
      <c r="AG48" s="18" t="s">
        <v>304</v>
      </c>
      <c r="AH48" s="18" t="s">
        <v>305</v>
      </c>
      <c r="AI48" s="18" t="s">
        <v>41</v>
      </c>
      <c r="AJ48" s="21">
        <v>1</v>
      </c>
      <c r="AK48" s="18" t="s">
        <v>20</v>
      </c>
      <c r="AL48" s="21">
        <v>7216.670000000001</v>
      </c>
      <c r="AM48" s="19">
        <v>7216.67</v>
      </c>
      <c r="AO48" s="20" t="s">
        <v>265</v>
      </c>
      <c r="AP48" s="18" t="s">
        <v>266</v>
      </c>
      <c r="AQ48" s="18" t="s">
        <v>151</v>
      </c>
      <c r="AR48" s="21">
        <v>2</v>
      </c>
      <c r="AS48" s="18" t="s">
        <v>267</v>
      </c>
      <c r="AT48" s="21">
        <v>34511.794399999999</v>
      </c>
      <c r="AU48" s="19">
        <v>69023.588799999998</v>
      </c>
      <c r="AW48" s="20" t="s">
        <v>265</v>
      </c>
      <c r="AX48" s="18" t="s">
        <v>266</v>
      </c>
      <c r="AY48" s="18" t="s">
        <v>151</v>
      </c>
      <c r="AZ48" s="21">
        <v>2</v>
      </c>
      <c r="BA48" s="18" t="s">
        <v>267</v>
      </c>
      <c r="BB48" s="21">
        <v>34511.794399999999</v>
      </c>
      <c r="BC48" s="19">
        <v>69023.588799999998</v>
      </c>
    </row>
    <row r="49" spans="1:55" x14ac:dyDescent="0.35">
      <c r="A49" s="38" t="str">
        <v>NCGK0012</v>
      </c>
      <c r="B49" s="31" t="str">
        <f t="shared" si="0"/>
        <v>HAND GLOVES NITRILE SIZE L</v>
      </c>
      <c r="C49" s="31" t="str">
        <f t="shared" si="1"/>
        <v>NCG</v>
      </c>
      <c r="D49" s="39" t="str">
        <f t="shared" si="2"/>
        <v>pack</v>
      </c>
      <c r="E49" s="53">
        <f t="shared" si="3"/>
        <v>40791.065900000001</v>
      </c>
      <c r="F49" s="54">
        <f t="shared" si="4"/>
        <v>2</v>
      </c>
      <c r="G49" s="54">
        <f t="shared" si="5"/>
        <v>5</v>
      </c>
      <c r="H49" s="48">
        <f t="shared" si="6"/>
        <v>3</v>
      </c>
      <c r="I49" s="53">
        <f t="shared" si="7"/>
        <v>122373.1977</v>
      </c>
      <c r="J49" s="31" t="str">
        <f t="shared" si="8"/>
        <v>Kenaikan IU</v>
      </c>
      <c r="K49" s="42" t="s">
        <v>1234</v>
      </c>
      <c r="O49" s="86" t="s">
        <v>26</v>
      </c>
      <c r="P49" s="87" t="s">
        <v>11</v>
      </c>
      <c r="Q49" t="s">
        <v>586</v>
      </c>
      <c r="V49" s="4"/>
      <c r="X49" s="3" t="s">
        <v>587</v>
      </c>
      <c r="Y49" t="s">
        <v>588</v>
      </c>
      <c r="Z49" t="s">
        <v>67</v>
      </c>
      <c r="AA49" s="10">
        <v>1</v>
      </c>
      <c r="AB49" t="s">
        <v>5</v>
      </c>
      <c r="AC49" s="10">
        <v>6250</v>
      </c>
      <c r="AD49" s="4">
        <v>6250</v>
      </c>
      <c r="AF49" s="20">
        <v>10</v>
      </c>
      <c r="AG49" s="18" t="s">
        <v>50</v>
      </c>
      <c r="AH49" s="18" t="s">
        <v>51</v>
      </c>
      <c r="AI49" s="18" t="s">
        <v>41</v>
      </c>
      <c r="AJ49" s="21">
        <v>20</v>
      </c>
      <c r="AK49" s="18" t="s">
        <v>52</v>
      </c>
      <c r="AL49" s="21">
        <v>20499.997299999999</v>
      </c>
      <c r="AM49" s="19">
        <v>409999.946</v>
      </c>
      <c r="AO49" s="20" t="s">
        <v>154</v>
      </c>
      <c r="AP49" s="18" t="s">
        <v>155</v>
      </c>
      <c r="AQ49" s="18" t="s">
        <v>151</v>
      </c>
      <c r="AR49" s="21">
        <v>41</v>
      </c>
      <c r="AS49" s="18" t="s">
        <v>20</v>
      </c>
      <c r="AT49" s="21">
        <v>985.61270000000002</v>
      </c>
      <c r="AU49" s="19">
        <v>40410.120699999999</v>
      </c>
      <c r="AW49" s="20" t="s">
        <v>154</v>
      </c>
      <c r="AX49" s="18" t="s">
        <v>155</v>
      </c>
      <c r="AY49" s="18" t="s">
        <v>151</v>
      </c>
      <c r="AZ49" s="21">
        <v>41</v>
      </c>
      <c r="BA49" s="18" t="s">
        <v>20</v>
      </c>
      <c r="BB49" s="21">
        <v>985.61270000000002</v>
      </c>
      <c r="BC49" s="19">
        <v>40410.120699999999</v>
      </c>
    </row>
    <row r="50" spans="1:55" x14ac:dyDescent="0.35">
      <c r="A50" s="38" t="str">
        <v>NCGS0001</v>
      </c>
      <c r="B50" s="31" t="str">
        <f t="shared" si="0"/>
        <v>TISSUE COCKTAIL NAPKIN 11x11 (48 PACK)</v>
      </c>
      <c r="C50" s="31" t="str">
        <f t="shared" si="1"/>
        <v>NCG</v>
      </c>
      <c r="D50" s="39" t="str">
        <f t="shared" si="2"/>
        <v>pack</v>
      </c>
      <c r="E50" s="53">
        <f t="shared" si="3"/>
        <v>4604.1441000000004</v>
      </c>
      <c r="F50" s="54">
        <f t="shared" si="4"/>
        <v>56</v>
      </c>
      <c r="G50" s="54">
        <f t="shared" si="5"/>
        <v>61</v>
      </c>
      <c r="H50" s="48">
        <f t="shared" si="6"/>
        <v>5</v>
      </c>
      <c r="I50" s="53">
        <f t="shared" si="7"/>
        <v>23020.720500000003</v>
      </c>
      <c r="J50" s="31" t="str">
        <f t="shared" si="8"/>
        <v>Kenaikan IU</v>
      </c>
      <c r="K50" s="42" t="s">
        <v>1235</v>
      </c>
      <c r="O50" s="86" t="s">
        <v>31</v>
      </c>
      <c r="P50" s="87" t="s">
        <v>11</v>
      </c>
      <c r="Q50" t="s">
        <v>186</v>
      </c>
      <c r="V50" s="4"/>
      <c r="X50" s="3" t="s">
        <v>401</v>
      </c>
      <c r="Y50" t="s">
        <v>402</v>
      </c>
      <c r="Z50" t="s">
        <v>67</v>
      </c>
      <c r="AA50" s="10">
        <v>7.5</v>
      </c>
      <c r="AB50" t="s">
        <v>20</v>
      </c>
      <c r="AC50" s="10">
        <v>3578.68</v>
      </c>
      <c r="AD50" s="4">
        <v>26840.1</v>
      </c>
      <c r="AF50" s="20">
        <v>11</v>
      </c>
      <c r="AG50" s="18" t="s">
        <v>53</v>
      </c>
      <c r="AH50" s="18" t="s">
        <v>54</v>
      </c>
      <c r="AI50" s="18" t="s">
        <v>41</v>
      </c>
      <c r="AJ50" s="21">
        <v>5</v>
      </c>
      <c r="AK50" s="18" t="s">
        <v>20</v>
      </c>
      <c r="AL50" s="21">
        <v>3111.8</v>
      </c>
      <c r="AM50" s="19">
        <v>15559</v>
      </c>
      <c r="AO50" s="20" t="s">
        <v>272</v>
      </c>
      <c r="AP50" s="18" t="s">
        <v>273</v>
      </c>
      <c r="AQ50" s="18" t="s">
        <v>151</v>
      </c>
      <c r="AR50" s="21">
        <v>2</v>
      </c>
      <c r="AS50" s="18" t="s">
        <v>5</v>
      </c>
      <c r="AT50" s="21">
        <v>3760</v>
      </c>
      <c r="AU50" s="19">
        <v>7520</v>
      </c>
      <c r="AW50" s="20" t="s">
        <v>272</v>
      </c>
      <c r="AX50" s="18" t="s">
        <v>273</v>
      </c>
      <c r="AY50" s="18" t="s">
        <v>151</v>
      </c>
      <c r="AZ50" s="21">
        <v>2</v>
      </c>
      <c r="BA50" s="18" t="s">
        <v>5</v>
      </c>
      <c r="BB50" s="21">
        <v>3760</v>
      </c>
      <c r="BC50" s="19">
        <v>7520</v>
      </c>
    </row>
    <row r="51" spans="1:55" x14ac:dyDescent="0.35">
      <c r="A51" s="38" t="str">
        <v>NCGS0002</v>
      </c>
      <c r="B51" s="31" t="str">
        <f t="shared" si="0"/>
        <v>TUSUK GIGI ION @ 500 PCS</v>
      </c>
      <c r="C51" s="31" t="str">
        <f t="shared" si="1"/>
        <v>NCG</v>
      </c>
      <c r="D51" s="39" t="str">
        <f t="shared" si="2"/>
        <v>pack</v>
      </c>
      <c r="E51" s="53">
        <f t="shared" si="3"/>
        <v>15004.7466</v>
      </c>
      <c r="F51" s="54">
        <f t="shared" si="4"/>
        <v>1.78</v>
      </c>
      <c r="G51" s="54">
        <f t="shared" si="5"/>
        <v>0.82</v>
      </c>
      <c r="H51" s="48">
        <f t="shared" si="6"/>
        <v>-0.96000000000000008</v>
      </c>
      <c r="I51" s="53">
        <f t="shared" si="7"/>
        <v>-14404.556736000002</v>
      </c>
      <c r="J51" s="31" t="str">
        <f t="shared" si="8"/>
        <v>Penurunan IU</v>
      </c>
      <c r="K51" s="42" t="s">
        <v>1235</v>
      </c>
      <c r="O51" s="86" t="s">
        <v>35</v>
      </c>
      <c r="P51" s="87" t="s">
        <v>11</v>
      </c>
      <c r="Q51" t="s">
        <v>584</v>
      </c>
      <c r="V51" s="4"/>
      <c r="X51" s="3" t="s">
        <v>589</v>
      </c>
      <c r="Y51" t="s">
        <v>590</v>
      </c>
      <c r="Z51" t="s">
        <v>67</v>
      </c>
      <c r="AA51">
        <v>1</v>
      </c>
      <c r="AB51" t="s">
        <v>20</v>
      </c>
      <c r="AC51">
        <v>53500</v>
      </c>
      <c r="AD51" s="4">
        <v>53500</v>
      </c>
      <c r="AF51" s="20">
        <v>12</v>
      </c>
      <c r="AG51" s="18" t="s">
        <v>453</v>
      </c>
      <c r="AH51" s="18" t="s">
        <v>454</v>
      </c>
      <c r="AI51" s="18" t="s">
        <v>41</v>
      </c>
      <c r="AJ51" s="21">
        <v>1</v>
      </c>
      <c r="AK51" s="18" t="s">
        <v>267</v>
      </c>
      <c r="AL51" s="21">
        <v>20047.73</v>
      </c>
      <c r="AM51" s="19">
        <v>20047.73</v>
      </c>
      <c r="AO51" s="20" t="s">
        <v>423</v>
      </c>
      <c r="AP51" s="18" t="s">
        <v>424</v>
      </c>
      <c r="AQ51" s="18" t="s">
        <v>151</v>
      </c>
      <c r="AR51" s="21">
        <v>1</v>
      </c>
      <c r="AS51" s="18" t="s">
        <v>20</v>
      </c>
      <c r="AT51" s="21">
        <v>5559.5860000000002</v>
      </c>
      <c r="AU51" s="19">
        <v>5559.5860000000002</v>
      </c>
      <c r="AW51" s="20" t="s">
        <v>423</v>
      </c>
      <c r="AX51" s="18" t="s">
        <v>424</v>
      </c>
      <c r="AY51" s="18" t="s">
        <v>151</v>
      </c>
      <c r="AZ51" s="21">
        <v>1</v>
      </c>
      <c r="BA51" s="18" t="s">
        <v>20</v>
      </c>
      <c r="BB51" s="21">
        <v>5559.5860000000002</v>
      </c>
      <c r="BC51" s="19">
        <v>5559.5860000000002</v>
      </c>
    </row>
    <row r="52" spans="1:55" x14ac:dyDescent="0.35">
      <c r="A52" s="38" t="str">
        <v>OTH00023</v>
      </c>
      <c r="B52" s="31" t="str">
        <f t="shared" si="0"/>
        <v>TANK HOLEDER/DUDUKAN TABUNG GAS HI-COOKED</v>
      </c>
      <c r="C52" s="31" t="str">
        <f t="shared" si="1"/>
        <v>OTHERS</v>
      </c>
      <c r="D52" s="39" t="str">
        <f t="shared" si="2"/>
        <v>unit</v>
      </c>
      <c r="E52" s="53">
        <f t="shared" si="3"/>
        <v>34511.794399999999</v>
      </c>
      <c r="F52" s="54">
        <f t="shared" si="4"/>
        <v>6</v>
      </c>
      <c r="G52" s="54">
        <f t="shared" si="5"/>
        <v>2</v>
      </c>
      <c r="H52" s="48">
        <f t="shared" si="6"/>
        <v>-4</v>
      </c>
      <c r="I52" s="53">
        <f t="shared" si="7"/>
        <v>-138047.1776</v>
      </c>
      <c r="J52" s="31" t="str">
        <f t="shared" si="8"/>
        <v>Penurunan IU</v>
      </c>
      <c r="K52" s="42" t="s">
        <v>1236</v>
      </c>
      <c r="O52" s="3"/>
      <c r="V52" s="4"/>
      <c r="X52" s="3" t="s">
        <v>2</v>
      </c>
      <c r="Y52" t="s">
        <v>3</v>
      </c>
      <c r="Z52" t="s">
        <v>4</v>
      </c>
      <c r="AA52" s="10">
        <v>3</v>
      </c>
      <c r="AB52" t="s">
        <v>5</v>
      </c>
      <c r="AC52" s="10">
        <v>24144.895700000001</v>
      </c>
      <c r="AD52" s="4">
        <v>72434.687099999996</v>
      </c>
      <c r="AF52" s="20">
        <v>13</v>
      </c>
      <c r="AG52" s="18" t="s">
        <v>407</v>
      </c>
      <c r="AH52" s="18" t="s">
        <v>408</v>
      </c>
      <c r="AI52" s="18" t="s">
        <v>41</v>
      </c>
      <c r="AJ52" s="21">
        <v>1</v>
      </c>
      <c r="AK52" s="18" t="s">
        <v>267</v>
      </c>
      <c r="AL52" s="21">
        <v>37385.989600000001</v>
      </c>
      <c r="AM52" s="19">
        <v>37385.989600000001</v>
      </c>
      <c r="AO52" s="20" t="s">
        <v>274</v>
      </c>
      <c r="AP52" s="18" t="s">
        <v>275</v>
      </c>
      <c r="AQ52" s="18" t="s">
        <v>151</v>
      </c>
      <c r="AR52" s="21">
        <v>1</v>
      </c>
      <c r="AS52" s="18" t="s">
        <v>160</v>
      </c>
      <c r="AT52" s="21">
        <v>21066.67</v>
      </c>
      <c r="AU52" s="19">
        <v>21066.67</v>
      </c>
      <c r="AW52" s="20" t="s">
        <v>274</v>
      </c>
      <c r="AX52" s="18" t="s">
        <v>275</v>
      </c>
      <c r="AY52" s="18" t="s">
        <v>151</v>
      </c>
      <c r="AZ52" s="21">
        <v>1</v>
      </c>
      <c r="BA52" s="18" t="s">
        <v>160</v>
      </c>
      <c r="BB52" s="21">
        <v>21066.67</v>
      </c>
      <c r="BC52" s="19">
        <v>21066.67</v>
      </c>
    </row>
    <row r="53" spans="1:55" x14ac:dyDescent="0.35">
      <c r="A53" s="38" t="str">
        <v>OTH00064</v>
      </c>
      <c r="B53" s="31" t="str">
        <f t="shared" si="0"/>
        <v>LILIN MEJA / TEALIGHT</v>
      </c>
      <c r="C53" s="31" t="str">
        <f t="shared" si="1"/>
        <v>OTHERS</v>
      </c>
      <c r="D53" s="39" t="str">
        <f t="shared" si="2"/>
        <v>pcs</v>
      </c>
      <c r="E53" s="53">
        <f t="shared" si="3"/>
        <v>985.61270000000002</v>
      </c>
      <c r="F53" s="54">
        <f t="shared" si="4"/>
        <v>90</v>
      </c>
      <c r="G53" s="54">
        <f t="shared" si="5"/>
        <v>41</v>
      </c>
      <c r="H53" s="48">
        <f t="shared" si="6"/>
        <v>-49</v>
      </c>
      <c r="I53" s="53">
        <f t="shared" si="7"/>
        <v>-48295.022300000004</v>
      </c>
      <c r="J53" s="31" t="str">
        <f t="shared" si="8"/>
        <v>Penurunan IU</v>
      </c>
      <c r="K53" s="42" t="s">
        <v>1237</v>
      </c>
      <c r="O53" s="3" t="s">
        <v>42</v>
      </c>
      <c r="P53" t="s">
        <v>43</v>
      </c>
      <c r="Q53" t="s">
        <v>44</v>
      </c>
      <c r="R53" t="s">
        <v>45</v>
      </c>
      <c r="S53" t="s">
        <v>46</v>
      </c>
      <c r="T53" t="s">
        <v>47</v>
      </c>
      <c r="U53" t="s">
        <v>48</v>
      </c>
      <c r="V53" s="4" t="s">
        <v>49</v>
      </c>
      <c r="X53" s="3" t="s">
        <v>7</v>
      </c>
      <c r="Y53" t="s">
        <v>8</v>
      </c>
      <c r="Z53" t="s">
        <v>4</v>
      </c>
      <c r="AA53" s="10">
        <v>1.64</v>
      </c>
      <c r="AB53" t="s">
        <v>9</v>
      </c>
      <c r="AC53" s="10">
        <v>133200</v>
      </c>
      <c r="AD53" s="4">
        <v>218448</v>
      </c>
      <c r="AF53" s="20">
        <v>14</v>
      </c>
      <c r="AG53" s="18" t="s">
        <v>57</v>
      </c>
      <c r="AH53" s="18" t="s">
        <v>58</v>
      </c>
      <c r="AI53" s="18" t="s">
        <v>41</v>
      </c>
      <c r="AJ53" s="21">
        <v>11</v>
      </c>
      <c r="AK53" s="18" t="s">
        <v>5</v>
      </c>
      <c r="AL53" s="21">
        <v>7698.8933999999999</v>
      </c>
      <c r="AM53" s="19">
        <v>84687.827399999995</v>
      </c>
      <c r="AO53" s="20" t="s">
        <v>276</v>
      </c>
      <c r="AP53" s="18" t="s">
        <v>277</v>
      </c>
      <c r="AQ53" s="18" t="s">
        <v>151</v>
      </c>
      <c r="AR53" s="18">
        <v>6</v>
      </c>
      <c r="AS53" s="18" t="s">
        <v>52</v>
      </c>
      <c r="AT53" s="18">
        <v>1756.05</v>
      </c>
      <c r="AU53" s="19">
        <v>10536.3</v>
      </c>
      <c r="AW53" s="20" t="s">
        <v>276</v>
      </c>
      <c r="AX53" s="18" t="s">
        <v>277</v>
      </c>
      <c r="AY53" s="18" t="s">
        <v>151</v>
      </c>
      <c r="AZ53" s="18">
        <v>6</v>
      </c>
      <c r="BA53" s="18" t="s">
        <v>52</v>
      </c>
      <c r="BB53" s="18">
        <v>1756.05</v>
      </c>
      <c r="BC53" s="19">
        <v>10536.3</v>
      </c>
    </row>
    <row r="54" spans="1:55" x14ac:dyDescent="0.35">
      <c r="A54" s="38" t="str">
        <v>OTH00092</v>
      </c>
      <c r="B54" s="31" t="str">
        <f t="shared" si="0"/>
        <v>KABEL TIES 10 CM</v>
      </c>
      <c r="C54" s="31" t="str">
        <f t="shared" si="1"/>
        <v>OTHERS</v>
      </c>
      <c r="D54" s="39" t="str">
        <f t="shared" si="2"/>
        <v>pack</v>
      </c>
      <c r="E54" s="53">
        <f t="shared" si="3"/>
        <v>3760</v>
      </c>
      <c r="F54" s="54">
        <f t="shared" si="4"/>
        <v>1.8</v>
      </c>
      <c r="G54" s="54">
        <f t="shared" si="5"/>
        <v>2</v>
      </c>
      <c r="H54" s="48">
        <f t="shared" si="6"/>
        <v>0.19999999999999996</v>
      </c>
      <c r="I54" s="53">
        <f t="shared" si="7"/>
        <v>751.99999999999989</v>
      </c>
      <c r="J54" s="31" t="str">
        <f t="shared" si="8"/>
        <v>Kenaikan IU</v>
      </c>
      <c r="K54" s="42" t="s">
        <v>1238</v>
      </c>
      <c r="O54" s="3">
        <v>1</v>
      </c>
      <c r="P54" t="s">
        <v>576</v>
      </c>
      <c r="Q54" t="s">
        <v>577</v>
      </c>
      <c r="R54" t="s">
        <v>120</v>
      </c>
      <c r="S54" s="10">
        <v>2</v>
      </c>
      <c r="T54" t="s">
        <v>20</v>
      </c>
      <c r="U54" s="10">
        <v>85000</v>
      </c>
      <c r="V54" s="4">
        <v>170000</v>
      </c>
      <c r="X54" s="3" t="s">
        <v>13</v>
      </c>
      <c r="Y54" t="s">
        <v>14</v>
      </c>
      <c r="Z54" t="s">
        <v>4</v>
      </c>
      <c r="AA54" s="10">
        <v>0.35</v>
      </c>
      <c r="AB54" t="s">
        <v>15</v>
      </c>
      <c r="AC54" s="10">
        <v>78266.618000000002</v>
      </c>
      <c r="AD54" s="4">
        <v>27393.316299999999</v>
      </c>
      <c r="AF54" s="20">
        <v>15</v>
      </c>
      <c r="AG54" s="18" t="s">
        <v>59</v>
      </c>
      <c r="AH54" s="18" t="s">
        <v>60</v>
      </c>
      <c r="AI54" s="18" t="s">
        <v>41</v>
      </c>
      <c r="AJ54" s="21">
        <v>16</v>
      </c>
      <c r="AK54" s="18" t="s">
        <v>5</v>
      </c>
      <c r="AL54" s="21">
        <v>7698.2142000000003</v>
      </c>
      <c r="AM54" s="19">
        <v>123171.42720000001</v>
      </c>
      <c r="AO54" s="20" t="s">
        <v>168</v>
      </c>
      <c r="AP54" s="18" t="s">
        <v>169</v>
      </c>
      <c r="AQ54" s="18" t="s">
        <v>165</v>
      </c>
      <c r="AR54" s="21">
        <v>1</v>
      </c>
      <c r="AS54" s="18" t="s">
        <v>20</v>
      </c>
      <c r="AT54" s="21">
        <v>35200.996200000001</v>
      </c>
      <c r="AU54" s="19">
        <v>35200.996200000001</v>
      </c>
      <c r="AW54" s="20" t="s">
        <v>168</v>
      </c>
      <c r="AX54" s="18" t="s">
        <v>169</v>
      </c>
      <c r="AY54" s="18" t="s">
        <v>165</v>
      </c>
      <c r="AZ54" s="21">
        <v>1</v>
      </c>
      <c r="BA54" s="18" t="s">
        <v>20</v>
      </c>
      <c r="BB54" s="21">
        <v>35200.996200000001</v>
      </c>
      <c r="BC54" s="19">
        <v>35200.996200000001</v>
      </c>
    </row>
    <row r="55" spans="1:55" x14ac:dyDescent="0.35">
      <c r="A55" s="38" t="str">
        <v>OTH00098</v>
      </c>
      <c r="B55" s="31" t="str">
        <f t="shared" si="0"/>
        <v>TEMPAT LILIN KRISTAL BENING</v>
      </c>
      <c r="C55" s="31" t="str">
        <f t="shared" si="1"/>
        <v>OTHERS</v>
      </c>
      <c r="D55" s="39" t="str">
        <f t="shared" si="2"/>
        <v>pcs</v>
      </c>
      <c r="E55" s="53">
        <f t="shared" si="3"/>
        <v>5559.5860000000002</v>
      </c>
      <c r="F55" s="54" t="str">
        <f t="shared" si="4"/>
        <v>0</v>
      </c>
      <c r="G55" s="54">
        <f t="shared" si="5"/>
        <v>1</v>
      </c>
      <c r="H55" s="48">
        <f t="shared" si="6"/>
        <v>1</v>
      </c>
      <c r="I55" s="53">
        <f t="shared" si="7"/>
        <v>5559.5860000000002</v>
      </c>
      <c r="J55" s="31" t="str">
        <f t="shared" si="8"/>
        <v>Kenaikan IU</v>
      </c>
      <c r="K55" s="42" t="s">
        <v>1239</v>
      </c>
      <c r="O55" s="3">
        <v>2</v>
      </c>
      <c r="P55" t="s">
        <v>578</v>
      </c>
      <c r="Q55" t="s">
        <v>579</v>
      </c>
      <c r="R55" t="s">
        <v>120</v>
      </c>
      <c r="S55" s="10">
        <v>2</v>
      </c>
      <c r="T55" t="s">
        <v>20</v>
      </c>
      <c r="U55" s="10">
        <v>85000</v>
      </c>
      <c r="V55" s="4">
        <v>170000</v>
      </c>
      <c r="X55" s="3" t="s">
        <v>18</v>
      </c>
      <c r="Y55" t="s">
        <v>19</v>
      </c>
      <c r="Z55" t="s">
        <v>4</v>
      </c>
      <c r="AA55" s="10">
        <v>0.74</v>
      </c>
      <c r="AB55" t="s">
        <v>20</v>
      </c>
      <c r="AC55" s="10">
        <v>151400</v>
      </c>
      <c r="AD55" s="4">
        <v>112036</v>
      </c>
      <c r="AF55" s="20">
        <v>16</v>
      </c>
      <c r="AG55" s="18" t="s">
        <v>61</v>
      </c>
      <c r="AH55" s="18" t="s">
        <v>62</v>
      </c>
      <c r="AI55" s="18" t="s">
        <v>41</v>
      </c>
      <c r="AJ55" s="18">
        <v>3</v>
      </c>
      <c r="AK55" s="18" t="s">
        <v>5</v>
      </c>
      <c r="AL55" s="18">
        <v>13935.541000000001</v>
      </c>
      <c r="AM55" s="19">
        <v>41806.623</v>
      </c>
      <c r="AO55" s="20" t="s">
        <v>383</v>
      </c>
      <c r="AP55" s="18" t="s">
        <v>384</v>
      </c>
      <c r="AQ55" s="18" t="s">
        <v>182</v>
      </c>
      <c r="AR55" s="18">
        <v>8</v>
      </c>
      <c r="AS55" s="18" t="s">
        <v>20</v>
      </c>
      <c r="AT55" s="18">
        <v>20439.443299999999</v>
      </c>
      <c r="AU55" s="19">
        <v>163515.54639999999</v>
      </c>
      <c r="AW55" s="20" t="s">
        <v>383</v>
      </c>
      <c r="AX55" s="18" t="s">
        <v>384</v>
      </c>
      <c r="AY55" s="18" t="s">
        <v>182</v>
      </c>
      <c r="AZ55" s="18">
        <v>8</v>
      </c>
      <c r="BA55" s="18" t="s">
        <v>20</v>
      </c>
      <c r="BB55" s="18">
        <v>20439.443299999999</v>
      </c>
      <c r="BC55" s="19">
        <v>163515.54639999999</v>
      </c>
    </row>
    <row r="56" spans="1:55" ht="15" thickBot="1" x14ac:dyDescent="0.4">
      <c r="A56" s="38" t="str">
        <v>OTH00105</v>
      </c>
      <c r="B56" s="31" t="str">
        <f t="shared" si="0"/>
        <v>MASKER MEDIS</v>
      </c>
      <c r="C56" s="31" t="str">
        <f t="shared" si="1"/>
        <v>OTHERS</v>
      </c>
      <c r="D56" s="39" t="str">
        <f t="shared" si="2"/>
        <v>box</v>
      </c>
      <c r="E56" s="53">
        <f t="shared" si="3"/>
        <v>21066.67</v>
      </c>
      <c r="F56" s="54" t="str">
        <f t="shared" si="4"/>
        <v>0</v>
      </c>
      <c r="G56" s="54">
        <f t="shared" si="5"/>
        <v>1</v>
      </c>
      <c r="H56" s="48">
        <f t="shared" si="6"/>
        <v>1</v>
      </c>
      <c r="I56" s="53">
        <f t="shared" si="7"/>
        <v>21066.67</v>
      </c>
      <c r="J56" s="31" t="str">
        <f t="shared" si="8"/>
        <v>Kenaikan IU</v>
      </c>
      <c r="K56" s="42" t="s">
        <v>1240</v>
      </c>
      <c r="O56" s="3">
        <v>3</v>
      </c>
      <c r="P56" t="s">
        <v>414</v>
      </c>
      <c r="Q56" t="s">
        <v>415</v>
      </c>
      <c r="R56" t="s">
        <v>120</v>
      </c>
      <c r="S56" s="10">
        <v>3</v>
      </c>
      <c r="T56" t="s">
        <v>20</v>
      </c>
      <c r="U56" s="10">
        <v>97500</v>
      </c>
      <c r="V56" s="4">
        <v>292500</v>
      </c>
      <c r="X56" s="3" t="s">
        <v>219</v>
      </c>
      <c r="Y56" t="s">
        <v>220</v>
      </c>
      <c r="Z56" t="s">
        <v>4</v>
      </c>
      <c r="AA56" s="10">
        <v>0.32</v>
      </c>
      <c r="AB56" t="s">
        <v>25</v>
      </c>
      <c r="AC56" s="10">
        <v>47805.109900000003</v>
      </c>
      <c r="AD56" s="4">
        <v>15297.635168000001</v>
      </c>
      <c r="AF56" s="22" t="s">
        <v>223</v>
      </c>
      <c r="AG56" s="23" t="s">
        <v>223</v>
      </c>
      <c r="AH56" s="23" t="s">
        <v>223</v>
      </c>
      <c r="AI56" s="23" t="s">
        <v>223</v>
      </c>
      <c r="AJ56" s="23" t="s">
        <v>223</v>
      </c>
      <c r="AK56" s="23" t="s">
        <v>223</v>
      </c>
      <c r="AL56" s="23" t="s">
        <v>224</v>
      </c>
      <c r="AM56" s="24">
        <v>1436905.632089</v>
      </c>
      <c r="AO56" s="20" t="s">
        <v>474</v>
      </c>
      <c r="AP56" s="18" t="s">
        <v>475</v>
      </c>
      <c r="AQ56" s="18" t="s">
        <v>192</v>
      </c>
      <c r="AR56" s="18">
        <v>1</v>
      </c>
      <c r="AS56" s="18" t="s">
        <v>20</v>
      </c>
      <c r="AT56" s="18">
        <v>8750</v>
      </c>
      <c r="AU56" s="19">
        <v>8750</v>
      </c>
      <c r="AW56" s="20" t="s">
        <v>474</v>
      </c>
      <c r="AX56" s="18" t="s">
        <v>475</v>
      </c>
      <c r="AY56" s="18" t="s">
        <v>192</v>
      </c>
      <c r="AZ56" s="18">
        <v>1</v>
      </c>
      <c r="BA56" s="18" t="s">
        <v>20</v>
      </c>
      <c r="BB56" s="18">
        <v>8750</v>
      </c>
      <c r="BC56" s="19">
        <v>8750</v>
      </c>
    </row>
    <row r="57" spans="1:55" ht="15" thickBot="1" x14ac:dyDescent="0.4">
      <c r="A57" s="38" t="str">
        <v>OTH00208</v>
      </c>
      <c r="B57" s="31" t="str">
        <f t="shared" si="0"/>
        <v>STICKER PIPI MERAH PUTIH</v>
      </c>
      <c r="C57" s="31" t="str">
        <f t="shared" si="1"/>
        <v>OTHERS</v>
      </c>
      <c r="D57" s="39" t="str">
        <f t="shared" si="2"/>
        <v>lembar</v>
      </c>
      <c r="E57" s="53">
        <f t="shared" si="3"/>
        <v>1756.05</v>
      </c>
      <c r="F57" s="54" t="str">
        <f t="shared" si="4"/>
        <v>0</v>
      </c>
      <c r="G57" s="54">
        <f t="shared" si="5"/>
        <v>6</v>
      </c>
      <c r="H57" s="48">
        <f t="shared" si="6"/>
        <v>6</v>
      </c>
      <c r="I57" s="53">
        <f t="shared" si="7"/>
        <v>10536.3</v>
      </c>
      <c r="J57" s="31" t="str">
        <f t="shared" si="8"/>
        <v>Kenaikan IU</v>
      </c>
      <c r="K57" s="42" t="s">
        <v>1241</v>
      </c>
      <c r="O57" s="3">
        <v>4</v>
      </c>
      <c r="P57" t="s">
        <v>118</v>
      </c>
      <c r="Q57" t="s">
        <v>119</v>
      </c>
      <c r="R57" t="s">
        <v>120</v>
      </c>
      <c r="S57" s="10">
        <v>3</v>
      </c>
      <c r="T57" t="s">
        <v>20</v>
      </c>
      <c r="U57" s="10">
        <v>14700</v>
      </c>
      <c r="V57" s="4">
        <v>44100</v>
      </c>
      <c r="X57" s="3" t="s">
        <v>221</v>
      </c>
      <c r="Y57" t="s">
        <v>222</v>
      </c>
      <c r="Z57" t="s">
        <v>4</v>
      </c>
      <c r="AA57" s="10">
        <v>2.06</v>
      </c>
      <c r="AB57" t="s">
        <v>25</v>
      </c>
      <c r="AC57" s="10">
        <v>84815.170100000003</v>
      </c>
      <c r="AD57" s="4">
        <v>174719.25040600001</v>
      </c>
      <c r="AO57" s="22" t="s">
        <v>316</v>
      </c>
      <c r="AP57" s="23" t="s">
        <v>317</v>
      </c>
      <c r="AQ57" s="23" t="s">
        <v>117</v>
      </c>
      <c r="AR57" s="23">
        <v>1</v>
      </c>
      <c r="AS57" s="23" t="s">
        <v>20</v>
      </c>
      <c r="AT57" s="23">
        <v>465300</v>
      </c>
      <c r="AU57" s="24">
        <v>465300</v>
      </c>
      <c r="AW57" s="22" t="s">
        <v>316</v>
      </c>
      <c r="AX57" s="23" t="s">
        <v>317</v>
      </c>
      <c r="AY57" s="23" t="s">
        <v>117</v>
      </c>
      <c r="AZ57" s="23">
        <v>1</v>
      </c>
      <c r="BA57" s="23" t="s">
        <v>20</v>
      </c>
      <c r="BB57" s="23">
        <v>465300</v>
      </c>
      <c r="BC57" s="24">
        <v>465300</v>
      </c>
    </row>
    <row r="58" spans="1:55" ht="15.5" thickTop="1" thickBot="1" x14ac:dyDescent="0.4">
      <c r="A58" s="38" t="str">
        <v>KW000049</v>
      </c>
      <c r="B58" s="31" t="str">
        <f t="shared" si="0"/>
        <v>GAS TORCH 8612</v>
      </c>
      <c r="C58" s="31" t="str">
        <f t="shared" si="1"/>
        <v>KITCHENWARE TOOLS</v>
      </c>
      <c r="D58" s="39" t="str">
        <f t="shared" si="2"/>
        <v>pcs</v>
      </c>
      <c r="E58" s="53">
        <f t="shared" si="3"/>
        <v>35200.996200000001</v>
      </c>
      <c r="F58" s="54">
        <f t="shared" si="4"/>
        <v>10</v>
      </c>
      <c r="G58" s="54">
        <f t="shared" si="5"/>
        <v>1</v>
      </c>
      <c r="H58" s="48">
        <f t="shared" si="6"/>
        <v>-9</v>
      </c>
      <c r="I58" s="53">
        <f t="shared" si="7"/>
        <v>-316808.96580000001</v>
      </c>
      <c r="J58" s="31" t="str">
        <f t="shared" si="8"/>
        <v>Penurunan IU</v>
      </c>
      <c r="K58" s="42" t="s">
        <v>1242</v>
      </c>
      <c r="O58" s="3">
        <v>5</v>
      </c>
      <c r="P58" t="s">
        <v>580</v>
      </c>
      <c r="Q58" t="s">
        <v>581</v>
      </c>
      <c r="R58" t="s">
        <v>151</v>
      </c>
      <c r="S58" s="10">
        <v>1</v>
      </c>
      <c r="T58" t="s">
        <v>20</v>
      </c>
      <c r="U58" s="10">
        <v>134462.5</v>
      </c>
      <c r="V58" s="4">
        <v>134462.5</v>
      </c>
      <c r="X58" s="3" t="s">
        <v>23</v>
      </c>
      <c r="Y58" t="s">
        <v>24</v>
      </c>
      <c r="Z58" t="s">
        <v>4</v>
      </c>
      <c r="AA58" s="10">
        <v>2.2000000000000002</v>
      </c>
      <c r="AB58" t="s">
        <v>25</v>
      </c>
      <c r="AC58" s="10">
        <v>17965.7497</v>
      </c>
      <c r="AD58" s="4">
        <v>39524.649340000004</v>
      </c>
      <c r="AW58" s="7" t="s">
        <v>460</v>
      </c>
      <c r="AX58" s="1" t="s">
        <v>461</v>
      </c>
      <c r="AY58" s="1" t="s">
        <v>117</v>
      </c>
      <c r="AZ58" s="8">
        <v>5</v>
      </c>
      <c r="BA58" s="1" t="s">
        <v>20</v>
      </c>
      <c r="BB58" s="8">
        <v>233122.90700000004</v>
      </c>
      <c r="BC58" s="2">
        <v>1165614.5349999999</v>
      </c>
    </row>
    <row r="59" spans="1:55" x14ac:dyDescent="0.35">
      <c r="A59" s="38" t="str">
        <v>TCT00021</v>
      </c>
      <c r="B59" s="31" t="str">
        <f t="shared" si="0"/>
        <v>HANDLE KAYU MATERIAL</v>
      </c>
      <c r="C59" s="31" t="str">
        <f t="shared" si="1"/>
        <v>CUTELERIES</v>
      </c>
      <c r="D59" s="39" t="str">
        <f t="shared" si="2"/>
        <v>pcs</v>
      </c>
      <c r="E59" s="53">
        <f t="shared" si="3"/>
        <v>20439.443299999999</v>
      </c>
      <c r="F59" s="54" t="str">
        <f t="shared" si="4"/>
        <v>0</v>
      </c>
      <c r="G59" s="54">
        <f t="shared" si="5"/>
        <v>8</v>
      </c>
      <c r="H59" s="48">
        <f t="shared" si="6"/>
        <v>8</v>
      </c>
      <c r="I59" s="53">
        <f t="shared" si="7"/>
        <v>163515.54639999999</v>
      </c>
      <c r="J59" s="31" t="str">
        <f t="shared" si="8"/>
        <v>Kenaikan IU</v>
      </c>
      <c r="K59" s="42" t="s">
        <v>1243</v>
      </c>
      <c r="O59" s="3">
        <v>6</v>
      </c>
      <c r="P59" t="s">
        <v>418</v>
      </c>
      <c r="Q59" t="s">
        <v>419</v>
      </c>
      <c r="R59" t="s">
        <v>151</v>
      </c>
      <c r="S59" s="10">
        <v>1</v>
      </c>
      <c r="T59" t="s">
        <v>420</v>
      </c>
      <c r="U59" s="10">
        <v>4697.9935999999998</v>
      </c>
      <c r="V59" s="4">
        <v>4697.9935999999998</v>
      </c>
      <c r="X59" s="3" t="s">
        <v>28</v>
      </c>
      <c r="Y59" t="s">
        <v>29</v>
      </c>
      <c r="Z59" t="s">
        <v>4</v>
      </c>
      <c r="AA59" s="10">
        <v>13.8</v>
      </c>
      <c r="AB59" t="s">
        <v>30</v>
      </c>
      <c r="AC59" s="10">
        <v>19753.139200000001</v>
      </c>
      <c r="AD59" s="4">
        <v>272593.32095999998</v>
      </c>
      <c r="AF59" s="84" t="s">
        <v>0</v>
      </c>
      <c r="AG59" s="85"/>
      <c r="AH59" s="85"/>
      <c r="AI59" s="85"/>
      <c r="AJ59" s="85"/>
      <c r="AK59" s="16"/>
      <c r="AL59" s="16"/>
      <c r="AM59" s="17"/>
      <c r="AW59" s="3" t="s">
        <v>565</v>
      </c>
      <c r="AX59" t="s">
        <v>566</v>
      </c>
      <c r="AY59" t="s">
        <v>117</v>
      </c>
      <c r="AZ59" s="10">
        <v>2</v>
      </c>
      <c r="BA59" t="s">
        <v>20</v>
      </c>
      <c r="BB59" s="10">
        <v>85000</v>
      </c>
      <c r="BC59" s="4">
        <v>170000</v>
      </c>
    </row>
    <row r="60" spans="1:55" x14ac:dyDescent="0.35">
      <c r="A60" s="38" t="str">
        <v>TGW00001</v>
      </c>
      <c r="B60" s="31" t="str">
        <f t="shared" si="0"/>
        <v>SAUCER KIMCHI MANGKOK SAUS KECIL 9 CM SC1001</v>
      </c>
      <c r="C60" s="31" t="str">
        <f t="shared" si="1"/>
        <v>TABLEWARE</v>
      </c>
      <c r="D60" s="39" t="str">
        <f t="shared" si="2"/>
        <v>pcs</v>
      </c>
      <c r="E60" s="53">
        <f t="shared" si="3"/>
        <v>8750</v>
      </c>
      <c r="F60" s="54" t="str">
        <f t="shared" si="4"/>
        <v>0</v>
      </c>
      <c r="G60" s="54">
        <f t="shared" si="5"/>
        <v>1</v>
      </c>
      <c r="H60" s="48">
        <f t="shared" si="6"/>
        <v>1</v>
      </c>
      <c r="I60" s="53">
        <f t="shared" si="7"/>
        <v>8750</v>
      </c>
      <c r="J60" s="31" t="str">
        <f t="shared" si="8"/>
        <v>Kenaikan IU</v>
      </c>
      <c r="K60" s="42" t="s">
        <v>1244</v>
      </c>
      <c r="O60" s="3">
        <v>7</v>
      </c>
      <c r="P60" t="s">
        <v>265</v>
      </c>
      <c r="Q60" t="s">
        <v>266</v>
      </c>
      <c r="R60" t="s">
        <v>151</v>
      </c>
      <c r="S60" s="10">
        <v>6</v>
      </c>
      <c r="T60" t="s">
        <v>267</v>
      </c>
      <c r="U60" s="10">
        <v>34511.794399999999</v>
      </c>
      <c r="V60" s="4">
        <v>207070.76639999999</v>
      </c>
      <c r="X60" s="3" t="s">
        <v>33</v>
      </c>
      <c r="Y60" t="s">
        <v>34</v>
      </c>
      <c r="Z60" t="s">
        <v>4</v>
      </c>
      <c r="AA60" s="10">
        <v>10</v>
      </c>
      <c r="AB60" t="s">
        <v>30</v>
      </c>
      <c r="AC60" s="10">
        <v>13000</v>
      </c>
      <c r="AD60" s="4">
        <v>130000</v>
      </c>
      <c r="AF60" s="82" t="s">
        <v>1</v>
      </c>
      <c r="AG60" s="83"/>
      <c r="AH60" s="83"/>
      <c r="AI60" s="83"/>
      <c r="AJ60" s="83"/>
      <c r="AK60" s="18"/>
      <c r="AL60" s="18"/>
      <c r="AM60" s="19"/>
      <c r="AW60" s="3" t="s">
        <v>568</v>
      </c>
      <c r="AX60" t="s">
        <v>569</v>
      </c>
      <c r="AY60" t="s">
        <v>117</v>
      </c>
      <c r="AZ60" s="10">
        <v>1</v>
      </c>
      <c r="BA60" t="s">
        <v>20</v>
      </c>
      <c r="BB60" s="10">
        <v>66600</v>
      </c>
      <c r="BC60" s="4">
        <v>66600</v>
      </c>
    </row>
    <row r="61" spans="1:55" x14ac:dyDescent="0.35">
      <c r="A61" s="38" t="str">
        <v>MKT00035</v>
      </c>
      <c r="B61" s="31" t="str">
        <f t="shared" si="0"/>
        <v>LIGHT BOX</v>
      </c>
      <c r="C61" s="31" t="str">
        <f t="shared" si="1"/>
        <v>MARKETING</v>
      </c>
      <c r="D61" s="39" t="str">
        <f t="shared" si="2"/>
        <v>pcs</v>
      </c>
      <c r="E61" s="53">
        <f t="shared" si="3"/>
        <v>465300</v>
      </c>
      <c r="F61" s="54" t="str">
        <f t="shared" si="4"/>
        <v>0</v>
      </c>
      <c r="G61" s="54">
        <f t="shared" si="5"/>
        <v>1</v>
      </c>
      <c r="H61" s="48">
        <f t="shared" si="6"/>
        <v>1</v>
      </c>
      <c r="I61" s="53">
        <f t="shared" si="7"/>
        <v>465300</v>
      </c>
      <c r="J61" s="31" t="str">
        <f t="shared" si="8"/>
        <v>Kenaikan IU</v>
      </c>
      <c r="K61" s="42" t="s">
        <v>1245</v>
      </c>
      <c r="O61" s="3">
        <v>8</v>
      </c>
      <c r="P61" t="s">
        <v>154</v>
      </c>
      <c r="Q61" t="s">
        <v>155</v>
      </c>
      <c r="R61" t="s">
        <v>151</v>
      </c>
      <c r="S61" s="10">
        <v>90</v>
      </c>
      <c r="T61" t="s">
        <v>20</v>
      </c>
      <c r="U61" s="10">
        <v>998.3442</v>
      </c>
      <c r="V61" s="4">
        <v>89850.978000000003</v>
      </c>
      <c r="X61" s="3" t="s">
        <v>50</v>
      </c>
      <c r="Y61" t="s">
        <v>51</v>
      </c>
      <c r="Z61" t="s">
        <v>41</v>
      </c>
      <c r="AA61" s="10">
        <v>33</v>
      </c>
      <c r="AB61" t="s">
        <v>52</v>
      </c>
      <c r="AC61" s="10">
        <v>20499.9918</v>
      </c>
      <c r="AD61" s="4">
        <v>676499.72939999995</v>
      </c>
      <c r="AF61" s="20"/>
      <c r="AG61" s="18"/>
      <c r="AH61" s="18"/>
      <c r="AI61" s="18"/>
      <c r="AJ61" s="18"/>
      <c r="AK61" s="18"/>
      <c r="AL61" s="18"/>
      <c r="AM61" s="19"/>
      <c r="AW61" s="3" t="s">
        <v>571</v>
      </c>
      <c r="AX61" t="s">
        <v>572</v>
      </c>
      <c r="AY61" t="s">
        <v>117</v>
      </c>
      <c r="AZ61" s="10">
        <v>7</v>
      </c>
      <c r="BA61" t="s">
        <v>20</v>
      </c>
      <c r="BB61" s="10">
        <v>4698</v>
      </c>
      <c r="BC61" s="4">
        <v>32886</v>
      </c>
    </row>
    <row r="62" spans="1:55" x14ac:dyDescent="0.35">
      <c r="A62" s="38" t="str">
        <v>MKT00019</v>
      </c>
      <c r="B62" s="31" t="str">
        <f t="shared" si="0"/>
        <v>WALL POSTER</v>
      </c>
      <c r="C62" s="31" t="str">
        <f t="shared" si="1"/>
        <v>MARKETING</v>
      </c>
      <c r="D62" s="39" t="str">
        <f t="shared" si="2"/>
        <v>pcs</v>
      </c>
      <c r="E62" s="53">
        <f t="shared" si="3"/>
        <v>85000</v>
      </c>
      <c r="F62" s="54">
        <f t="shared" si="4"/>
        <v>2</v>
      </c>
      <c r="G62" s="54" t="str">
        <f t="shared" si="5"/>
        <v>0</v>
      </c>
      <c r="H62" s="48">
        <f t="shared" si="6"/>
        <v>-2</v>
      </c>
      <c r="I62" s="53">
        <f t="shared" si="7"/>
        <v>-170000</v>
      </c>
      <c r="J62" s="31" t="str">
        <f t="shared" si="8"/>
        <v>Penurunan IU</v>
      </c>
      <c r="K62" s="42" t="s">
        <v>1246</v>
      </c>
      <c r="O62" s="3">
        <v>9</v>
      </c>
      <c r="P62" t="s">
        <v>156</v>
      </c>
      <c r="Q62" t="s">
        <v>157</v>
      </c>
      <c r="R62" t="s">
        <v>151</v>
      </c>
      <c r="S62" s="10">
        <v>18</v>
      </c>
      <c r="T62" t="s">
        <v>20</v>
      </c>
      <c r="U62" s="10">
        <v>2626.67</v>
      </c>
      <c r="V62" s="4">
        <v>47280.06</v>
      </c>
      <c r="X62" s="3" t="s">
        <v>306</v>
      </c>
      <c r="Y62" t="s">
        <v>307</v>
      </c>
      <c r="Z62" t="s">
        <v>41</v>
      </c>
      <c r="AA62" s="10">
        <v>3</v>
      </c>
      <c r="AB62" t="s">
        <v>20</v>
      </c>
      <c r="AC62" s="10">
        <v>7097.2416000000003</v>
      </c>
      <c r="AD62" s="4">
        <v>21291.7248</v>
      </c>
      <c r="AF62" s="82" t="s">
        <v>10</v>
      </c>
      <c r="AG62" s="83" t="s">
        <v>11</v>
      </c>
      <c r="AH62" s="18" t="s">
        <v>829</v>
      </c>
      <c r="AI62" s="18"/>
      <c r="AJ62" s="18"/>
      <c r="AK62" s="18"/>
      <c r="AL62" s="18"/>
      <c r="AM62" s="19"/>
      <c r="AW62" s="3" t="s">
        <v>115</v>
      </c>
      <c r="AX62" t="s">
        <v>116</v>
      </c>
      <c r="AY62" t="s">
        <v>117</v>
      </c>
      <c r="AZ62" s="10">
        <v>1000</v>
      </c>
      <c r="BA62" t="s">
        <v>52</v>
      </c>
      <c r="BB62" s="10">
        <v>628.57100000000003</v>
      </c>
      <c r="BC62" s="4">
        <v>628571</v>
      </c>
    </row>
    <row r="63" spans="1:55" x14ac:dyDescent="0.35">
      <c r="A63" s="38" t="str">
        <v>MKT00020</v>
      </c>
      <c r="B63" s="31" t="str">
        <f t="shared" si="0"/>
        <v>POSTER MEDIA PROMO</v>
      </c>
      <c r="C63" s="31" t="str">
        <f t="shared" si="1"/>
        <v>MARKETING</v>
      </c>
      <c r="D63" s="39" t="str">
        <f t="shared" si="2"/>
        <v>pcs</v>
      </c>
      <c r="E63" s="53">
        <f t="shared" si="3"/>
        <v>66600</v>
      </c>
      <c r="F63" s="54">
        <f t="shared" si="4"/>
        <v>1</v>
      </c>
      <c r="G63" s="54" t="str">
        <f t="shared" si="5"/>
        <v>0</v>
      </c>
      <c r="H63" s="48">
        <f t="shared" si="6"/>
        <v>-1</v>
      </c>
      <c r="I63" s="53">
        <f t="shared" si="7"/>
        <v>-66600</v>
      </c>
      <c r="J63" s="31" t="str">
        <f t="shared" si="8"/>
        <v>Penurunan IU</v>
      </c>
      <c r="K63" s="42" t="s">
        <v>1246</v>
      </c>
      <c r="O63" s="3">
        <v>10</v>
      </c>
      <c r="P63" t="s">
        <v>272</v>
      </c>
      <c r="Q63" t="s">
        <v>273</v>
      </c>
      <c r="R63" t="s">
        <v>151</v>
      </c>
      <c r="S63">
        <v>1.8</v>
      </c>
      <c r="T63" t="s">
        <v>5</v>
      </c>
      <c r="U63">
        <v>3760</v>
      </c>
      <c r="V63" s="4">
        <v>6768</v>
      </c>
      <c r="X63" s="3" t="s">
        <v>53</v>
      </c>
      <c r="Y63" t="s">
        <v>54</v>
      </c>
      <c r="Z63" t="s">
        <v>41</v>
      </c>
      <c r="AA63" s="10">
        <v>7</v>
      </c>
      <c r="AB63" t="s">
        <v>20</v>
      </c>
      <c r="AC63" s="10">
        <v>3111.8</v>
      </c>
      <c r="AD63" s="4">
        <v>21782.6</v>
      </c>
      <c r="AF63" s="82" t="s">
        <v>16</v>
      </c>
      <c r="AG63" s="83" t="s">
        <v>11</v>
      </c>
      <c r="AH63" s="18" t="s">
        <v>211</v>
      </c>
      <c r="AI63" s="18"/>
      <c r="AJ63" s="18"/>
      <c r="AK63" s="18"/>
      <c r="AL63" s="18"/>
      <c r="AM63" s="19"/>
      <c r="AW63" s="3" t="s">
        <v>318</v>
      </c>
      <c r="AX63" t="s">
        <v>319</v>
      </c>
      <c r="AY63" t="s">
        <v>117</v>
      </c>
      <c r="AZ63">
        <v>50</v>
      </c>
      <c r="BA63" t="s">
        <v>20</v>
      </c>
      <c r="BB63">
        <v>800</v>
      </c>
      <c r="BC63" s="4">
        <v>40000</v>
      </c>
    </row>
    <row r="64" spans="1:55" ht="15" thickBot="1" x14ac:dyDescent="0.4">
      <c r="A64" s="38" t="str">
        <v>MKT00026</v>
      </c>
      <c r="B64" s="31" t="str">
        <f t="shared" si="0"/>
        <v>MENU K-DRINK</v>
      </c>
      <c r="C64" s="31" t="str">
        <f t="shared" si="1"/>
        <v>MARKETING</v>
      </c>
      <c r="D64" s="39" t="str">
        <f t="shared" si="2"/>
        <v>pcs</v>
      </c>
      <c r="E64" s="53">
        <f t="shared" si="3"/>
        <v>4698</v>
      </c>
      <c r="F64" s="54">
        <f t="shared" si="4"/>
        <v>7</v>
      </c>
      <c r="G64" s="54" t="str">
        <f t="shared" si="5"/>
        <v>0</v>
      </c>
      <c r="H64" s="48">
        <f t="shared" si="6"/>
        <v>-7</v>
      </c>
      <c r="I64" s="53">
        <f t="shared" si="7"/>
        <v>-32886</v>
      </c>
      <c r="J64" s="31" t="str">
        <f t="shared" si="8"/>
        <v>Penurunan IU</v>
      </c>
      <c r="K64" s="42" t="s">
        <v>1246</v>
      </c>
      <c r="O64" s="11" t="s">
        <v>223</v>
      </c>
      <c r="P64" s="12" t="s">
        <v>223</v>
      </c>
      <c r="Q64" s="12" t="s">
        <v>223</v>
      </c>
      <c r="R64" s="12" t="s">
        <v>223</v>
      </c>
      <c r="S64" s="12" t="s">
        <v>223</v>
      </c>
      <c r="T64" s="12" t="s">
        <v>223</v>
      </c>
      <c r="U64" s="12" t="s">
        <v>224</v>
      </c>
      <c r="V64" s="13">
        <v>1166730.298</v>
      </c>
      <c r="X64" s="3" t="s">
        <v>453</v>
      </c>
      <c r="Y64" t="s">
        <v>454</v>
      </c>
      <c r="Z64" t="s">
        <v>41</v>
      </c>
      <c r="AA64" s="10">
        <v>2</v>
      </c>
      <c r="AB64" t="s">
        <v>267</v>
      </c>
      <c r="AC64" s="10">
        <v>18735.46</v>
      </c>
      <c r="AD64" s="4">
        <v>37470.92</v>
      </c>
      <c r="AF64" s="82" t="s">
        <v>21</v>
      </c>
      <c r="AG64" s="83" t="s">
        <v>11</v>
      </c>
      <c r="AH64" s="18" t="s">
        <v>573</v>
      </c>
      <c r="AI64" s="18"/>
      <c r="AJ64" s="18"/>
      <c r="AK64" s="18"/>
      <c r="AL64" s="18"/>
      <c r="AM64" s="19"/>
      <c r="AW64" s="3" t="s">
        <v>121</v>
      </c>
      <c r="AX64" t="s">
        <v>122</v>
      </c>
      <c r="AY64" t="s">
        <v>123</v>
      </c>
      <c r="AZ64" s="10">
        <v>5</v>
      </c>
      <c r="BA64" t="s">
        <v>5</v>
      </c>
      <c r="BB64" s="10">
        <v>5829.8370000000004</v>
      </c>
      <c r="BC64" s="4">
        <v>29149.185000000001</v>
      </c>
    </row>
    <row r="65" spans="1:55" ht="15.5" thickTop="1" thickBot="1" x14ac:dyDescent="0.4">
      <c r="A65" s="38" t="str">
        <v>MKT00051</v>
      </c>
      <c r="B65" s="31" t="str">
        <f t="shared" si="0"/>
        <v>VOUCHER FREE RAPOKKI CHADOL</v>
      </c>
      <c r="C65" s="31" t="str">
        <f t="shared" si="1"/>
        <v>MARKETING</v>
      </c>
      <c r="D65" s="39" t="str">
        <f t="shared" si="2"/>
        <v>pcs</v>
      </c>
      <c r="E65" s="53">
        <f t="shared" si="3"/>
        <v>800</v>
      </c>
      <c r="F65" s="54">
        <f t="shared" si="4"/>
        <v>50</v>
      </c>
      <c r="G65" s="54" t="str">
        <f t="shared" si="5"/>
        <v>0</v>
      </c>
      <c r="H65" s="48">
        <f t="shared" si="6"/>
        <v>-50</v>
      </c>
      <c r="I65" s="53">
        <f t="shared" si="7"/>
        <v>-40000</v>
      </c>
      <c r="J65" s="31" t="str">
        <f t="shared" si="8"/>
        <v>Penurunan IU</v>
      </c>
      <c r="K65" s="42" t="s">
        <v>1246</v>
      </c>
      <c r="X65" s="3" t="s">
        <v>407</v>
      </c>
      <c r="Y65" t="s">
        <v>408</v>
      </c>
      <c r="Z65" t="s">
        <v>41</v>
      </c>
      <c r="AA65" s="10">
        <v>3</v>
      </c>
      <c r="AB65" t="s">
        <v>267</v>
      </c>
      <c r="AC65" s="10">
        <v>29877.968799999999</v>
      </c>
      <c r="AD65" s="4">
        <v>89633.906400000007</v>
      </c>
      <c r="AF65" s="82" t="s">
        <v>26</v>
      </c>
      <c r="AG65" s="83" t="s">
        <v>11</v>
      </c>
      <c r="AH65" s="18" t="s">
        <v>830</v>
      </c>
      <c r="AI65" s="18"/>
      <c r="AJ65" s="18"/>
      <c r="AK65" s="18"/>
      <c r="AL65" s="18"/>
      <c r="AM65" s="19"/>
      <c r="AW65" s="3" t="s">
        <v>124</v>
      </c>
      <c r="AX65" t="s">
        <v>125</v>
      </c>
      <c r="AY65" t="s">
        <v>123</v>
      </c>
      <c r="AZ65" s="10">
        <v>5</v>
      </c>
      <c r="BA65" t="s">
        <v>5</v>
      </c>
      <c r="BB65" s="10">
        <v>5403.2861999999996</v>
      </c>
      <c r="BC65" s="4">
        <v>27016.431</v>
      </c>
    </row>
    <row r="66" spans="1:55" ht="15" thickTop="1" x14ac:dyDescent="0.35">
      <c r="A66" s="38" t="str">
        <v>MRP00030</v>
      </c>
      <c r="B66" s="31" t="str">
        <f t="shared" si="0"/>
        <v>PP SEDIMENT FILTER CARTRIDGE 5 MIKRON 20 INCH D10,7CM</v>
      </c>
      <c r="C66" s="31" t="str">
        <f t="shared" si="1"/>
        <v>IT GA AND MRP STOCK</v>
      </c>
      <c r="D66" s="39" t="str">
        <f t="shared" si="2"/>
        <v>pcs</v>
      </c>
      <c r="E66" s="53">
        <f t="shared" si="3"/>
        <v>97500</v>
      </c>
      <c r="F66" s="54">
        <f t="shared" si="4"/>
        <v>3</v>
      </c>
      <c r="G66" s="54" t="str">
        <f t="shared" si="5"/>
        <v>0</v>
      </c>
      <c r="H66" s="48">
        <f t="shared" si="6"/>
        <v>-3</v>
      </c>
      <c r="I66" s="53">
        <f t="shared" si="7"/>
        <v>-292500</v>
      </c>
      <c r="J66" s="31" t="str">
        <f t="shared" si="8"/>
        <v>Penurunan IU</v>
      </c>
      <c r="K66" s="42" t="s">
        <v>1246</v>
      </c>
      <c r="O66" s="88" t="s">
        <v>0</v>
      </c>
      <c r="P66" s="89"/>
      <c r="Q66" s="89"/>
      <c r="R66" s="89"/>
      <c r="S66" s="89"/>
      <c r="T66" s="1"/>
      <c r="U66" s="1"/>
      <c r="V66" s="2"/>
      <c r="X66" s="3" t="s">
        <v>310</v>
      </c>
      <c r="Y66" t="s">
        <v>311</v>
      </c>
      <c r="Z66" t="s">
        <v>41</v>
      </c>
      <c r="AA66" s="10">
        <v>1</v>
      </c>
      <c r="AB66" t="s">
        <v>20</v>
      </c>
      <c r="AC66" s="10">
        <v>10499.75</v>
      </c>
      <c r="AD66" s="4">
        <v>10499.75</v>
      </c>
      <c r="AF66" s="82" t="s">
        <v>31</v>
      </c>
      <c r="AG66" s="83" t="s">
        <v>11</v>
      </c>
      <c r="AH66" s="18" t="s">
        <v>186</v>
      </c>
      <c r="AI66" s="18"/>
      <c r="AJ66" s="18"/>
      <c r="AK66" s="18"/>
      <c r="AL66" s="18"/>
      <c r="AM66" s="19"/>
      <c r="AW66" s="3" t="s">
        <v>126</v>
      </c>
      <c r="AX66" t="s">
        <v>127</v>
      </c>
      <c r="AY66" t="s">
        <v>123</v>
      </c>
      <c r="AZ66" s="10">
        <v>34.700000000000003</v>
      </c>
      <c r="BA66" t="s">
        <v>5</v>
      </c>
      <c r="BB66" s="10">
        <v>6766.8011999999999</v>
      </c>
      <c r="BC66" s="4">
        <v>234808.00164</v>
      </c>
    </row>
    <row r="67" spans="1:55" x14ac:dyDescent="0.35">
      <c r="A67" s="38" t="str">
        <v>MRP00043</v>
      </c>
      <c r="B67" s="31" t="str">
        <f t="shared" si="0"/>
        <v>SEDIMENT FILTER CARTRIDGE 1 MIKRON 20 INCH D10,7CM</v>
      </c>
      <c r="C67" s="31" t="str">
        <f t="shared" si="1"/>
        <v>IT GA AND MRP STOCK</v>
      </c>
      <c r="D67" s="39" t="str">
        <f t="shared" si="2"/>
        <v>pcs</v>
      </c>
      <c r="E67" s="53">
        <f t="shared" si="3"/>
        <v>14700</v>
      </c>
      <c r="F67" s="54">
        <f t="shared" si="4"/>
        <v>3</v>
      </c>
      <c r="G67" s="54" t="str">
        <f t="shared" si="5"/>
        <v>0</v>
      </c>
      <c r="H67" s="48">
        <f t="shared" si="6"/>
        <v>-3</v>
      </c>
      <c r="I67" s="53">
        <f t="shared" si="7"/>
        <v>-44100</v>
      </c>
      <c r="J67" s="31" t="str">
        <f t="shared" si="8"/>
        <v>Penurunan IU</v>
      </c>
      <c r="K67" s="42" t="s">
        <v>1246</v>
      </c>
      <c r="O67" s="86" t="s">
        <v>1</v>
      </c>
      <c r="P67" s="87"/>
      <c r="Q67" s="87"/>
      <c r="R67" s="87"/>
      <c r="S67" s="87"/>
      <c r="V67" s="4"/>
      <c r="X67" s="3" t="s">
        <v>57</v>
      </c>
      <c r="Y67" t="s">
        <v>58</v>
      </c>
      <c r="Z67" t="s">
        <v>41</v>
      </c>
      <c r="AA67" s="10">
        <v>9</v>
      </c>
      <c r="AB67" t="s">
        <v>5</v>
      </c>
      <c r="AC67" s="10">
        <v>7698.2878000000001</v>
      </c>
      <c r="AD67" s="4">
        <v>69284.590200000006</v>
      </c>
      <c r="AF67" s="82" t="s">
        <v>35</v>
      </c>
      <c r="AG67" s="83" t="s">
        <v>11</v>
      </c>
      <c r="AH67" s="18" t="s">
        <v>831</v>
      </c>
      <c r="AI67" s="18"/>
      <c r="AJ67" s="18"/>
      <c r="AK67" s="18"/>
      <c r="AL67" s="18"/>
      <c r="AM67" s="19"/>
      <c r="AW67" s="3" t="s">
        <v>130</v>
      </c>
      <c r="AX67" t="s">
        <v>131</v>
      </c>
      <c r="AY67" t="s">
        <v>123</v>
      </c>
      <c r="AZ67" s="10">
        <v>49</v>
      </c>
      <c r="BA67" t="s">
        <v>5</v>
      </c>
      <c r="BB67" s="10">
        <v>6349.7124000000003</v>
      </c>
      <c r="BC67" s="4">
        <v>311135.90759999998</v>
      </c>
    </row>
    <row r="68" spans="1:55" x14ac:dyDescent="0.35">
      <c r="A68" s="38" t="str">
        <v>OTH00016</v>
      </c>
      <c r="B68" s="31" t="str">
        <f t="shared" si="0"/>
        <v>SMARTSENSOR THERMOMETER TEMBAK INFRARED</v>
      </c>
      <c r="C68" s="31" t="str">
        <f t="shared" si="1"/>
        <v>OTHERS</v>
      </c>
      <c r="D68" s="39" t="str">
        <f t="shared" si="2"/>
        <v>pcs</v>
      </c>
      <c r="E68" s="53">
        <f t="shared" si="3"/>
        <v>134462.5</v>
      </c>
      <c r="F68" s="54">
        <f t="shared" si="4"/>
        <v>1</v>
      </c>
      <c r="G68" s="54" t="str">
        <f t="shared" si="5"/>
        <v>0</v>
      </c>
      <c r="H68" s="48">
        <f t="shared" si="6"/>
        <v>-1</v>
      </c>
      <c r="I68" s="53">
        <f t="shared" si="7"/>
        <v>-134462.5</v>
      </c>
      <c r="J68" s="31" t="str">
        <f t="shared" si="8"/>
        <v>Penurunan IU</v>
      </c>
      <c r="K68" s="42" t="s">
        <v>1246</v>
      </c>
      <c r="O68" s="3"/>
      <c r="V68" s="4"/>
      <c r="X68" s="3" t="s">
        <v>59</v>
      </c>
      <c r="Y68" t="s">
        <v>60</v>
      </c>
      <c r="Z68" t="s">
        <v>41</v>
      </c>
      <c r="AA68" s="10">
        <v>13</v>
      </c>
      <c r="AB68" t="s">
        <v>5</v>
      </c>
      <c r="AC68" s="10">
        <v>7696.7530999999999</v>
      </c>
      <c r="AD68" s="4">
        <v>100057.79029999999</v>
      </c>
      <c r="AF68" s="20"/>
      <c r="AG68" s="18"/>
      <c r="AH68" s="18"/>
      <c r="AI68" s="18"/>
      <c r="AJ68" s="18"/>
      <c r="AK68" s="18"/>
      <c r="AL68" s="18"/>
      <c r="AM68" s="19"/>
      <c r="AW68" s="3" t="s">
        <v>135</v>
      </c>
      <c r="AX68" t="s">
        <v>136</v>
      </c>
      <c r="AY68" t="s">
        <v>123</v>
      </c>
      <c r="AZ68" s="10">
        <v>23.8</v>
      </c>
      <c r="BA68" t="s">
        <v>5</v>
      </c>
      <c r="BB68" s="10">
        <v>5656.1605</v>
      </c>
      <c r="BC68" s="4">
        <v>134616.61989999999</v>
      </c>
    </row>
    <row r="69" spans="1:55" ht="15" thickBot="1" x14ac:dyDescent="0.4">
      <c r="A69" s="38" t="str">
        <v>OTH00018</v>
      </c>
      <c r="B69" s="31" t="str">
        <f t="shared" si="0"/>
        <v>BOTOL SPRAY 500 ML</v>
      </c>
      <c r="C69" s="31" t="str">
        <f t="shared" si="1"/>
        <v>OTHERS</v>
      </c>
      <c r="D69" s="39" t="str">
        <f t="shared" si="2"/>
        <v>pca</v>
      </c>
      <c r="E69" s="53">
        <f t="shared" si="3"/>
        <v>4697.9935999999998</v>
      </c>
      <c r="F69" s="54">
        <f t="shared" si="4"/>
        <v>1</v>
      </c>
      <c r="G69" s="54" t="str">
        <f t="shared" si="5"/>
        <v>0</v>
      </c>
      <c r="H69" s="48">
        <f t="shared" si="6"/>
        <v>-1</v>
      </c>
      <c r="I69" s="53">
        <f t="shared" si="7"/>
        <v>-4697.9935999999998</v>
      </c>
      <c r="J69" s="31" t="str">
        <f t="shared" si="8"/>
        <v>Penurunan IU</v>
      </c>
      <c r="K69" s="46" t="s">
        <v>1247</v>
      </c>
      <c r="O69" s="86" t="s">
        <v>10</v>
      </c>
      <c r="P69" s="87" t="s">
        <v>11</v>
      </c>
      <c r="Q69" t="s">
        <v>591</v>
      </c>
      <c r="V69" s="4"/>
      <c r="X69" s="3" t="s">
        <v>61</v>
      </c>
      <c r="Y69" t="s">
        <v>62</v>
      </c>
      <c r="Z69" t="s">
        <v>41</v>
      </c>
      <c r="AA69">
        <v>4</v>
      </c>
      <c r="AB69" t="s">
        <v>5</v>
      </c>
      <c r="AC69">
        <v>13935.540999999999</v>
      </c>
      <c r="AD69" s="4">
        <v>55742.163999999997</v>
      </c>
      <c r="AF69" s="20" t="s">
        <v>42</v>
      </c>
      <c r="AG69" s="18" t="s">
        <v>43</v>
      </c>
      <c r="AH69" s="18" t="s">
        <v>44</v>
      </c>
      <c r="AI69" s="18" t="s">
        <v>45</v>
      </c>
      <c r="AJ69" s="18" t="s">
        <v>46</v>
      </c>
      <c r="AK69" s="18" t="s">
        <v>47</v>
      </c>
      <c r="AL69" s="18" t="s">
        <v>48</v>
      </c>
      <c r="AM69" s="19" t="s">
        <v>49</v>
      </c>
      <c r="AW69" s="3" t="s">
        <v>137</v>
      </c>
      <c r="AX69" t="s">
        <v>138</v>
      </c>
      <c r="AY69" t="s">
        <v>123</v>
      </c>
      <c r="AZ69" s="10">
        <v>31.8</v>
      </c>
      <c r="BA69" t="s">
        <v>5</v>
      </c>
      <c r="BB69" s="10">
        <v>16035.2999</v>
      </c>
      <c r="BC69" s="4">
        <v>509922.53681999998</v>
      </c>
    </row>
    <row r="70" spans="1:55" ht="15" thickTop="1" x14ac:dyDescent="0.35">
      <c r="A70" s="38" t="str">
        <v>OTH00073</v>
      </c>
      <c r="B70" s="31" t="str">
        <f t="shared" si="0"/>
        <v>MASKER</v>
      </c>
      <c r="C70" s="31" t="str">
        <f t="shared" si="1"/>
        <v>OTHERS</v>
      </c>
      <c r="D70" s="39" t="str">
        <f t="shared" si="2"/>
        <v>pcs</v>
      </c>
      <c r="E70" s="53">
        <f t="shared" si="3"/>
        <v>2626.67</v>
      </c>
      <c r="F70" s="54">
        <f t="shared" si="4"/>
        <v>18</v>
      </c>
      <c r="G70" s="54" t="str">
        <f t="shared" si="5"/>
        <v>0</v>
      </c>
      <c r="H70" s="48">
        <f t="shared" si="6"/>
        <v>-18</v>
      </c>
      <c r="I70" s="53">
        <f t="shared" si="7"/>
        <v>-47280.06</v>
      </c>
      <c r="J70" s="31" t="str">
        <f t="shared" si="8"/>
        <v>Penurunan IU</v>
      </c>
      <c r="K70" s="42" t="s">
        <v>1248</v>
      </c>
      <c r="O70" s="86" t="s">
        <v>16</v>
      </c>
      <c r="P70" s="87" t="s">
        <v>11</v>
      </c>
      <c r="Q70" t="s">
        <v>17</v>
      </c>
      <c r="V70" s="4"/>
      <c r="X70" s="3" t="s">
        <v>39</v>
      </c>
      <c r="Y70" t="s">
        <v>40</v>
      </c>
      <c r="Z70" t="s">
        <v>41</v>
      </c>
      <c r="AA70" s="10">
        <v>4</v>
      </c>
      <c r="AB70" t="s">
        <v>20</v>
      </c>
      <c r="AC70" s="10">
        <v>7051.6414000000004</v>
      </c>
      <c r="AD70" s="4">
        <v>28206.565600000002</v>
      </c>
      <c r="AF70" s="20">
        <v>1</v>
      </c>
      <c r="AG70" s="18" t="s">
        <v>460</v>
      </c>
      <c r="AH70" s="18" t="s">
        <v>461</v>
      </c>
      <c r="AI70" s="18" t="s">
        <v>117</v>
      </c>
      <c r="AJ70" s="21">
        <v>6</v>
      </c>
      <c r="AK70" s="18" t="s">
        <v>20</v>
      </c>
      <c r="AL70" s="21">
        <v>207638.79070000001</v>
      </c>
      <c r="AM70" s="19">
        <v>1245832.7442000001</v>
      </c>
      <c r="AW70" s="3" t="s">
        <v>139</v>
      </c>
      <c r="AX70" t="s">
        <v>140</v>
      </c>
      <c r="AY70" t="s">
        <v>123</v>
      </c>
      <c r="AZ70" s="10">
        <v>11</v>
      </c>
      <c r="BA70" t="s">
        <v>5</v>
      </c>
      <c r="BB70" s="10">
        <v>42175.246400000004</v>
      </c>
      <c r="BC70" s="4">
        <v>463927.71039999998</v>
      </c>
    </row>
    <row r="71" spans="1:55" x14ac:dyDescent="0.35">
      <c r="A71" s="38" t="str">
        <v>STA00003</v>
      </c>
      <c r="B71" s="31" t="str">
        <f t="shared" ref="B71:B112" si="9">_xlfn.XLOOKUP(A71, AW$2:AW$300, AX$2:AX$300, "", 0)</f>
        <v>AMPLOP COKLAT</v>
      </c>
      <c r="C71" s="31" t="str">
        <f t="shared" ref="C71:C112" si="10">_xlfn.XLOOKUP(A71, AW$2:AW$300, AY$2:AY$300, "", 0)</f>
        <v>STATIONARY AND OFFICE SUPPLIES</v>
      </c>
      <c r="D71" s="39" t="str">
        <f t="shared" ref="D71:D112" si="11">_xlfn.XLOOKUP(A71, AW$2:AW$300, BA$2:BA$300, "", 0)</f>
        <v>pcs</v>
      </c>
      <c r="E71" s="53">
        <f t="shared" ref="E71:E112" si="12">_xlfn.XLOOKUP(A71, AW$2:AW$300, BB$2:BB$300, "", 0)</f>
        <v>340.55119999999999</v>
      </c>
      <c r="F71" s="54">
        <f t="shared" ref="F71:F112" si="13">_xlfn.XLOOKUP(A71, X$3:X$300, AA$3:AA$300, "0", 0)</f>
        <v>27</v>
      </c>
      <c r="G71" s="54" t="str">
        <f t="shared" ref="G71:G112" si="14">_xlfn.XLOOKUP(A71, AO$2:AO$300, AR$2:AR$300, "0", 0)</f>
        <v>0</v>
      </c>
      <c r="H71" s="48">
        <f t="shared" ref="H71:H112" si="15">G71-F71</f>
        <v>-27</v>
      </c>
      <c r="I71" s="53">
        <f t="shared" ref="I71:I112" si="16">H71*E71</f>
        <v>-9194.8824000000004</v>
      </c>
      <c r="J71" s="31" t="str">
        <f t="shared" ref="J71:J112" si="17">CHOOSE(SIGN(G71 - F71) + 2, "Penurunan IU", "Tidak Ada Perubahan", "Kenaikan IU")</f>
        <v>Penurunan IU</v>
      </c>
      <c r="K71" s="42" t="s">
        <v>1249</v>
      </c>
      <c r="O71" s="86" t="s">
        <v>21</v>
      </c>
      <c r="P71" s="87" t="s">
        <v>11</v>
      </c>
      <c r="Q71" t="s">
        <v>573</v>
      </c>
      <c r="V71" s="4"/>
      <c r="X71" s="3" t="s">
        <v>128</v>
      </c>
      <c r="Y71" t="s">
        <v>129</v>
      </c>
      <c r="Z71" t="s">
        <v>123</v>
      </c>
      <c r="AA71" s="10">
        <v>4</v>
      </c>
      <c r="AB71" t="s">
        <v>74</v>
      </c>
      <c r="AC71" s="10">
        <v>142067.18640000001</v>
      </c>
      <c r="AD71" s="4">
        <v>568268.74560000002</v>
      </c>
      <c r="AF71" s="20">
        <v>2</v>
      </c>
      <c r="AG71" s="18" t="s">
        <v>115</v>
      </c>
      <c r="AH71" s="18" t="s">
        <v>116</v>
      </c>
      <c r="AI71" s="18" t="s">
        <v>117</v>
      </c>
      <c r="AJ71" s="21">
        <v>1500</v>
      </c>
      <c r="AK71" s="18" t="s">
        <v>52</v>
      </c>
      <c r="AL71" s="21">
        <v>600</v>
      </c>
      <c r="AM71" s="19">
        <v>900000</v>
      </c>
      <c r="AW71" s="3" t="s">
        <v>145</v>
      </c>
      <c r="AX71" t="s">
        <v>146</v>
      </c>
      <c r="AY71" t="s">
        <v>123</v>
      </c>
      <c r="AZ71" s="10">
        <v>56</v>
      </c>
      <c r="BA71" t="s">
        <v>5</v>
      </c>
      <c r="BB71" s="10">
        <v>4604.1441000000004</v>
      </c>
      <c r="BC71" s="4">
        <v>257832.06959999999</v>
      </c>
    </row>
    <row r="72" spans="1:55" x14ac:dyDescent="0.35">
      <c r="A72" s="38" t="str">
        <v>STA00028</v>
      </c>
      <c r="B72" s="31" t="str">
        <f t="shared" si="9"/>
        <v>SOLATIP KECIL 12 MM</v>
      </c>
      <c r="C72" s="31" t="str">
        <f t="shared" si="10"/>
        <v>STATIONARY AND OFFICE SUPPLIES</v>
      </c>
      <c r="D72" s="39" t="str">
        <f t="shared" si="11"/>
        <v>roll</v>
      </c>
      <c r="E72" s="53">
        <f t="shared" si="12"/>
        <v>3009.8631999999998</v>
      </c>
      <c r="F72" s="54">
        <f t="shared" si="13"/>
        <v>2</v>
      </c>
      <c r="G72" s="54" t="str">
        <f t="shared" si="14"/>
        <v>0</v>
      </c>
      <c r="H72" s="48">
        <f t="shared" si="15"/>
        <v>-2</v>
      </c>
      <c r="I72" s="53">
        <f t="shared" si="16"/>
        <v>-6019.7263999999996</v>
      </c>
      <c r="J72" s="31" t="str">
        <f t="shared" si="17"/>
        <v>Penurunan IU</v>
      </c>
      <c r="K72" s="42" t="s">
        <v>1249</v>
      </c>
      <c r="O72" s="86" t="s">
        <v>26</v>
      </c>
      <c r="P72" s="87" t="s">
        <v>11</v>
      </c>
      <c r="Q72" t="s">
        <v>592</v>
      </c>
      <c r="V72" s="4"/>
      <c r="X72" s="3" t="s">
        <v>132</v>
      </c>
      <c r="Y72" t="s">
        <v>133</v>
      </c>
      <c r="Z72" t="s">
        <v>123</v>
      </c>
      <c r="AA72" s="10">
        <v>26</v>
      </c>
      <c r="AB72" t="s">
        <v>134</v>
      </c>
      <c r="AC72" s="10">
        <v>12999.5155</v>
      </c>
      <c r="AD72" s="4">
        <v>337987.40299999999</v>
      </c>
      <c r="AF72" s="20">
        <v>3</v>
      </c>
      <c r="AG72" s="18" t="s">
        <v>350</v>
      </c>
      <c r="AH72" s="18" t="s">
        <v>351</v>
      </c>
      <c r="AI72" s="18" t="s">
        <v>117</v>
      </c>
      <c r="AJ72" s="21">
        <v>2</v>
      </c>
      <c r="AK72" s="18" t="s">
        <v>20</v>
      </c>
      <c r="AL72" s="21">
        <v>115000</v>
      </c>
      <c r="AM72" s="19">
        <v>230000</v>
      </c>
      <c r="AW72" s="3" t="s">
        <v>147</v>
      </c>
      <c r="AX72" t="s">
        <v>148</v>
      </c>
      <c r="AY72" t="s">
        <v>123</v>
      </c>
      <c r="AZ72">
        <v>1.78</v>
      </c>
      <c r="BA72" t="s">
        <v>5</v>
      </c>
      <c r="BB72">
        <v>15047.8979</v>
      </c>
      <c r="BC72" s="4">
        <v>26785.258261999999</v>
      </c>
    </row>
    <row r="73" spans="1:55" x14ac:dyDescent="0.35">
      <c r="A73" s="38" t="str">
        <v>STA00034</v>
      </c>
      <c r="B73" s="31" t="str">
        <f t="shared" si="9"/>
        <v>LAKBAN HITAM</v>
      </c>
      <c r="C73" s="31" t="str">
        <f t="shared" si="10"/>
        <v>STATIONARY AND OFFICE SUPPLIES</v>
      </c>
      <c r="D73" s="39" t="str">
        <f t="shared" si="11"/>
        <v>pcs</v>
      </c>
      <c r="E73" s="53">
        <f t="shared" si="12"/>
        <v>12500</v>
      </c>
      <c r="F73" s="54">
        <f t="shared" si="13"/>
        <v>1</v>
      </c>
      <c r="G73" s="54" t="str">
        <f t="shared" si="14"/>
        <v>0</v>
      </c>
      <c r="H73" s="48">
        <f t="shared" si="15"/>
        <v>-1</v>
      </c>
      <c r="I73" s="53">
        <f t="shared" si="16"/>
        <v>-12500</v>
      </c>
      <c r="J73" s="31" t="str">
        <f t="shared" si="17"/>
        <v>Penurunan IU</v>
      </c>
      <c r="K73" s="42" t="s">
        <v>1249</v>
      </c>
      <c r="O73" s="86" t="s">
        <v>31</v>
      </c>
      <c r="P73" s="87" t="s">
        <v>11</v>
      </c>
      <c r="Q73" t="s">
        <v>109</v>
      </c>
      <c r="V73" s="4"/>
      <c r="X73" s="3" t="s">
        <v>141</v>
      </c>
      <c r="Y73" t="s">
        <v>142</v>
      </c>
      <c r="Z73" t="s">
        <v>123</v>
      </c>
      <c r="AA73">
        <v>2</v>
      </c>
      <c r="AB73" t="s">
        <v>5</v>
      </c>
      <c r="AC73">
        <v>39781.095500000003</v>
      </c>
      <c r="AD73" s="4">
        <v>79562.191000000006</v>
      </c>
      <c r="AF73" s="20">
        <v>4</v>
      </c>
      <c r="AG73" s="18" t="s">
        <v>576</v>
      </c>
      <c r="AH73" s="18" t="s">
        <v>577</v>
      </c>
      <c r="AI73" s="18" t="s">
        <v>120</v>
      </c>
      <c r="AJ73" s="21">
        <v>1</v>
      </c>
      <c r="AK73" s="18" t="s">
        <v>20</v>
      </c>
      <c r="AL73" s="21">
        <v>85000</v>
      </c>
      <c r="AM73" s="19">
        <v>85000</v>
      </c>
      <c r="AW73" s="3" t="s">
        <v>576</v>
      </c>
      <c r="AX73" t="s">
        <v>577</v>
      </c>
      <c r="AY73" t="s">
        <v>120</v>
      </c>
      <c r="AZ73" s="10">
        <v>2</v>
      </c>
      <c r="BA73" t="s">
        <v>20</v>
      </c>
      <c r="BB73" s="10">
        <v>85000</v>
      </c>
      <c r="BC73" s="4">
        <v>170000</v>
      </c>
    </row>
    <row r="74" spans="1:55" x14ac:dyDescent="0.35">
      <c r="A74" s="38" t="str">
        <v>STA00039</v>
      </c>
      <c r="B74" s="31" t="str">
        <f t="shared" si="9"/>
        <v>BUKU FOLIO 200 LBR</v>
      </c>
      <c r="C74" s="31" t="str">
        <f t="shared" si="10"/>
        <v>STATIONARY AND OFFICE SUPPLIES</v>
      </c>
      <c r="D74" s="39" t="str">
        <f t="shared" si="11"/>
        <v>bk</v>
      </c>
      <c r="E74" s="53">
        <f t="shared" si="12"/>
        <v>32333.333299999998</v>
      </c>
      <c r="F74" s="54">
        <f t="shared" si="13"/>
        <v>3</v>
      </c>
      <c r="G74" s="54" t="str">
        <f t="shared" si="14"/>
        <v>0</v>
      </c>
      <c r="H74" s="48">
        <f t="shared" si="15"/>
        <v>-3</v>
      </c>
      <c r="I74" s="53">
        <f t="shared" si="16"/>
        <v>-96999.999899999995</v>
      </c>
      <c r="J74" s="31" t="str">
        <f t="shared" si="17"/>
        <v>Penurunan IU</v>
      </c>
      <c r="K74" s="42" t="s">
        <v>1250</v>
      </c>
      <c r="O74" s="86" t="s">
        <v>35</v>
      </c>
      <c r="P74" s="87" t="s">
        <v>11</v>
      </c>
      <c r="Q74" t="s">
        <v>593</v>
      </c>
      <c r="V74" s="4"/>
      <c r="X74" s="3" t="s">
        <v>284</v>
      </c>
      <c r="Y74" t="s">
        <v>285</v>
      </c>
      <c r="Z74" t="s">
        <v>165</v>
      </c>
      <c r="AA74" s="10">
        <v>5</v>
      </c>
      <c r="AB74" t="s">
        <v>20</v>
      </c>
      <c r="AC74" s="10">
        <v>6905.6575182481747</v>
      </c>
      <c r="AD74" s="4">
        <v>34528.287591</v>
      </c>
      <c r="AF74" s="20">
        <v>5</v>
      </c>
      <c r="AG74" s="18" t="s">
        <v>578</v>
      </c>
      <c r="AH74" s="18" t="s">
        <v>579</v>
      </c>
      <c r="AI74" s="18" t="s">
        <v>120</v>
      </c>
      <c r="AJ74" s="21">
        <v>1</v>
      </c>
      <c r="AK74" s="18" t="s">
        <v>20</v>
      </c>
      <c r="AL74" s="21">
        <v>85000</v>
      </c>
      <c r="AM74" s="19">
        <v>85000</v>
      </c>
      <c r="AW74" s="3" t="s">
        <v>578</v>
      </c>
      <c r="AX74" t="s">
        <v>579</v>
      </c>
      <c r="AY74" t="s">
        <v>120</v>
      </c>
      <c r="AZ74" s="10">
        <v>2</v>
      </c>
      <c r="BA74" t="s">
        <v>20</v>
      </c>
      <c r="BB74" s="10">
        <v>85000</v>
      </c>
      <c r="BC74" s="4">
        <v>170000</v>
      </c>
    </row>
    <row r="75" spans="1:55" x14ac:dyDescent="0.35">
      <c r="A75" s="38" t="str">
        <v>STA00040</v>
      </c>
      <c r="B75" s="31" t="str">
        <f t="shared" si="9"/>
        <v>BUKU TULIS HARDCOVER</v>
      </c>
      <c r="C75" s="31" t="str">
        <f t="shared" si="10"/>
        <v>STATIONARY AND OFFICE SUPPLIES</v>
      </c>
      <c r="D75" s="39" t="str">
        <f t="shared" si="11"/>
        <v>bk</v>
      </c>
      <c r="E75" s="53">
        <f t="shared" si="12"/>
        <v>8500</v>
      </c>
      <c r="F75" s="54">
        <f t="shared" si="13"/>
        <v>2</v>
      </c>
      <c r="G75" s="54" t="str">
        <f t="shared" si="14"/>
        <v>0</v>
      </c>
      <c r="H75" s="48">
        <f t="shared" si="15"/>
        <v>-2</v>
      </c>
      <c r="I75" s="53">
        <f t="shared" si="16"/>
        <v>-17000</v>
      </c>
      <c r="J75" s="31" t="str">
        <f t="shared" si="17"/>
        <v>Penurunan IU</v>
      </c>
      <c r="K75" s="42" t="s">
        <v>1250</v>
      </c>
      <c r="O75" s="3"/>
      <c r="V75" s="4"/>
      <c r="X75" s="3" t="s">
        <v>166</v>
      </c>
      <c r="Y75" t="s">
        <v>167</v>
      </c>
      <c r="Z75" t="s">
        <v>165</v>
      </c>
      <c r="AA75" s="10">
        <v>1</v>
      </c>
      <c r="AB75" t="s">
        <v>20</v>
      </c>
      <c r="AC75" s="10">
        <v>25521.195652165428</v>
      </c>
      <c r="AD75" s="4">
        <v>25521.195651999999</v>
      </c>
      <c r="AF75" s="20">
        <v>6</v>
      </c>
      <c r="AG75" s="18" t="s">
        <v>121</v>
      </c>
      <c r="AH75" s="18" t="s">
        <v>122</v>
      </c>
      <c r="AI75" s="18" t="s">
        <v>123</v>
      </c>
      <c r="AJ75" s="21">
        <v>2</v>
      </c>
      <c r="AK75" s="18" t="s">
        <v>5</v>
      </c>
      <c r="AL75" s="21">
        <v>5829.8370000000004</v>
      </c>
      <c r="AM75" s="19">
        <v>11659.674000000001</v>
      </c>
      <c r="AW75" s="3" t="s">
        <v>414</v>
      </c>
      <c r="AX75" t="s">
        <v>415</v>
      </c>
      <c r="AY75" t="s">
        <v>120</v>
      </c>
      <c r="AZ75" s="10">
        <v>3</v>
      </c>
      <c r="BA75" t="s">
        <v>20</v>
      </c>
      <c r="BB75" s="10">
        <v>97500</v>
      </c>
      <c r="BC75" s="4">
        <v>292500</v>
      </c>
    </row>
    <row r="76" spans="1:55" x14ac:dyDescent="0.35">
      <c r="A76" s="38" t="str">
        <v>STA00041</v>
      </c>
      <c r="B76" s="31" t="str">
        <f t="shared" si="9"/>
        <v>STAPLER</v>
      </c>
      <c r="C76" s="31" t="str">
        <f t="shared" si="10"/>
        <v>STATIONARY AND OFFICE SUPPLIES</v>
      </c>
      <c r="D76" s="39" t="str">
        <f t="shared" si="11"/>
        <v>pcs</v>
      </c>
      <c r="E76" s="53">
        <f t="shared" si="12"/>
        <v>9473.4182000000001</v>
      </c>
      <c r="F76" s="54">
        <f t="shared" si="13"/>
        <v>2</v>
      </c>
      <c r="G76" s="54" t="str">
        <f t="shared" si="14"/>
        <v>0</v>
      </c>
      <c r="H76" s="48">
        <f t="shared" si="15"/>
        <v>-2</v>
      </c>
      <c r="I76" s="53">
        <f t="shared" si="16"/>
        <v>-18946.8364</v>
      </c>
      <c r="J76" s="31" t="str">
        <f t="shared" si="17"/>
        <v>Penurunan IU</v>
      </c>
      <c r="K76" s="42" t="s">
        <v>1247</v>
      </c>
      <c r="O76" s="3" t="s">
        <v>42</v>
      </c>
      <c r="P76" t="s">
        <v>43</v>
      </c>
      <c r="Q76" t="s">
        <v>44</v>
      </c>
      <c r="R76" t="s">
        <v>45</v>
      </c>
      <c r="S76" t="s">
        <v>46</v>
      </c>
      <c r="T76" t="s">
        <v>47</v>
      </c>
      <c r="U76" t="s">
        <v>48</v>
      </c>
      <c r="V76" s="4" t="s">
        <v>49</v>
      </c>
      <c r="X76" s="3" t="s">
        <v>168</v>
      </c>
      <c r="Y76" t="s">
        <v>169</v>
      </c>
      <c r="Z76" t="s">
        <v>165</v>
      </c>
      <c r="AA76" s="10">
        <v>10</v>
      </c>
      <c r="AB76" t="s">
        <v>20</v>
      </c>
      <c r="AC76" s="10">
        <v>35200.996200000001</v>
      </c>
      <c r="AD76" s="4">
        <v>352009.962</v>
      </c>
      <c r="AF76" s="20">
        <v>7</v>
      </c>
      <c r="AG76" s="18" t="s">
        <v>124</v>
      </c>
      <c r="AH76" s="18" t="s">
        <v>125</v>
      </c>
      <c r="AI76" s="18" t="s">
        <v>123</v>
      </c>
      <c r="AJ76" s="21">
        <v>6</v>
      </c>
      <c r="AK76" s="18" t="s">
        <v>5</v>
      </c>
      <c r="AL76" s="21">
        <v>5403.2861999999996</v>
      </c>
      <c r="AM76" s="19">
        <v>32419.717199999999</v>
      </c>
      <c r="AW76" s="3" t="s">
        <v>118</v>
      </c>
      <c r="AX76" t="s">
        <v>119</v>
      </c>
      <c r="AY76" t="s">
        <v>120</v>
      </c>
      <c r="AZ76" s="10">
        <v>3</v>
      </c>
      <c r="BA76" t="s">
        <v>20</v>
      </c>
      <c r="BB76" s="10">
        <v>14700</v>
      </c>
      <c r="BC76" s="4">
        <v>44100</v>
      </c>
    </row>
    <row r="77" spans="1:55" x14ac:dyDescent="0.35">
      <c r="A77" s="38" t="str">
        <v>STA00049</v>
      </c>
      <c r="B77" s="31" t="str">
        <f t="shared" si="9"/>
        <v>TAPE DISPENSER</v>
      </c>
      <c r="C77" s="31" t="str">
        <f t="shared" si="10"/>
        <v>STATIONARY AND OFFICE SUPPLIES</v>
      </c>
      <c r="D77" s="39" t="str">
        <f t="shared" si="11"/>
        <v>pcs</v>
      </c>
      <c r="E77" s="53">
        <f t="shared" si="12"/>
        <v>22500</v>
      </c>
      <c r="F77" s="54">
        <f t="shared" si="13"/>
        <v>1</v>
      </c>
      <c r="G77" s="54" t="str">
        <f t="shared" si="14"/>
        <v>0</v>
      </c>
      <c r="H77" s="48">
        <f t="shared" si="15"/>
        <v>-1</v>
      </c>
      <c r="I77" s="53">
        <f t="shared" si="16"/>
        <v>-22500</v>
      </c>
      <c r="J77" s="31" t="str">
        <f t="shared" si="17"/>
        <v>Penurunan IU</v>
      </c>
      <c r="K77" s="42" t="s">
        <v>1247</v>
      </c>
      <c r="O77" s="3">
        <v>1</v>
      </c>
      <c r="P77" t="s">
        <v>65</v>
      </c>
      <c r="Q77" t="s">
        <v>66</v>
      </c>
      <c r="R77" t="s">
        <v>67</v>
      </c>
      <c r="S77" s="10">
        <v>27</v>
      </c>
      <c r="T77" t="s">
        <v>20</v>
      </c>
      <c r="U77" s="10">
        <v>340.55119999999999</v>
      </c>
      <c r="V77" s="4">
        <v>9194.8824000000004</v>
      </c>
      <c r="X77" s="3" t="s">
        <v>286</v>
      </c>
      <c r="Y77" t="s">
        <v>287</v>
      </c>
      <c r="Z77" t="s">
        <v>165</v>
      </c>
      <c r="AA77" s="10">
        <v>1</v>
      </c>
      <c r="AB77" t="s">
        <v>20</v>
      </c>
      <c r="AC77" s="10">
        <v>42468.75</v>
      </c>
      <c r="AD77" s="4">
        <v>42468.75</v>
      </c>
      <c r="AF77" s="20">
        <v>8</v>
      </c>
      <c r="AG77" s="18" t="s">
        <v>126</v>
      </c>
      <c r="AH77" s="18" t="s">
        <v>127</v>
      </c>
      <c r="AI77" s="18" t="s">
        <v>123</v>
      </c>
      <c r="AJ77" s="21">
        <v>18</v>
      </c>
      <c r="AK77" s="18" t="s">
        <v>5</v>
      </c>
      <c r="AL77" s="21">
        <v>6855.9902000000002</v>
      </c>
      <c r="AM77" s="19">
        <v>123407.8236</v>
      </c>
      <c r="AW77" s="3" t="s">
        <v>580</v>
      </c>
      <c r="AX77" t="s">
        <v>581</v>
      </c>
      <c r="AY77" t="s">
        <v>151</v>
      </c>
      <c r="AZ77" s="10">
        <v>1</v>
      </c>
      <c r="BA77" t="s">
        <v>20</v>
      </c>
      <c r="BB77" s="10">
        <v>134462.5</v>
      </c>
      <c r="BC77" s="4">
        <v>134462.5</v>
      </c>
    </row>
    <row r="78" spans="1:55" x14ac:dyDescent="0.35">
      <c r="A78" s="38" t="str">
        <v>STA00057</v>
      </c>
      <c r="B78" s="31" t="str">
        <f t="shared" si="9"/>
        <v>ISI STAPLER</v>
      </c>
      <c r="C78" s="31" t="str">
        <f t="shared" si="10"/>
        <v>STATIONARY AND OFFICE SUPPLIES</v>
      </c>
      <c r="D78" s="39" t="str">
        <f t="shared" si="11"/>
        <v>pack</v>
      </c>
      <c r="E78" s="53">
        <f t="shared" si="12"/>
        <v>1400</v>
      </c>
      <c r="F78" s="54">
        <f t="shared" si="13"/>
        <v>6</v>
      </c>
      <c r="G78" s="54" t="str">
        <f t="shared" si="14"/>
        <v>0</v>
      </c>
      <c r="H78" s="48">
        <f t="shared" si="15"/>
        <v>-6</v>
      </c>
      <c r="I78" s="53">
        <f t="shared" si="16"/>
        <v>-8400</v>
      </c>
      <c r="J78" s="31" t="str">
        <f t="shared" si="17"/>
        <v>Penurunan IU</v>
      </c>
      <c r="K78" s="42" t="s">
        <v>1251</v>
      </c>
      <c r="O78" s="3">
        <v>2</v>
      </c>
      <c r="P78" t="s">
        <v>388</v>
      </c>
      <c r="Q78" t="s">
        <v>389</v>
      </c>
      <c r="R78" t="s">
        <v>67</v>
      </c>
      <c r="S78" s="10">
        <v>10</v>
      </c>
      <c r="T78" t="s">
        <v>20</v>
      </c>
      <c r="U78" s="10">
        <v>2639</v>
      </c>
      <c r="V78" s="4">
        <v>26390</v>
      </c>
      <c r="X78" s="3" t="s">
        <v>375</v>
      </c>
      <c r="Y78" t="s">
        <v>376</v>
      </c>
      <c r="Z78" t="s">
        <v>165</v>
      </c>
      <c r="AA78" s="10">
        <v>4</v>
      </c>
      <c r="AB78" t="s">
        <v>20</v>
      </c>
      <c r="AC78" s="10">
        <v>13671.6667</v>
      </c>
      <c r="AD78" s="4">
        <v>54686.666799999999</v>
      </c>
      <c r="AF78" s="20">
        <v>9</v>
      </c>
      <c r="AG78" s="18" t="s">
        <v>128</v>
      </c>
      <c r="AH78" s="18" t="s">
        <v>129</v>
      </c>
      <c r="AI78" s="18" t="s">
        <v>123</v>
      </c>
      <c r="AJ78" s="21">
        <v>3</v>
      </c>
      <c r="AK78" s="18" t="s">
        <v>74</v>
      </c>
      <c r="AL78" s="21">
        <v>142073.9621</v>
      </c>
      <c r="AM78" s="19">
        <v>426221.88630000001</v>
      </c>
      <c r="AW78" s="3" t="s">
        <v>418</v>
      </c>
      <c r="AX78" t="s">
        <v>419</v>
      </c>
      <c r="AY78" t="s">
        <v>151</v>
      </c>
      <c r="AZ78" s="10">
        <v>1</v>
      </c>
      <c r="BA78" t="s">
        <v>420</v>
      </c>
      <c r="BB78" s="10">
        <v>4697.9935999999998</v>
      </c>
      <c r="BC78" s="4">
        <v>4697.9935999999998</v>
      </c>
    </row>
    <row r="79" spans="1:55" x14ac:dyDescent="0.35">
      <c r="A79" s="38" t="str">
        <v>STA00073</v>
      </c>
      <c r="B79" s="31" t="str">
        <f t="shared" si="9"/>
        <v>PAPER CLIP NO.3</v>
      </c>
      <c r="C79" s="31" t="str">
        <f t="shared" si="10"/>
        <v>STATIONARY AND OFFICE SUPPLIES</v>
      </c>
      <c r="D79" s="39" t="str">
        <f t="shared" si="11"/>
        <v>pack</v>
      </c>
      <c r="E79" s="53">
        <f t="shared" si="12"/>
        <v>1781.4286</v>
      </c>
      <c r="F79" s="54">
        <f t="shared" si="13"/>
        <v>1</v>
      </c>
      <c r="G79" s="54" t="str">
        <f t="shared" si="14"/>
        <v>0</v>
      </c>
      <c r="H79" s="48">
        <f t="shared" si="15"/>
        <v>-1</v>
      </c>
      <c r="I79" s="53">
        <f t="shared" si="16"/>
        <v>-1781.4286</v>
      </c>
      <c r="J79" s="31" t="str">
        <f t="shared" si="17"/>
        <v>Penurunan IU</v>
      </c>
      <c r="K79" s="42" t="s">
        <v>1252</v>
      </c>
      <c r="O79" s="3">
        <v>3</v>
      </c>
      <c r="P79" t="s">
        <v>72</v>
      </c>
      <c r="Q79" t="s">
        <v>73</v>
      </c>
      <c r="R79" t="s">
        <v>67</v>
      </c>
      <c r="S79" s="10">
        <v>2</v>
      </c>
      <c r="T79" t="s">
        <v>74</v>
      </c>
      <c r="U79" s="10">
        <v>3009.8631999999998</v>
      </c>
      <c r="V79" s="4">
        <v>6019.7263999999996</v>
      </c>
      <c r="X79" s="3" t="s">
        <v>288</v>
      </c>
      <c r="Y79" t="s">
        <v>289</v>
      </c>
      <c r="Z79" t="s">
        <v>165</v>
      </c>
      <c r="AA79" s="10">
        <v>1</v>
      </c>
      <c r="AB79" t="s">
        <v>20</v>
      </c>
      <c r="AC79" s="10">
        <v>34614.1777</v>
      </c>
      <c r="AD79" s="4">
        <v>34614.1777</v>
      </c>
      <c r="AF79" s="20">
        <v>10</v>
      </c>
      <c r="AG79" s="18" t="s">
        <v>130</v>
      </c>
      <c r="AH79" s="18" t="s">
        <v>131</v>
      </c>
      <c r="AI79" s="18" t="s">
        <v>123</v>
      </c>
      <c r="AJ79" s="21">
        <v>37</v>
      </c>
      <c r="AK79" s="18" t="s">
        <v>5</v>
      </c>
      <c r="AL79" s="21">
        <v>6354.0349999999999</v>
      </c>
      <c r="AM79" s="19">
        <v>235099.29500000001</v>
      </c>
      <c r="AW79" s="3" t="s">
        <v>265</v>
      </c>
      <c r="AX79" t="s">
        <v>266</v>
      </c>
      <c r="AY79" t="s">
        <v>151</v>
      </c>
      <c r="AZ79" s="10">
        <v>6</v>
      </c>
      <c r="BA79" t="s">
        <v>267</v>
      </c>
      <c r="BB79" s="10">
        <v>34511.794399999999</v>
      </c>
      <c r="BC79" s="4">
        <v>207070.76639999999</v>
      </c>
    </row>
    <row r="80" spans="1:55" x14ac:dyDescent="0.35">
      <c r="A80" s="38" t="str">
        <v>STA00074</v>
      </c>
      <c r="B80" s="31" t="str">
        <f t="shared" si="9"/>
        <v>LABEL/STICKER TOM &amp; JERRY 103</v>
      </c>
      <c r="C80" s="31" t="str">
        <f t="shared" si="10"/>
        <v>STATIONARY AND OFFICE SUPPLIES</v>
      </c>
      <c r="D80" s="39" t="str">
        <f t="shared" si="11"/>
        <v>pack</v>
      </c>
      <c r="E80" s="53">
        <f t="shared" si="12"/>
        <v>6250</v>
      </c>
      <c r="F80" s="54">
        <f t="shared" si="13"/>
        <v>4</v>
      </c>
      <c r="G80" s="54" t="str">
        <f t="shared" si="14"/>
        <v>0</v>
      </c>
      <c r="H80" s="48">
        <f t="shared" si="15"/>
        <v>-4</v>
      </c>
      <c r="I80" s="53">
        <f t="shared" si="16"/>
        <v>-25000</v>
      </c>
      <c r="J80" s="31" t="str">
        <f t="shared" si="17"/>
        <v>Penurunan IU</v>
      </c>
      <c r="K80" s="42" t="s">
        <v>1253</v>
      </c>
      <c r="O80" s="3">
        <v>4</v>
      </c>
      <c r="P80" t="s">
        <v>75</v>
      </c>
      <c r="Q80" t="s">
        <v>76</v>
      </c>
      <c r="R80" t="s">
        <v>67</v>
      </c>
      <c r="S80" s="10">
        <v>3</v>
      </c>
      <c r="T80" t="s">
        <v>74</v>
      </c>
      <c r="U80" s="10">
        <v>6150</v>
      </c>
      <c r="V80" s="4">
        <v>18450</v>
      </c>
      <c r="X80" s="3" t="s">
        <v>173</v>
      </c>
      <c r="Y80" t="s">
        <v>174</v>
      </c>
      <c r="Z80" t="s">
        <v>165</v>
      </c>
      <c r="AA80" s="10">
        <v>13</v>
      </c>
      <c r="AB80" t="s">
        <v>20</v>
      </c>
      <c r="AC80" s="10">
        <v>16895.117300000002</v>
      </c>
      <c r="AD80" s="4">
        <v>219636.52489999999</v>
      </c>
      <c r="AF80" s="20">
        <v>11</v>
      </c>
      <c r="AG80" s="18" t="s">
        <v>132</v>
      </c>
      <c r="AH80" s="18" t="s">
        <v>133</v>
      </c>
      <c r="AI80" s="18" t="s">
        <v>123</v>
      </c>
      <c r="AJ80" s="21">
        <v>24</v>
      </c>
      <c r="AK80" s="18" t="s">
        <v>134</v>
      </c>
      <c r="AL80" s="21">
        <v>12999.515500000001</v>
      </c>
      <c r="AM80" s="19">
        <v>311988.37199999997</v>
      </c>
      <c r="AW80" s="3" t="s">
        <v>154</v>
      </c>
      <c r="AX80" t="s">
        <v>155</v>
      </c>
      <c r="AY80" t="s">
        <v>151</v>
      </c>
      <c r="AZ80" s="10">
        <v>90</v>
      </c>
      <c r="BA80" t="s">
        <v>20</v>
      </c>
      <c r="BB80" s="10">
        <v>998.3442</v>
      </c>
      <c r="BC80" s="4">
        <v>89850.978000000003</v>
      </c>
    </row>
    <row r="81" spans="1:55" x14ac:dyDescent="0.35">
      <c r="A81" s="38" t="str">
        <v>STA00091</v>
      </c>
      <c r="B81" s="31" t="str">
        <f t="shared" si="9"/>
        <v>BUKU LOG FOLIO BERGARIS</v>
      </c>
      <c r="C81" s="31" t="str">
        <f t="shared" si="10"/>
        <v>STATIONARY AND OFFICE SUPPLIES</v>
      </c>
      <c r="D81" s="39" t="str">
        <f t="shared" si="11"/>
        <v>buku</v>
      </c>
      <c r="E81" s="53">
        <f t="shared" si="12"/>
        <v>18000</v>
      </c>
      <c r="F81" s="54">
        <f t="shared" si="13"/>
        <v>3</v>
      </c>
      <c r="G81" s="54" t="str">
        <f t="shared" si="14"/>
        <v>0</v>
      </c>
      <c r="H81" s="48">
        <f t="shared" si="15"/>
        <v>-3</v>
      </c>
      <c r="I81" s="53">
        <f t="shared" si="16"/>
        <v>-54000</v>
      </c>
      <c r="J81" s="31" t="str">
        <f t="shared" si="17"/>
        <v>Penurunan IU</v>
      </c>
      <c r="K81" s="42" t="s">
        <v>1250</v>
      </c>
      <c r="O81" s="3">
        <v>5</v>
      </c>
      <c r="P81" t="s">
        <v>79</v>
      </c>
      <c r="Q81" t="s">
        <v>80</v>
      </c>
      <c r="R81" t="s">
        <v>67</v>
      </c>
      <c r="S81" s="10">
        <v>1</v>
      </c>
      <c r="T81" t="s">
        <v>20</v>
      </c>
      <c r="U81" s="10">
        <v>15000</v>
      </c>
      <c r="V81" s="4">
        <v>15000</v>
      </c>
      <c r="X81" s="3" t="s">
        <v>176</v>
      </c>
      <c r="Y81" t="s">
        <v>177</v>
      </c>
      <c r="Z81" t="s">
        <v>165</v>
      </c>
      <c r="AA81" s="10">
        <v>2</v>
      </c>
      <c r="AB81" t="s">
        <v>20</v>
      </c>
      <c r="AC81" s="10">
        <v>11898.313376621481</v>
      </c>
      <c r="AD81" s="4">
        <v>23796.626753</v>
      </c>
      <c r="AF81" s="20">
        <v>12</v>
      </c>
      <c r="AG81" s="18" t="s">
        <v>135</v>
      </c>
      <c r="AH81" s="18" t="s">
        <v>136</v>
      </c>
      <c r="AI81" s="18" t="s">
        <v>123</v>
      </c>
      <c r="AJ81" s="21">
        <v>18</v>
      </c>
      <c r="AK81" s="18" t="s">
        <v>5</v>
      </c>
      <c r="AL81" s="21">
        <v>5723.5763999999999</v>
      </c>
      <c r="AM81" s="19">
        <v>103024.37519999999</v>
      </c>
      <c r="AW81" s="3" t="s">
        <v>156</v>
      </c>
      <c r="AX81" t="s">
        <v>157</v>
      </c>
      <c r="AY81" t="s">
        <v>151</v>
      </c>
      <c r="AZ81" s="10">
        <v>18</v>
      </c>
      <c r="BA81" t="s">
        <v>20</v>
      </c>
      <c r="BB81" s="10">
        <v>2626.67</v>
      </c>
      <c r="BC81" s="4">
        <v>47280.06</v>
      </c>
    </row>
    <row r="82" spans="1:55" x14ac:dyDescent="0.35">
      <c r="A82" s="38" t="str">
        <v>STA00094</v>
      </c>
      <c r="B82" s="31" t="str">
        <f t="shared" si="9"/>
        <v>OBAT PROMAG</v>
      </c>
      <c r="C82" s="31" t="str">
        <f t="shared" si="10"/>
        <v>STATIONARY AND OFFICE SUPPLIES</v>
      </c>
      <c r="D82" s="39" t="str">
        <f t="shared" si="11"/>
        <v>str</v>
      </c>
      <c r="E82" s="53">
        <f t="shared" si="12"/>
        <v>8183.3333000000011</v>
      </c>
      <c r="F82" s="54">
        <f t="shared" si="13"/>
        <v>1</v>
      </c>
      <c r="G82" s="54" t="str">
        <f t="shared" si="14"/>
        <v>0</v>
      </c>
      <c r="H82" s="48">
        <f t="shared" si="15"/>
        <v>-1</v>
      </c>
      <c r="I82" s="53">
        <f t="shared" si="16"/>
        <v>-8183.3333000000011</v>
      </c>
      <c r="J82" s="31" t="str">
        <f t="shared" si="17"/>
        <v>Penurunan IU</v>
      </c>
      <c r="K82" s="42" t="s">
        <v>1254</v>
      </c>
      <c r="O82" s="3">
        <v>6</v>
      </c>
      <c r="P82" t="s">
        <v>393</v>
      </c>
      <c r="Q82" t="s">
        <v>394</v>
      </c>
      <c r="R82" t="s">
        <v>67</v>
      </c>
      <c r="S82" s="10">
        <v>1</v>
      </c>
      <c r="T82" t="s">
        <v>20</v>
      </c>
      <c r="U82" s="10">
        <v>12500</v>
      </c>
      <c r="V82" s="4">
        <v>12500</v>
      </c>
      <c r="X82" s="3" t="s">
        <v>290</v>
      </c>
      <c r="Y82" t="s">
        <v>291</v>
      </c>
      <c r="Z82" t="s">
        <v>165</v>
      </c>
      <c r="AA82" s="10">
        <v>4</v>
      </c>
      <c r="AB82" t="s">
        <v>20</v>
      </c>
      <c r="AC82" s="10">
        <v>14903.923076919231</v>
      </c>
      <c r="AD82" s="4">
        <v>59615.692307999998</v>
      </c>
      <c r="AF82" s="20">
        <v>13</v>
      </c>
      <c r="AG82" s="18" t="s">
        <v>137</v>
      </c>
      <c r="AH82" s="18" t="s">
        <v>138</v>
      </c>
      <c r="AI82" s="18" t="s">
        <v>123</v>
      </c>
      <c r="AJ82" s="21">
        <v>25</v>
      </c>
      <c r="AK82" s="18" t="s">
        <v>5</v>
      </c>
      <c r="AL82" s="21">
        <v>16085.6471</v>
      </c>
      <c r="AM82" s="19">
        <v>402141.17749999999</v>
      </c>
      <c r="AW82" s="3" t="s">
        <v>272</v>
      </c>
      <c r="AX82" t="s">
        <v>273</v>
      </c>
      <c r="AY82" t="s">
        <v>151</v>
      </c>
      <c r="AZ82">
        <v>1.8</v>
      </c>
      <c r="BA82" t="s">
        <v>5</v>
      </c>
      <c r="BB82">
        <v>3760</v>
      </c>
      <c r="BC82" s="4">
        <v>6768</v>
      </c>
    </row>
    <row r="83" spans="1:55" x14ac:dyDescent="0.35">
      <c r="A83" s="38" t="str">
        <v>STA00099</v>
      </c>
      <c r="B83" s="31" t="str">
        <f t="shared" si="9"/>
        <v>BUSINESS FILE</v>
      </c>
      <c r="C83" s="31" t="str">
        <f t="shared" si="10"/>
        <v>STATIONARY AND OFFICE SUPPLIES</v>
      </c>
      <c r="D83" s="39" t="str">
        <f t="shared" si="11"/>
        <v>pcs</v>
      </c>
      <c r="E83" s="53">
        <f t="shared" si="12"/>
        <v>3485.0962</v>
      </c>
      <c r="F83" s="54">
        <f t="shared" si="13"/>
        <v>6</v>
      </c>
      <c r="G83" s="54" t="str">
        <f t="shared" si="14"/>
        <v>0</v>
      </c>
      <c r="H83" s="48">
        <f t="shared" si="15"/>
        <v>-6</v>
      </c>
      <c r="I83" s="53">
        <f t="shared" si="16"/>
        <v>-20910.5772</v>
      </c>
      <c r="J83" s="31" t="str">
        <f t="shared" si="17"/>
        <v>Penurunan IU</v>
      </c>
      <c r="K83" s="42" t="s">
        <v>1254</v>
      </c>
      <c r="O83" s="3">
        <v>7</v>
      </c>
      <c r="P83" t="s">
        <v>512</v>
      </c>
      <c r="Q83" t="s">
        <v>513</v>
      </c>
      <c r="R83" t="s">
        <v>67</v>
      </c>
      <c r="S83" s="10">
        <v>3</v>
      </c>
      <c r="T83" t="s">
        <v>486</v>
      </c>
      <c r="U83" s="10">
        <v>32333.333299999998</v>
      </c>
      <c r="V83" s="4">
        <v>96999.999899999995</v>
      </c>
      <c r="X83" s="3" t="s">
        <v>431</v>
      </c>
      <c r="Y83" t="s">
        <v>432</v>
      </c>
      <c r="Z83" t="s">
        <v>165</v>
      </c>
      <c r="AA83" s="10">
        <v>2</v>
      </c>
      <c r="AB83" t="s">
        <v>20</v>
      </c>
      <c r="AC83" s="10">
        <v>27935.294099999999</v>
      </c>
      <c r="AD83" s="4">
        <v>55870.588199999998</v>
      </c>
      <c r="AF83" s="20">
        <v>14</v>
      </c>
      <c r="AG83" s="18" t="s">
        <v>139</v>
      </c>
      <c r="AH83" s="18" t="s">
        <v>140</v>
      </c>
      <c r="AI83" s="18" t="s">
        <v>123</v>
      </c>
      <c r="AJ83" s="21">
        <v>4</v>
      </c>
      <c r="AK83" s="18" t="s">
        <v>5</v>
      </c>
      <c r="AL83" s="21">
        <v>42963.8554</v>
      </c>
      <c r="AM83" s="19">
        <v>171855.4216</v>
      </c>
      <c r="AW83" s="3" t="s">
        <v>65</v>
      </c>
      <c r="AX83" t="s">
        <v>66</v>
      </c>
      <c r="AY83" t="s">
        <v>67</v>
      </c>
      <c r="AZ83" s="10">
        <v>27</v>
      </c>
      <c r="BA83" t="s">
        <v>20</v>
      </c>
      <c r="BB83" s="10">
        <v>340.55119999999999</v>
      </c>
      <c r="BC83" s="4">
        <v>9194.8824000000004</v>
      </c>
    </row>
    <row r="84" spans="1:55" x14ac:dyDescent="0.35">
      <c r="A84" s="38" t="str">
        <v>STA00140</v>
      </c>
      <c r="B84" s="31" t="str">
        <f t="shared" si="9"/>
        <v>LABEL/STICKER TOM &amp; JERRY 121</v>
      </c>
      <c r="C84" s="31" t="str">
        <f t="shared" si="10"/>
        <v>STATIONARY AND OFFICE SUPPLIES</v>
      </c>
      <c r="D84" s="39" t="str">
        <f t="shared" si="11"/>
        <v>pack</v>
      </c>
      <c r="E84" s="53">
        <f t="shared" si="12"/>
        <v>6250</v>
      </c>
      <c r="F84" s="54">
        <f t="shared" si="13"/>
        <v>1</v>
      </c>
      <c r="G84" s="54" t="str">
        <f t="shared" si="14"/>
        <v>0</v>
      </c>
      <c r="H84" s="48">
        <f t="shared" si="15"/>
        <v>-1</v>
      </c>
      <c r="I84" s="53">
        <f t="shared" si="16"/>
        <v>-6250</v>
      </c>
      <c r="J84" s="31" t="str">
        <f t="shared" si="17"/>
        <v>Penurunan IU</v>
      </c>
      <c r="K84" s="42" t="s">
        <v>1253</v>
      </c>
      <c r="O84" s="3">
        <v>8</v>
      </c>
      <c r="P84" t="s">
        <v>484</v>
      </c>
      <c r="Q84" t="s">
        <v>485</v>
      </c>
      <c r="R84" t="s">
        <v>67</v>
      </c>
      <c r="S84" s="10">
        <v>2</v>
      </c>
      <c r="T84" t="s">
        <v>486</v>
      </c>
      <c r="U84" s="10">
        <v>8500</v>
      </c>
      <c r="V84" s="4">
        <v>17000</v>
      </c>
      <c r="X84" s="3" t="s">
        <v>536</v>
      </c>
      <c r="Y84" t="s">
        <v>537</v>
      </c>
      <c r="Z84" t="s">
        <v>165</v>
      </c>
      <c r="AA84" s="10">
        <v>1</v>
      </c>
      <c r="AB84" t="s">
        <v>20</v>
      </c>
      <c r="AC84" s="10">
        <v>56413</v>
      </c>
      <c r="AD84" s="4">
        <v>56413</v>
      </c>
      <c r="AF84" s="20">
        <v>15</v>
      </c>
      <c r="AG84" s="18" t="s">
        <v>141</v>
      </c>
      <c r="AH84" s="18" t="s">
        <v>142</v>
      </c>
      <c r="AI84" s="18" t="s">
        <v>123</v>
      </c>
      <c r="AJ84" s="21">
        <v>5</v>
      </c>
      <c r="AK84" s="18" t="s">
        <v>5</v>
      </c>
      <c r="AL84" s="21">
        <v>40791.065900000001</v>
      </c>
      <c r="AM84" s="19">
        <v>203955.32949999999</v>
      </c>
      <c r="AW84" s="3" t="s">
        <v>388</v>
      </c>
      <c r="AX84" t="s">
        <v>389</v>
      </c>
      <c r="AY84" t="s">
        <v>67</v>
      </c>
      <c r="AZ84" s="10">
        <v>10</v>
      </c>
      <c r="BA84" t="s">
        <v>20</v>
      </c>
      <c r="BB84" s="10">
        <v>2639</v>
      </c>
      <c r="BC84" s="4">
        <v>26390</v>
      </c>
    </row>
    <row r="85" spans="1:55" x14ac:dyDescent="0.35">
      <c r="A85" s="38" t="str">
        <v>STA00170</v>
      </c>
      <c r="B85" s="31" t="str">
        <f t="shared" si="9"/>
        <v>STICKER BUKU MENU</v>
      </c>
      <c r="C85" s="31" t="str">
        <f t="shared" si="10"/>
        <v>STATIONARY AND OFFICE SUPPLIES</v>
      </c>
      <c r="D85" s="39" t="str">
        <f t="shared" si="11"/>
        <v>pcs</v>
      </c>
      <c r="E85" s="53">
        <f t="shared" si="12"/>
        <v>3578.68</v>
      </c>
      <c r="F85" s="54">
        <f t="shared" si="13"/>
        <v>7.5</v>
      </c>
      <c r="G85" s="54" t="str">
        <f t="shared" si="14"/>
        <v>0</v>
      </c>
      <c r="H85" s="48">
        <f t="shared" si="15"/>
        <v>-7.5</v>
      </c>
      <c r="I85" s="53">
        <f t="shared" si="16"/>
        <v>-26840.1</v>
      </c>
      <c r="J85" s="31" t="str">
        <f t="shared" si="17"/>
        <v>Penurunan IU</v>
      </c>
      <c r="K85" s="42" t="s">
        <v>1255</v>
      </c>
      <c r="O85" s="3">
        <v>9</v>
      </c>
      <c r="P85" t="s">
        <v>81</v>
      </c>
      <c r="Q85" t="s">
        <v>82</v>
      </c>
      <c r="R85" t="s">
        <v>67</v>
      </c>
      <c r="S85" s="10">
        <v>2</v>
      </c>
      <c r="T85" t="s">
        <v>20</v>
      </c>
      <c r="U85" s="10">
        <v>9473.4182000000001</v>
      </c>
      <c r="V85" s="4">
        <v>18946.8364</v>
      </c>
      <c r="X85" s="3" t="s">
        <v>294</v>
      </c>
      <c r="Y85" t="s">
        <v>295</v>
      </c>
      <c r="Z85" t="s">
        <v>165</v>
      </c>
      <c r="AA85" s="10">
        <v>15</v>
      </c>
      <c r="AB85" t="s">
        <v>20</v>
      </c>
      <c r="AC85" s="10">
        <v>16712.90677419</v>
      </c>
      <c r="AD85" s="4">
        <v>250693.60161300001</v>
      </c>
      <c r="AF85" s="20">
        <v>16</v>
      </c>
      <c r="AG85" s="18" t="s">
        <v>145</v>
      </c>
      <c r="AH85" s="18" t="s">
        <v>146</v>
      </c>
      <c r="AI85" s="18" t="s">
        <v>123</v>
      </c>
      <c r="AJ85" s="21">
        <v>61</v>
      </c>
      <c r="AK85" s="18" t="s">
        <v>5</v>
      </c>
      <c r="AL85" s="21">
        <v>4604.1441000000004</v>
      </c>
      <c r="AM85" s="19">
        <v>280852.79009999998</v>
      </c>
      <c r="AW85" s="3" t="s">
        <v>72</v>
      </c>
      <c r="AX85" t="s">
        <v>73</v>
      </c>
      <c r="AY85" t="s">
        <v>67</v>
      </c>
      <c r="AZ85" s="10">
        <v>2</v>
      </c>
      <c r="BA85" t="s">
        <v>74</v>
      </c>
      <c r="BB85" s="10">
        <v>3009.8631999999998</v>
      </c>
      <c r="BC85" s="4">
        <v>6019.7263999999996</v>
      </c>
    </row>
    <row r="86" spans="1:55" x14ac:dyDescent="0.35">
      <c r="A86" s="38" t="str">
        <v>STA00171</v>
      </c>
      <c r="B86" s="31" t="str">
        <f t="shared" si="9"/>
        <v>TAPE KACA 3 M</v>
      </c>
      <c r="C86" s="31" t="str">
        <f t="shared" si="10"/>
        <v>STATIONARY AND OFFICE SUPPLIES</v>
      </c>
      <c r="D86" s="39" t="str">
        <f t="shared" si="11"/>
        <v>pcs</v>
      </c>
      <c r="E86" s="53">
        <f t="shared" si="12"/>
        <v>53500</v>
      </c>
      <c r="F86" s="54">
        <f t="shared" si="13"/>
        <v>1</v>
      </c>
      <c r="G86" s="54" t="str">
        <f t="shared" si="14"/>
        <v>0</v>
      </c>
      <c r="H86" s="48">
        <f t="shared" si="15"/>
        <v>-1</v>
      </c>
      <c r="I86" s="53">
        <f t="shared" si="16"/>
        <v>-53500</v>
      </c>
      <c r="J86" s="31" t="str">
        <f t="shared" si="17"/>
        <v>Penurunan IU</v>
      </c>
      <c r="K86" s="42" t="s">
        <v>1256</v>
      </c>
      <c r="O86" s="3">
        <v>10</v>
      </c>
      <c r="P86" t="s">
        <v>240</v>
      </c>
      <c r="Q86" t="s">
        <v>241</v>
      </c>
      <c r="R86" t="s">
        <v>67</v>
      </c>
      <c r="S86" s="10">
        <v>1</v>
      </c>
      <c r="T86" t="s">
        <v>20</v>
      </c>
      <c r="U86" s="10">
        <v>22500</v>
      </c>
      <c r="V86" s="4">
        <v>22500</v>
      </c>
      <c r="X86" s="3" t="s">
        <v>296</v>
      </c>
      <c r="Y86" t="s">
        <v>297</v>
      </c>
      <c r="Z86" t="s">
        <v>165</v>
      </c>
      <c r="AA86" s="10">
        <v>13</v>
      </c>
      <c r="AB86" t="s">
        <v>20</v>
      </c>
      <c r="AC86" s="10">
        <v>15736.228930813333</v>
      </c>
      <c r="AD86" s="4">
        <v>204570.97610100001</v>
      </c>
      <c r="AF86" s="20">
        <v>17</v>
      </c>
      <c r="AG86" s="18" t="s">
        <v>147</v>
      </c>
      <c r="AH86" s="18" t="s">
        <v>148</v>
      </c>
      <c r="AI86" s="18" t="s">
        <v>123</v>
      </c>
      <c r="AJ86" s="21">
        <v>0.82</v>
      </c>
      <c r="AK86" s="18" t="s">
        <v>5</v>
      </c>
      <c r="AL86" s="21">
        <v>15004.7466</v>
      </c>
      <c r="AM86" s="19">
        <v>12303.892212000001</v>
      </c>
      <c r="AW86" s="3" t="s">
        <v>75</v>
      </c>
      <c r="AX86" t="s">
        <v>76</v>
      </c>
      <c r="AY86" t="s">
        <v>67</v>
      </c>
      <c r="AZ86" s="10">
        <v>3</v>
      </c>
      <c r="BA86" t="s">
        <v>74</v>
      </c>
      <c r="BB86" s="10">
        <v>6150</v>
      </c>
      <c r="BC86" s="4">
        <v>18450</v>
      </c>
    </row>
    <row r="87" spans="1:55" x14ac:dyDescent="0.35">
      <c r="A87" s="38" t="str">
        <v>CECM0006</v>
      </c>
      <c r="B87" s="31" t="str">
        <f t="shared" si="9"/>
        <v>XYZ GREASE CLEANER 5 LTR</v>
      </c>
      <c r="C87" s="31" t="str">
        <f t="shared" si="10"/>
        <v>CLEANING CHEMICAL</v>
      </c>
      <c r="D87" s="39" t="str">
        <f t="shared" si="11"/>
        <v>gln</v>
      </c>
      <c r="E87" s="53">
        <f t="shared" si="12"/>
        <v>133200</v>
      </c>
      <c r="F87" s="54">
        <f t="shared" si="13"/>
        <v>1.64</v>
      </c>
      <c r="G87" s="54" t="str">
        <f t="shared" si="14"/>
        <v>0</v>
      </c>
      <c r="H87" s="48">
        <f t="shared" si="15"/>
        <v>-1.64</v>
      </c>
      <c r="I87" s="53">
        <f t="shared" si="16"/>
        <v>-218448</v>
      </c>
      <c r="J87" s="31" t="str">
        <f t="shared" si="17"/>
        <v>Penurunan IU</v>
      </c>
      <c r="K87" s="42" t="s">
        <v>1257</v>
      </c>
      <c r="O87" s="3">
        <v>11</v>
      </c>
      <c r="P87" t="s">
        <v>242</v>
      </c>
      <c r="Q87" t="s">
        <v>243</v>
      </c>
      <c r="R87" t="s">
        <v>67</v>
      </c>
      <c r="S87" s="10">
        <v>1.5</v>
      </c>
      <c r="T87" t="s">
        <v>87</v>
      </c>
      <c r="U87" s="10">
        <v>14500</v>
      </c>
      <c r="V87" s="4">
        <v>21750</v>
      </c>
      <c r="X87" s="3" t="s">
        <v>547</v>
      </c>
      <c r="Y87" t="s">
        <v>548</v>
      </c>
      <c r="Z87" t="s">
        <v>165</v>
      </c>
      <c r="AA87" s="10">
        <v>1</v>
      </c>
      <c r="AB87" t="s">
        <v>20</v>
      </c>
      <c r="AC87" s="10">
        <v>48894.01</v>
      </c>
      <c r="AD87" s="4">
        <v>48894.01</v>
      </c>
      <c r="AF87" s="20">
        <v>18</v>
      </c>
      <c r="AG87" s="18" t="s">
        <v>265</v>
      </c>
      <c r="AH87" s="18" t="s">
        <v>266</v>
      </c>
      <c r="AI87" s="18" t="s">
        <v>151</v>
      </c>
      <c r="AJ87" s="21">
        <v>2</v>
      </c>
      <c r="AK87" s="18" t="s">
        <v>267</v>
      </c>
      <c r="AL87" s="21">
        <v>34511.794399999999</v>
      </c>
      <c r="AM87" s="19">
        <v>69023.588799999998</v>
      </c>
      <c r="AW87" s="3" t="s">
        <v>79</v>
      </c>
      <c r="AX87" t="s">
        <v>80</v>
      </c>
      <c r="AY87" t="s">
        <v>67</v>
      </c>
      <c r="AZ87" s="10">
        <v>1</v>
      </c>
      <c r="BA87" t="s">
        <v>20</v>
      </c>
      <c r="BB87" s="10">
        <v>15000</v>
      </c>
      <c r="BC87" s="4">
        <v>15000</v>
      </c>
    </row>
    <row r="88" spans="1:55" x14ac:dyDescent="0.35">
      <c r="A88" s="38" t="str">
        <v>CECM0009</v>
      </c>
      <c r="B88" s="31" t="str">
        <f t="shared" si="9"/>
        <v>HAND SANITIZER 5 L</v>
      </c>
      <c r="C88" s="31" t="str">
        <f t="shared" si="10"/>
        <v>CLEANING CHEMICAL</v>
      </c>
      <c r="D88" s="39" t="str">
        <f t="shared" si="11"/>
        <v>pcs</v>
      </c>
      <c r="E88" s="53">
        <f t="shared" si="12"/>
        <v>151400</v>
      </c>
      <c r="F88" s="54">
        <f t="shared" si="13"/>
        <v>0.74</v>
      </c>
      <c r="G88" s="54" t="str">
        <f t="shared" si="14"/>
        <v>0</v>
      </c>
      <c r="H88" s="48">
        <f t="shared" si="15"/>
        <v>-0.74</v>
      </c>
      <c r="I88" s="53">
        <f t="shared" si="16"/>
        <v>-112036</v>
      </c>
      <c r="J88" s="31" t="str">
        <f t="shared" si="17"/>
        <v>Penurunan IU</v>
      </c>
      <c r="K88" s="42" t="s">
        <v>1258</v>
      </c>
      <c r="O88" s="3">
        <v>12</v>
      </c>
      <c r="P88" t="s">
        <v>246</v>
      </c>
      <c r="Q88" t="s">
        <v>247</v>
      </c>
      <c r="R88" t="s">
        <v>67</v>
      </c>
      <c r="S88" s="10">
        <v>6</v>
      </c>
      <c r="T88" t="s">
        <v>5</v>
      </c>
      <c r="U88" s="10">
        <v>1400</v>
      </c>
      <c r="V88" s="4">
        <v>8400</v>
      </c>
      <c r="X88" s="3" t="s">
        <v>594</v>
      </c>
      <c r="Y88" t="s">
        <v>595</v>
      </c>
      <c r="Z88" t="s">
        <v>182</v>
      </c>
      <c r="AA88" s="10">
        <v>2</v>
      </c>
      <c r="AB88" t="s">
        <v>20</v>
      </c>
      <c r="AC88" s="10">
        <v>18967.248359144443</v>
      </c>
      <c r="AD88" s="4">
        <v>37934.496718000002</v>
      </c>
      <c r="AF88" s="20">
        <v>19</v>
      </c>
      <c r="AG88" s="18" t="s">
        <v>154</v>
      </c>
      <c r="AH88" s="18" t="s">
        <v>155</v>
      </c>
      <c r="AI88" s="18" t="s">
        <v>151</v>
      </c>
      <c r="AJ88" s="21">
        <v>41</v>
      </c>
      <c r="AK88" s="18" t="s">
        <v>20</v>
      </c>
      <c r="AL88" s="21">
        <v>985.61270000000002</v>
      </c>
      <c r="AM88" s="19">
        <v>40410.120699999999</v>
      </c>
      <c r="AW88" s="3" t="s">
        <v>393</v>
      </c>
      <c r="AX88" t="s">
        <v>394</v>
      </c>
      <c r="AY88" t="s">
        <v>67</v>
      </c>
      <c r="AZ88" s="10">
        <v>1</v>
      </c>
      <c r="BA88" t="s">
        <v>20</v>
      </c>
      <c r="BB88" s="10">
        <v>12500</v>
      </c>
      <c r="BC88" s="4">
        <v>12500</v>
      </c>
    </row>
    <row r="89" spans="1:55" ht="15" thickBot="1" x14ac:dyDescent="0.4">
      <c r="A89" s="38" t="str">
        <v>CETS0004</v>
      </c>
      <c r="B89" s="31" t="str">
        <f t="shared" si="9"/>
        <v>TOWEL ANJOLY HITAM-KECIL</v>
      </c>
      <c r="C89" s="31" t="str">
        <f t="shared" si="10"/>
        <v>CLEANING TOOLS AND SUPPLIES</v>
      </c>
      <c r="D89" s="39" t="str">
        <f t="shared" si="11"/>
        <v>pcs</v>
      </c>
      <c r="E89" s="53">
        <f t="shared" si="12"/>
        <v>7097.2416000000003</v>
      </c>
      <c r="F89" s="54">
        <f t="shared" si="13"/>
        <v>3</v>
      </c>
      <c r="G89" s="54" t="str">
        <f t="shared" si="14"/>
        <v>0</v>
      </c>
      <c r="H89" s="48">
        <f t="shared" si="15"/>
        <v>-3</v>
      </c>
      <c r="I89" s="53">
        <f t="shared" si="16"/>
        <v>-21291.7248</v>
      </c>
      <c r="J89" s="31" t="str">
        <f t="shared" si="17"/>
        <v>Penurunan IU</v>
      </c>
      <c r="K89" s="46" t="s">
        <v>1247</v>
      </c>
      <c r="O89" s="3">
        <v>13</v>
      </c>
      <c r="P89" t="s">
        <v>88</v>
      </c>
      <c r="Q89" t="s">
        <v>89</v>
      </c>
      <c r="R89" t="s">
        <v>67</v>
      </c>
      <c r="S89" s="10">
        <v>1</v>
      </c>
      <c r="T89" t="s">
        <v>5</v>
      </c>
      <c r="U89" s="10">
        <v>1781.4286</v>
      </c>
      <c r="V89" s="4">
        <v>1781.4286</v>
      </c>
      <c r="X89" s="3" t="s">
        <v>187</v>
      </c>
      <c r="Y89" t="s">
        <v>188</v>
      </c>
      <c r="Z89" t="s">
        <v>182</v>
      </c>
      <c r="AA89" s="10">
        <v>11</v>
      </c>
      <c r="AB89" t="s">
        <v>20</v>
      </c>
      <c r="AC89" s="10">
        <v>3391.7220000000002</v>
      </c>
      <c r="AD89" s="4">
        <v>37308.942000000003</v>
      </c>
      <c r="AF89" s="20">
        <v>20</v>
      </c>
      <c r="AG89" s="18" t="s">
        <v>272</v>
      </c>
      <c r="AH89" s="18" t="s">
        <v>273</v>
      </c>
      <c r="AI89" s="18" t="s">
        <v>151</v>
      </c>
      <c r="AJ89" s="21">
        <v>2</v>
      </c>
      <c r="AK89" s="18" t="s">
        <v>5</v>
      </c>
      <c r="AL89" s="21">
        <v>3760</v>
      </c>
      <c r="AM89" s="19">
        <v>7520</v>
      </c>
      <c r="AW89" s="3" t="s">
        <v>512</v>
      </c>
      <c r="AX89" t="s">
        <v>513</v>
      </c>
      <c r="AY89" t="s">
        <v>67</v>
      </c>
      <c r="AZ89" s="10">
        <v>3</v>
      </c>
      <c r="BA89" t="s">
        <v>486</v>
      </c>
      <c r="BB89" s="10">
        <v>32333.333299999998</v>
      </c>
      <c r="BC89" s="4">
        <v>96999.999899999995</v>
      </c>
    </row>
    <row r="90" spans="1:55" ht="15.5" thickTop="1" thickBot="1" x14ac:dyDescent="0.4">
      <c r="A90" s="38" t="str">
        <v>CETS0021</v>
      </c>
      <c r="B90" s="31" t="str">
        <f t="shared" si="9"/>
        <v>LAP MICRO 40 X 40 320 GSM BIRU MUDA</v>
      </c>
      <c r="C90" s="31" t="str">
        <f t="shared" si="10"/>
        <v>CLEANING TOOLS AND SUPPLIES</v>
      </c>
      <c r="D90" s="39" t="str">
        <f t="shared" si="11"/>
        <v>pcs</v>
      </c>
      <c r="E90" s="53">
        <f t="shared" si="12"/>
        <v>10499.75</v>
      </c>
      <c r="F90" s="54">
        <f t="shared" si="13"/>
        <v>1</v>
      </c>
      <c r="G90" s="54" t="str">
        <f t="shared" si="14"/>
        <v>0</v>
      </c>
      <c r="H90" s="48">
        <f t="shared" si="15"/>
        <v>-1</v>
      </c>
      <c r="I90" s="53">
        <f t="shared" si="16"/>
        <v>-10499.75</v>
      </c>
      <c r="J90" s="31" t="str">
        <f t="shared" si="17"/>
        <v>Penurunan IU</v>
      </c>
      <c r="K90" s="46" t="s">
        <v>1247</v>
      </c>
      <c r="O90" s="3">
        <v>14</v>
      </c>
      <c r="P90" t="s">
        <v>327</v>
      </c>
      <c r="Q90" t="s">
        <v>328</v>
      </c>
      <c r="R90" t="s">
        <v>67</v>
      </c>
      <c r="S90" s="10">
        <v>4</v>
      </c>
      <c r="T90" t="s">
        <v>5</v>
      </c>
      <c r="U90" s="10">
        <v>6250</v>
      </c>
      <c r="V90" s="4">
        <v>25000</v>
      </c>
      <c r="X90" s="3" t="s">
        <v>438</v>
      </c>
      <c r="Y90" t="s">
        <v>439</v>
      </c>
      <c r="Z90" t="s">
        <v>182</v>
      </c>
      <c r="AA90" s="10">
        <v>2</v>
      </c>
      <c r="AB90" t="s">
        <v>20</v>
      </c>
      <c r="AC90" s="10">
        <v>11046.52943217</v>
      </c>
      <c r="AD90" s="4">
        <v>22093.058863999999</v>
      </c>
      <c r="AF90" s="20">
        <v>21</v>
      </c>
      <c r="AG90" s="18" t="s">
        <v>423</v>
      </c>
      <c r="AH90" s="18" t="s">
        <v>424</v>
      </c>
      <c r="AI90" s="18" t="s">
        <v>151</v>
      </c>
      <c r="AJ90" s="21">
        <v>1</v>
      </c>
      <c r="AK90" s="18" t="s">
        <v>20</v>
      </c>
      <c r="AL90" s="21">
        <v>5559.5860000000002</v>
      </c>
      <c r="AM90" s="19">
        <v>5559.5860000000002</v>
      </c>
      <c r="AW90" s="3" t="s">
        <v>484</v>
      </c>
      <c r="AX90" t="s">
        <v>485</v>
      </c>
      <c r="AY90" t="s">
        <v>67</v>
      </c>
      <c r="AZ90" s="10">
        <v>2</v>
      </c>
      <c r="BA90" t="s">
        <v>486</v>
      </c>
      <c r="BB90" s="10">
        <v>8500</v>
      </c>
      <c r="BC90" s="4">
        <v>17000</v>
      </c>
    </row>
    <row r="91" spans="1:55" ht="15.5" thickTop="1" thickBot="1" x14ac:dyDescent="0.4">
      <c r="A91" s="38" t="str">
        <v>CETS0001</v>
      </c>
      <c r="B91" s="31" t="str">
        <f t="shared" si="9"/>
        <v>TOWEL ANJOLY BIRU-KECIL</v>
      </c>
      <c r="C91" s="31" t="str">
        <f t="shared" si="10"/>
        <v>CLEANING TOOLS AND SUPPLIES</v>
      </c>
      <c r="D91" s="39" t="str">
        <f t="shared" si="11"/>
        <v>pcs</v>
      </c>
      <c r="E91" s="53">
        <f t="shared" si="12"/>
        <v>7051.6414000000004</v>
      </c>
      <c r="F91" s="54">
        <f t="shared" si="13"/>
        <v>4</v>
      </c>
      <c r="G91" s="54" t="str">
        <f t="shared" si="14"/>
        <v>0</v>
      </c>
      <c r="H91" s="48">
        <f t="shared" si="15"/>
        <v>-4</v>
      </c>
      <c r="I91" s="53">
        <f t="shared" si="16"/>
        <v>-28206.565600000002</v>
      </c>
      <c r="J91" s="31" t="str">
        <f t="shared" si="17"/>
        <v>Penurunan IU</v>
      </c>
      <c r="K91" s="46" t="s">
        <v>1247</v>
      </c>
      <c r="O91" s="3">
        <v>15</v>
      </c>
      <c r="P91" t="s">
        <v>90</v>
      </c>
      <c r="Q91" t="s">
        <v>91</v>
      </c>
      <c r="R91" t="s">
        <v>67</v>
      </c>
      <c r="S91" s="10">
        <v>7</v>
      </c>
      <c r="T91" t="s">
        <v>5</v>
      </c>
      <c r="U91" s="10">
        <v>6250</v>
      </c>
      <c r="V91" s="4">
        <v>43750</v>
      </c>
      <c r="X91" s="3" t="s">
        <v>190</v>
      </c>
      <c r="Y91" t="s">
        <v>191</v>
      </c>
      <c r="Z91" t="s">
        <v>192</v>
      </c>
      <c r="AA91" s="10">
        <v>1</v>
      </c>
      <c r="AB91" t="s">
        <v>20</v>
      </c>
      <c r="AC91" s="10">
        <v>126927.29933846154</v>
      </c>
      <c r="AD91" s="4">
        <v>126927.299338</v>
      </c>
      <c r="AF91" s="20">
        <v>22</v>
      </c>
      <c r="AG91" s="18" t="s">
        <v>274</v>
      </c>
      <c r="AH91" s="18" t="s">
        <v>275</v>
      </c>
      <c r="AI91" s="18" t="s">
        <v>151</v>
      </c>
      <c r="AJ91" s="21">
        <v>1</v>
      </c>
      <c r="AK91" s="18" t="s">
        <v>160</v>
      </c>
      <c r="AL91" s="21">
        <v>21066.67</v>
      </c>
      <c r="AM91" s="19">
        <v>21066.67</v>
      </c>
      <c r="AW91" s="3" t="s">
        <v>81</v>
      </c>
      <c r="AX91" t="s">
        <v>82</v>
      </c>
      <c r="AY91" t="s">
        <v>67</v>
      </c>
      <c r="AZ91" s="10">
        <v>2</v>
      </c>
      <c r="BA91" t="s">
        <v>20</v>
      </c>
      <c r="BB91" s="10">
        <v>9473.4182000000001</v>
      </c>
      <c r="BC91" s="4">
        <v>18946.8364</v>
      </c>
    </row>
    <row r="92" spans="1:55" ht="15.5" thickTop="1" thickBot="1" x14ac:dyDescent="0.4">
      <c r="A92" s="38" t="str">
        <v>KW000019</v>
      </c>
      <c r="B92" s="31" t="str">
        <f t="shared" si="9"/>
        <v>FOOD TONG/CAPITAN MAKANAN LUBANG STAINLESS9 INCH</v>
      </c>
      <c r="C92" s="31" t="str">
        <f t="shared" si="10"/>
        <v>KITCHENWARE TOOLS</v>
      </c>
      <c r="D92" s="39" t="str">
        <f t="shared" si="11"/>
        <v>pcs</v>
      </c>
      <c r="E92" s="53">
        <f t="shared" si="12"/>
        <v>6905.6575182481747</v>
      </c>
      <c r="F92" s="54">
        <f t="shared" si="13"/>
        <v>5</v>
      </c>
      <c r="G92" s="54" t="str">
        <f t="shared" si="14"/>
        <v>0</v>
      </c>
      <c r="H92" s="48">
        <f t="shared" si="15"/>
        <v>-5</v>
      </c>
      <c r="I92" s="53">
        <f t="shared" si="16"/>
        <v>-34528.287591240871</v>
      </c>
      <c r="J92" s="31" t="str">
        <f t="shared" si="17"/>
        <v>Penurunan IU</v>
      </c>
      <c r="K92" s="46" t="s">
        <v>1247</v>
      </c>
      <c r="O92" s="3">
        <v>16</v>
      </c>
      <c r="P92" t="s">
        <v>92</v>
      </c>
      <c r="Q92" t="s">
        <v>93</v>
      </c>
      <c r="R92" t="s">
        <v>67</v>
      </c>
      <c r="S92" s="10">
        <v>50</v>
      </c>
      <c r="T92" t="s">
        <v>94</v>
      </c>
      <c r="U92" s="10">
        <v>11800</v>
      </c>
      <c r="V92" s="4">
        <v>590000</v>
      </c>
      <c r="X92" s="3" t="s">
        <v>596</v>
      </c>
      <c r="Y92" t="s">
        <v>597</v>
      </c>
      <c r="Z92" t="s">
        <v>192</v>
      </c>
      <c r="AA92" s="10">
        <v>1</v>
      </c>
      <c r="AB92" t="s">
        <v>20</v>
      </c>
      <c r="AC92" s="10">
        <v>51170</v>
      </c>
      <c r="AD92" s="4">
        <v>51170</v>
      </c>
      <c r="AF92" s="20">
        <v>23</v>
      </c>
      <c r="AG92" s="18" t="s">
        <v>276</v>
      </c>
      <c r="AH92" s="18" t="s">
        <v>277</v>
      </c>
      <c r="AI92" s="18" t="s">
        <v>151</v>
      </c>
      <c r="AJ92" s="18">
        <v>6</v>
      </c>
      <c r="AK92" s="18" t="s">
        <v>52</v>
      </c>
      <c r="AL92" s="18">
        <v>1756.05</v>
      </c>
      <c r="AM92" s="19">
        <v>10536.3</v>
      </c>
      <c r="AW92" s="3" t="s">
        <v>240</v>
      </c>
      <c r="AX92" t="s">
        <v>241</v>
      </c>
      <c r="AY92" t="s">
        <v>67</v>
      </c>
      <c r="AZ92" s="10">
        <v>1</v>
      </c>
      <c r="BA92" t="s">
        <v>20</v>
      </c>
      <c r="BB92" s="10">
        <v>22500</v>
      </c>
      <c r="BC92" s="4">
        <v>22500</v>
      </c>
    </row>
    <row r="93" spans="1:55" ht="15.5" thickTop="1" thickBot="1" x14ac:dyDescent="0.4">
      <c r="A93" s="38" t="str">
        <v>KW000025</v>
      </c>
      <c r="B93" s="31" t="str">
        <f t="shared" si="9"/>
        <v>GUNTING DAPUR</v>
      </c>
      <c r="C93" s="31" t="str">
        <f t="shared" si="10"/>
        <v>KITCHENWARE TOOLS</v>
      </c>
      <c r="D93" s="39" t="str">
        <f t="shared" si="11"/>
        <v>pcs</v>
      </c>
      <c r="E93" s="53">
        <f t="shared" si="12"/>
        <v>25521.195652165428</v>
      </c>
      <c r="F93" s="54">
        <f t="shared" si="13"/>
        <v>1</v>
      </c>
      <c r="G93" s="54" t="str">
        <f t="shared" si="14"/>
        <v>0</v>
      </c>
      <c r="H93" s="48">
        <f t="shared" si="15"/>
        <v>-1</v>
      </c>
      <c r="I93" s="53">
        <f t="shared" si="16"/>
        <v>-25521.195652165428</v>
      </c>
      <c r="J93" s="31" t="str">
        <f t="shared" si="17"/>
        <v>Penurunan IU</v>
      </c>
      <c r="K93" s="46" t="s">
        <v>1247</v>
      </c>
      <c r="O93" s="3">
        <v>17</v>
      </c>
      <c r="P93" t="s">
        <v>518</v>
      </c>
      <c r="Q93" t="s">
        <v>519</v>
      </c>
      <c r="R93" t="s">
        <v>67</v>
      </c>
      <c r="S93" s="10">
        <v>3</v>
      </c>
      <c r="T93" t="s">
        <v>98</v>
      </c>
      <c r="U93" s="10">
        <v>18000</v>
      </c>
      <c r="V93" s="4">
        <v>54000</v>
      </c>
      <c r="X93" s="3" t="s">
        <v>442</v>
      </c>
      <c r="Y93" t="s">
        <v>443</v>
      </c>
      <c r="Z93" t="s">
        <v>192</v>
      </c>
      <c r="AA93" s="10">
        <v>2</v>
      </c>
      <c r="AB93" t="s">
        <v>20</v>
      </c>
      <c r="AC93" s="10">
        <v>18480</v>
      </c>
      <c r="AD93" s="4">
        <v>36960</v>
      </c>
      <c r="AF93" s="22" t="s">
        <v>223</v>
      </c>
      <c r="AG93" s="23" t="s">
        <v>223</v>
      </c>
      <c r="AH93" s="23" t="s">
        <v>223</v>
      </c>
      <c r="AI93" s="23" t="s">
        <v>223</v>
      </c>
      <c r="AJ93" s="23" t="s">
        <v>223</v>
      </c>
      <c r="AK93" s="23" t="s">
        <v>223</v>
      </c>
      <c r="AL93" s="23" t="s">
        <v>224</v>
      </c>
      <c r="AM93" s="24">
        <v>5014878.7639119988</v>
      </c>
      <c r="AW93" s="3" t="s">
        <v>242</v>
      </c>
      <c r="AX93" t="s">
        <v>243</v>
      </c>
      <c r="AY93" t="s">
        <v>67</v>
      </c>
      <c r="AZ93" s="10">
        <v>1.5</v>
      </c>
      <c r="BA93" t="s">
        <v>87</v>
      </c>
      <c r="BB93" s="10">
        <v>14500</v>
      </c>
      <c r="BC93" s="4">
        <v>21750</v>
      </c>
    </row>
    <row r="94" spans="1:55" ht="15.5" thickTop="1" thickBot="1" x14ac:dyDescent="0.4">
      <c r="A94" s="38" t="str">
        <v>KW000054</v>
      </c>
      <c r="B94" s="31" t="str">
        <f t="shared" si="9"/>
        <v>PRAXIS KEEPER 302 10 LITER</v>
      </c>
      <c r="C94" s="31" t="str">
        <f t="shared" si="10"/>
        <v>KITCHENWARE TOOLS</v>
      </c>
      <c r="D94" s="39" t="str">
        <f t="shared" si="11"/>
        <v>pcs</v>
      </c>
      <c r="E94" s="53">
        <f t="shared" si="12"/>
        <v>42468.75</v>
      </c>
      <c r="F94" s="54">
        <f t="shared" si="13"/>
        <v>1</v>
      </c>
      <c r="G94" s="54" t="str">
        <f t="shared" si="14"/>
        <v>0</v>
      </c>
      <c r="H94" s="48">
        <f t="shared" si="15"/>
        <v>-1</v>
      </c>
      <c r="I94" s="53">
        <f t="shared" si="16"/>
        <v>-42468.75</v>
      </c>
      <c r="J94" s="31" t="str">
        <f t="shared" si="17"/>
        <v>Penurunan IU</v>
      </c>
      <c r="K94" s="46" t="s">
        <v>1247</v>
      </c>
      <c r="O94" s="3">
        <v>18</v>
      </c>
      <c r="P94" t="s">
        <v>100</v>
      </c>
      <c r="Q94" t="s">
        <v>101</v>
      </c>
      <c r="R94" t="s">
        <v>67</v>
      </c>
      <c r="S94" s="10">
        <v>1</v>
      </c>
      <c r="T94" t="s">
        <v>87</v>
      </c>
      <c r="U94" s="10">
        <v>8183.3333000000011</v>
      </c>
      <c r="V94" s="4">
        <v>8183.3333000000002</v>
      </c>
      <c r="X94" s="3" t="s">
        <v>298</v>
      </c>
      <c r="Y94" t="s">
        <v>299</v>
      </c>
      <c r="Z94" t="s">
        <v>192</v>
      </c>
      <c r="AA94" s="10">
        <v>12</v>
      </c>
      <c r="AB94" t="s">
        <v>20</v>
      </c>
      <c r="AC94" s="10">
        <v>31716.666699999998</v>
      </c>
      <c r="AD94" s="4">
        <v>380600.00040000002</v>
      </c>
      <c r="AW94" s="3" t="s">
        <v>246</v>
      </c>
      <c r="AX94" t="s">
        <v>247</v>
      </c>
      <c r="AY94" t="s">
        <v>67</v>
      </c>
      <c r="AZ94" s="10">
        <v>6</v>
      </c>
      <c r="BA94" t="s">
        <v>5</v>
      </c>
      <c r="BB94" s="10">
        <v>1400</v>
      </c>
      <c r="BC94" s="4">
        <v>8400</v>
      </c>
    </row>
    <row r="95" spans="1:55" ht="15.5" thickTop="1" thickBot="1" x14ac:dyDescent="0.4">
      <c r="A95" s="38" t="str">
        <v>KW000057</v>
      </c>
      <c r="B95" s="31" t="str">
        <f t="shared" si="9"/>
        <v>SEALWARE B 48 PERSEGI</v>
      </c>
      <c r="C95" s="31" t="str">
        <f t="shared" si="10"/>
        <v>KITCHENWARE TOOLS</v>
      </c>
      <c r="D95" s="39" t="str">
        <f t="shared" si="11"/>
        <v>pcs</v>
      </c>
      <c r="E95" s="53">
        <f t="shared" si="12"/>
        <v>13671.6667</v>
      </c>
      <c r="F95" s="54">
        <f t="shared" si="13"/>
        <v>4</v>
      </c>
      <c r="G95" s="54" t="str">
        <f t="shared" si="14"/>
        <v>0</v>
      </c>
      <c r="H95" s="48">
        <f t="shared" si="15"/>
        <v>-4</v>
      </c>
      <c r="I95" s="53">
        <f t="shared" si="16"/>
        <v>-54686.666799999999</v>
      </c>
      <c r="J95" s="31" t="str">
        <f t="shared" si="17"/>
        <v>Penurunan IU</v>
      </c>
      <c r="K95" s="46" t="s">
        <v>1247</v>
      </c>
      <c r="O95" s="3">
        <v>19</v>
      </c>
      <c r="P95" t="s">
        <v>256</v>
      </c>
      <c r="Q95" t="s">
        <v>257</v>
      </c>
      <c r="R95" t="s">
        <v>67</v>
      </c>
      <c r="S95" s="10">
        <v>6</v>
      </c>
      <c r="T95" t="s">
        <v>20</v>
      </c>
      <c r="U95" s="10">
        <v>3485.0962</v>
      </c>
      <c r="V95" s="4">
        <v>20910.5772</v>
      </c>
      <c r="X95" s="11" t="s">
        <v>598</v>
      </c>
      <c r="Y95" s="12" t="s">
        <v>599</v>
      </c>
      <c r="Z95" s="12" t="s">
        <v>192</v>
      </c>
      <c r="AA95" s="12">
        <v>1</v>
      </c>
      <c r="AB95" s="12" t="s">
        <v>20</v>
      </c>
      <c r="AC95" s="12">
        <v>28560</v>
      </c>
      <c r="AD95" s="13">
        <v>28560</v>
      </c>
      <c r="AW95" s="3" t="s">
        <v>88</v>
      </c>
      <c r="AX95" t="s">
        <v>89</v>
      </c>
      <c r="AY95" t="s">
        <v>67</v>
      </c>
      <c r="AZ95" s="10">
        <v>1</v>
      </c>
      <c r="BA95" t="s">
        <v>5</v>
      </c>
      <c r="BB95" s="10">
        <v>1781.4286</v>
      </c>
      <c r="BC95" s="4">
        <v>1781.4286</v>
      </c>
    </row>
    <row r="96" spans="1:55" ht="15.5" thickTop="1" thickBot="1" x14ac:dyDescent="0.4">
      <c r="A96" s="38" t="str">
        <v>KW00065</v>
      </c>
      <c r="B96" s="31" t="str">
        <f t="shared" si="9"/>
        <v>PAPPER SHAKER/TEMPAT BUMBU</v>
      </c>
      <c r="C96" s="31" t="str">
        <f t="shared" si="10"/>
        <v>KITCHENWARE TOOLS</v>
      </c>
      <c r="D96" s="39" t="str">
        <f t="shared" si="11"/>
        <v>pcs</v>
      </c>
      <c r="E96" s="53">
        <f t="shared" si="12"/>
        <v>34614.1777</v>
      </c>
      <c r="F96" s="54">
        <f t="shared" si="13"/>
        <v>1</v>
      </c>
      <c r="G96" s="54" t="str">
        <f t="shared" si="14"/>
        <v>0</v>
      </c>
      <c r="H96" s="48">
        <f t="shared" si="15"/>
        <v>-1</v>
      </c>
      <c r="I96" s="53">
        <f t="shared" si="16"/>
        <v>-34614.1777</v>
      </c>
      <c r="J96" s="31" t="str">
        <f t="shared" si="17"/>
        <v>Penurunan IU</v>
      </c>
      <c r="K96" s="46" t="s">
        <v>1247</v>
      </c>
      <c r="O96" s="3">
        <v>20</v>
      </c>
      <c r="P96" t="s">
        <v>107</v>
      </c>
      <c r="Q96" t="s">
        <v>108</v>
      </c>
      <c r="R96" t="s">
        <v>67</v>
      </c>
      <c r="S96" s="10">
        <v>3</v>
      </c>
      <c r="T96" t="s">
        <v>5</v>
      </c>
      <c r="U96" s="10">
        <v>16246.4782</v>
      </c>
      <c r="V96" s="4">
        <v>48739.434600000001</v>
      </c>
      <c r="AF96" s="84" t="s">
        <v>0</v>
      </c>
      <c r="AG96" s="85"/>
      <c r="AH96" s="85"/>
      <c r="AI96" s="85"/>
      <c r="AJ96" s="85"/>
      <c r="AK96" s="16"/>
      <c r="AL96" s="16"/>
      <c r="AM96" s="17"/>
      <c r="AW96" s="3" t="s">
        <v>327</v>
      </c>
      <c r="AX96" t="s">
        <v>328</v>
      </c>
      <c r="AY96" t="s">
        <v>67</v>
      </c>
      <c r="AZ96" s="10">
        <v>4</v>
      </c>
      <c r="BA96" t="s">
        <v>5</v>
      </c>
      <c r="BB96" s="10">
        <v>6250</v>
      </c>
      <c r="BC96" s="4">
        <v>25000</v>
      </c>
    </row>
    <row r="97" spans="1:55" ht="15.5" thickTop="1" thickBot="1" x14ac:dyDescent="0.4">
      <c r="A97" s="38" t="str">
        <v>KW00069</v>
      </c>
      <c r="B97" s="31" t="str">
        <f t="shared" si="9"/>
        <v>SAUCE BOTTLE</v>
      </c>
      <c r="C97" s="31" t="str">
        <f t="shared" si="10"/>
        <v>KITCHENWARE TOOLS</v>
      </c>
      <c r="D97" s="39" t="str">
        <f t="shared" si="11"/>
        <v>pcs</v>
      </c>
      <c r="E97" s="53">
        <f t="shared" si="12"/>
        <v>16895.117300000002</v>
      </c>
      <c r="F97" s="54">
        <f t="shared" si="13"/>
        <v>13</v>
      </c>
      <c r="G97" s="54" t="str">
        <f t="shared" si="14"/>
        <v>0</v>
      </c>
      <c r="H97" s="48">
        <f t="shared" si="15"/>
        <v>-13</v>
      </c>
      <c r="I97" s="53">
        <f t="shared" si="16"/>
        <v>-219636.52490000002</v>
      </c>
      <c r="J97" s="31" t="str">
        <f t="shared" si="17"/>
        <v>Penurunan IU</v>
      </c>
      <c r="K97" s="46" t="s">
        <v>1247</v>
      </c>
      <c r="O97" s="3">
        <v>21</v>
      </c>
      <c r="P97" t="s">
        <v>258</v>
      </c>
      <c r="Q97" t="s">
        <v>259</v>
      </c>
      <c r="R97" t="s">
        <v>67</v>
      </c>
      <c r="S97" s="10">
        <v>0.5</v>
      </c>
      <c r="T97" t="s">
        <v>5</v>
      </c>
      <c r="U97" s="10">
        <v>24500</v>
      </c>
      <c r="V97" s="4">
        <v>12250</v>
      </c>
      <c r="AF97" s="82" t="s">
        <v>1</v>
      </c>
      <c r="AG97" s="83"/>
      <c r="AH97" s="83"/>
      <c r="AI97" s="83"/>
      <c r="AJ97" s="83"/>
      <c r="AK97" s="18"/>
      <c r="AL97" s="18"/>
      <c r="AM97" s="19"/>
      <c r="AW97" s="3" t="s">
        <v>90</v>
      </c>
      <c r="AX97" t="s">
        <v>91</v>
      </c>
      <c r="AY97" t="s">
        <v>67</v>
      </c>
      <c r="AZ97" s="10">
        <v>7</v>
      </c>
      <c r="BA97" t="s">
        <v>5</v>
      </c>
      <c r="BB97" s="10">
        <v>6250</v>
      </c>
      <c r="BC97" s="4">
        <v>43750</v>
      </c>
    </row>
    <row r="98" spans="1:55" ht="15.5" thickTop="1" thickBot="1" x14ac:dyDescent="0.4">
      <c r="A98" s="38" t="str">
        <v>KW00089</v>
      </c>
      <c r="B98" s="31" t="str">
        <f t="shared" si="9"/>
        <v>DRAWER ORGANIZER 26X8.5X4</v>
      </c>
      <c r="C98" s="31" t="str">
        <f t="shared" si="10"/>
        <v>KITCHENWARE TOOLS</v>
      </c>
      <c r="D98" s="39" t="str">
        <f t="shared" si="11"/>
        <v>pcs</v>
      </c>
      <c r="E98" s="53">
        <f t="shared" si="12"/>
        <v>11898.313376621481</v>
      </c>
      <c r="F98" s="54">
        <f t="shared" si="13"/>
        <v>2</v>
      </c>
      <c r="G98" s="54" t="str">
        <f t="shared" si="14"/>
        <v>0</v>
      </c>
      <c r="H98" s="48">
        <f t="shared" si="15"/>
        <v>-2</v>
      </c>
      <c r="I98" s="53">
        <f t="shared" si="16"/>
        <v>-23796.626753242963</v>
      </c>
      <c r="J98" s="31" t="str">
        <f t="shared" si="17"/>
        <v>Penurunan IU</v>
      </c>
      <c r="K98" s="46" t="s">
        <v>1247</v>
      </c>
      <c r="O98" s="3">
        <v>22</v>
      </c>
      <c r="P98" t="s">
        <v>587</v>
      </c>
      <c r="Q98" t="s">
        <v>588</v>
      </c>
      <c r="R98" t="s">
        <v>67</v>
      </c>
      <c r="S98" s="10">
        <v>1</v>
      </c>
      <c r="T98" t="s">
        <v>5</v>
      </c>
      <c r="U98" s="10">
        <v>6250</v>
      </c>
      <c r="V98" s="4">
        <v>6250</v>
      </c>
      <c r="AF98" s="20"/>
      <c r="AG98" s="18"/>
      <c r="AH98" s="18"/>
      <c r="AI98" s="18"/>
      <c r="AJ98" s="18"/>
      <c r="AK98" s="18"/>
      <c r="AL98" s="18"/>
      <c r="AM98" s="19"/>
      <c r="AW98" s="3" t="s">
        <v>92</v>
      </c>
      <c r="AX98" t="s">
        <v>93</v>
      </c>
      <c r="AY98" t="s">
        <v>67</v>
      </c>
      <c r="AZ98" s="10">
        <v>50</v>
      </c>
      <c r="BA98" t="s">
        <v>94</v>
      </c>
      <c r="BB98" s="10">
        <v>11800</v>
      </c>
      <c r="BC98" s="4">
        <v>590000</v>
      </c>
    </row>
    <row r="99" spans="1:55" ht="15.5" thickTop="1" thickBot="1" x14ac:dyDescent="0.4">
      <c r="A99" s="38" t="str">
        <v>KW00094</v>
      </c>
      <c r="B99" s="31" t="str">
        <f t="shared" si="9"/>
        <v>PRAXIS KEEPER 102 1,9 LITER</v>
      </c>
      <c r="C99" s="31" t="str">
        <f t="shared" si="10"/>
        <v>KITCHENWARE TOOLS</v>
      </c>
      <c r="D99" s="39" t="str">
        <f t="shared" si="11"/>
        <v>pcs</v>
      </c>
      <c r="E99" s="53">
        <f t="shared" si="12"/>
        <v>14903.923076919231</v>
      </c>
      <c r="F99" s="54">
        <f t="shared" si="13"/>
        <v>4</v>
      </c>
      <c r="G99" s="54" t="str">
        <f t="shared" si="14"/>
        <v>0</v>
      </c>
      <c r="H99" s="48">
        <f t="shared" si="15"/>
        <v>-4</v>
      </c>
      <c r="I99" s="53">
        <f t="shared" si="16"/>
        <v>-59615.692307676924</v>
      </c>
      <c r="J99" s="31" t="str">
        <f t="shared" si="17"/>
        <v>Penurunan IU</v>
      </c>
      <c r="K99" s="46" t="s">
        <v>1247</v>
      </c>
      <c r="O99" s="3">
        <v>23</v>
      </c>
      <c r="P99" t="s">
        <v>401</v>
      </c>
      <c r="Q99" t="s">
        <v>402</v>
      </c>
      <c r="R99" t="s">
        <v>67</v>
      </c>
      <c r="S99" s="10">
        <v>7.5</v>
      </c>
      <c r="T99" t="s">
        <v>20</v>
      </c>
      <c r="U99" s="10">
        <v>3578.68</v>
      </c>
      <c r="V99" s="4">
        <v>26840.1</v>
      </c>
      <c r="AF99" s="82" t="s">
        <v>10</v>
      </c>
      <c r="AG99" s="83" t="s">
        <v>11</v>
      </c>
      <c r="AH99" s="18" t="s">
        <v>832</v>
      </c>
      <c r="AI99" s="18"/>
      <c r="AJ99" s="18"/>
      <c r="AK99" s="18"/>
      <c r="AL99" s="18"/>
      <c r="AM99" s="19"/>
      <c r="AW99" s="3" t="s">
        <v>518</v>
      </c>
      <c r="AX99" t="s">
        <v>519</v>
      </c>
      <c r="AY99" t="s">
        <v>67</v>
      </c>
      <c r="AZ99" s="10">
        <v>3</v>
      </c>
      <c r="BA99" t="s">
        <v>98</v>
      </c>
      <c r="BB99" s="10">
        <v>18000</v>
      </c>
      <c r="BC99" s="4">
        <v>54000</v>
      </c>
    </row>
    <row r="100" spans="1:55" ht="15.5" thickTop="1" thickBot="1" x14ac:dyDescent="0.4">
      <c r="A100" s="38" t="str">
        <v>KW00096</v>
      </c>
      <c r="B100" s="31" t="str">
        <f t="shared" si="9"/>
        <v>BOX / SEALWARE DONAT</v>
      </c>
      <c r="C100" s="31" t="str">
        <f t="shared" si="10"/>
        <v>KITCHENWARE TOOLS</v>
      </c>
      <c r="D100" s="39" t="str">
        <f t="shared" si="11"/>
        <v>pcs</v>
      </c>
      <c r="E100" s="53">
        <f t="shared" si="12"/>
        <v>27935.294099999999</v>
      </c>
      <c r="F100" s="54">
        <f t="shared" si="13"/>
        <v>2</v>
      </c>
      <c r="G100" s="54" t="str">
        <f t="shared" si="14"/>
        <v>0</v>
      </c>
      <c r="H100" s="48">
        <f t="shared" si="15"/>
        <v>-2</v>
      </c>
      <c r="I100" s="53">
        <f t="shared" si="16"/>
        <v>-55870.588199999998</v>
      </c>
      <c r="J100" s="31" t="str">
        <f t="shared" si="17"/>
        <v>Penurunan IU</v>
      </c>
      <c r="K100" s="46" t="s">
        <v>1247</v>
      </c>
      <c r="O100" s="3">
        <v>24</v>
      </c>
      <c r="P100" t="s">
        <v>589</v>
      </c>
      <c r="Q100" t="s">
        <v>590</v>
      </c>
      <c r="R100" t="s">
        <v>67</v>
      </c>
      <c r="S100">
        <v>1</v>
      </c>
      <c r="T100" t="s">
        <v>20</v>
      </c>
      <c r="U100">
        <v>53500</v>
      </c>
      <c r="V100" s="4">
        <v>53500</v>
      </c>
      <c r="AF100" s="82" t="s">
        <v>16</v>
      </c>
      <c r="AG100" s="83" t="s">
        <v>11</v>
      </c>
      <c r="AH100" s="18" t="s">
        <v>211</v>
      </c>
      <c r="AI100" s="18"/>
      <c r="AJ100" s="18"/>
      <c r="AK100" s="18"/>
      <c r="AL100" s="18"/>
      <c r="AM100" s="19"/>
      <c r="AW100" s="3" t="s">
        <v>100</v>
      </c>
      <c r="AX100" t="s">
        <v>101</v>
      </c>
      <c r="AY100" t="s">
        <v>67</v>
      </c>
      <c r="AZ100" s="10">
        <v>1</v>
      </c>
      <c r="BA100" t="s">
        <v>87</v>
      </c>
      <c r="BB100" s="10">
        <v>8183.3333000000011</v>
      </c>
      <c r="BC100" s="4">
        <v>8183.3333000000002</v>
      </c>
    </row>
    <row r="101" spans="1:55" ht="15.5" thickTop="1" thickBot="1" x14ac:dyDescent="0.4">
      <c r="A101" s="38" t="str">
        <v>KW00121</v>
      </c>
      <c r="B101" s="31" t="str">
        <f t="shared" si="9"/>
        <v>DISWASHER APRON</v>
      </c>
      <c r="C101" s="31" t="str">
        <f t="shared" si="10"/>
        <v>KITCHENWARE TOOLS</v>
      </c>
      <c r="D101" s="39" t="str">
        <f t="shared" si="11"/>
        <v>pcs</v>
      </c>
      <c r="E101" s="53">
        <f t="shared" si="12"/>
        <v>56413</v>
      </c>
      <c r="F101" s="54">
        <f t="shared" si="13"/>
        <v>1</v>
      </c>
      <c r="G101" s="54" t="str">
        <f t="shared" si="14"/>
        <v>0</v>
      </c>
      <c r="H101" s="48">
        <f t="shared" si="15"/>
        <v>-1</v>
      </c>
      <c r="I101" s="53">
        <f t="shared" si="16"/>
        <v>-56413</v>
      </c>
      <c r="J101" s="31" t="str">
        <f t="shared" si="17"/>
        <v>Penurunan IU</v>
      </c>
      <c r="K101" s="46" t="s">
        <v>1247</v>
      </c>
      <c r="O101" s="11" t="s">
        <v>223</v>
      </c>
      <c r="P101" s="12" t="s">
        <v>223</v>
      </c>
      <c r="Q101" s="12" t="s">
        <v>223</v>
      </c>
      <c r="R101" s="12" t="s">
        <v>223</v>
      </c>
      <c r="S101" s="12" t="s">
        <v>223</v>
      </c>
      <c r="T101" s="12" t="s">
        <v>223</v>
      </c>
      <c r="U101" s="12" t="s">
        <v>224</v>
      </c>
      <c r="V101" s="13">
        <v>1164356.3188000002</v>
      </c>
      <c r="AF101" s="82" t="s">
        <v>21</v>
      </c>
      <c r="AG101" s="83" t="s">
        <v>11</v>
      </c>
      <c r="AH101" s="18" t="s">
        <v>573</v>
      </c>
      <c r="AI101" s="18"/>
      <c r="AJ101" s="18"/>
      <c r="AK101" s="18"/>
      <c r="AL101" s="18"/>
      <c r="AM101" s="19"/>
      <c r="AW101" s="3" t="s">
        <v>256</v>
      </c>
      <c r="AX101" t="s">
        <v>257</v>
      </c>
      <c r="AY101" t="s">
        <v>67</v>
      </c>
      <c r="AZ101" s="10">
        <v>6</v>
      </c>
      <c r="BA101" t="s">
        <v>20</v>
      </c>
      <c r="BB101" s="10">
        <v>3485.0962</v>
      </c>
      <c r="BC101" s="4">
        <v>20910.5772</v>
      </c>
    </row>
    <row r="102" spans="1:55" ht="15.5" thickTop="1" thickBot="1" x14ac:dyDescent="0.4">
      <c r="A102" s="38" t="str">
        <v>KW00137</v>
      </c>
      <c r="B102" s="31" t="str">
        <f t="shared" si="9"/>
        <v>SPATULA SILIKON GAGANG KAYU</v>
      </c>
      <c r="C102" s="31" t="str">
        <f t="shared" si="10"/>
        <v>KITCHENWARE TOOLS</v>
      </c>
      <c r="D102" s="39" t="str">
        <f t="shared" si="11"/>
        <v>pcs</v>
      </c>
      <c r="E102" s="53">
        <f t="shared" si="12"/>
        <v>16712.90677419</v>
      </c>
      <c r="F102" s="54">
        <f t="shared" si="13"/>
        <v>15</v>
      </c>
      <c r="G102" s="54" t="str">
        <f t="shared" si="14"/>
        <v>0</v>
      </c>
      <c r="H102" s="48">
        <f t="shared" si="15"/>
        <v>-15</v>
      </c>
      <c r="I102" s="53">
        <f t="shared" si="16"/>
        <v>-250693.60161285001</v>
      </c>
      <c r="J102" s="31" t="str">
        <f t="shared" si="17"/>
        <v>Penurunan IU</v>
      </c>
      <c r="K102" s="46" t="s">
        <v>1247</v>
      </c>
      <c r="AF102" s="82" t="s">
        <v>26</v>
      </c>
      <c r="AG102" s="83" t="s">
        <v>11</v>
      </c>
      <c r="AH102" s="18" t="s">
        <v>833</v>
      </c>
      <c r="AI102" s="18"/>
      <c r="AJ102" s="18"/>
      <c r="AK102" s="18"/>
      <c r="AL102" s="18"/>
      <c r="AM102" s="19"/>
      <c r="AW102" s="3" t="s">
        <v>107</v>
      </c>
      <c r="AX102" t="s">
        <v>108</v>
      </c>
      <c r="AY102" t="s">
        <v>67</v>
      </c>
      <c r="AZ102" s="10">
        <v>3</v>
      </c>
      <c r="BA102" t="s">
        <v>5</v>
      </c>
      <c r="BB102" s="10">
        <v>16246.4782</v>
      </c>
      <c r="BC102" s="4">
        <v>48739.434600000001</v>
      </c>
    </row>
    <row r="103" spans="1:55" ht="15.5" thickTop="1" thickBot="1" x14ac:dyDescent="0.4">
      <c r="A103" s="38" t="str">
        <v>KW00138</v>
      </c>
      <c r="B103" s="31" t="str">
        <f t="shared" si="9"/>
        <v>BOTOL BUMBU TUTUP BUNGA</v>
      </c>
      <c r="C103" s="31" t="str">
        <f t="shared" si="10"/>
        <v>KITCHENWARE TOOLS</v>
      </c>
      <c r="D103" s="39" t="str">
        <f t="shared" si="11"/>
        <v>pcs</v>
      </c>
      <c r="E103" s="53">
        <f t="shared" si="12"/>
        <v>15736.228930813333</v>
      </c>
      <c r="F103" s="54">
        <f t="shared" si="13"/>
        <v>13</v>
      </c>
      <c r="G103" s="54" t="str">
        <f t="shared" si="14"/>
        <v>0</v>
      </c>
      <c r="H103" s="48">
        <f t="shared" si="15"/>
        <v>-13</v>
      </c>
      <c r="I103" s="53">
        <f t="shared" si="16"/>
        <v>-204570.97610057332</v>
      </c>
      <c r="J103" s="31" t="str">
        <f t="shared" si="17"/>
        <v>Penurunan IU</v>
      </c>
      <c r="K103" s="46" t="s">
        <v>1247</v>
      </c>
      <c r="O103" s="88" t="s">
        <v>0</v>
      </c>
      <c r="P103" s="89"/>
      <c r="Q103" s="89"/>
      <c r="R103" s="89"/>
      <c r="S103" s="89"/>
      <c r="T103" s="1"/>
      <c r="U103" s="1"/>
      <c r="V103" s="2"/>
      <c r="AF103" s="82" t="s">
        <v>31</v>
      </c>
      <c r="AG103" s="83" t="s">
        <v>11</v>
      </c>
      <c r="AH103" s="18" t="s">
        <v>198</v>
      </c>
      <c r="AI103" s="18"/>
      <c r="AJ103" s="18"/>
      <c r="AK103" s="18"/>
      <c r="AL103" s="18"/>
      <c r="AM103" s="19"/>
      <c r="AW103" s="3" t="s">
        <v>258</v>
      </c>
      <c r="AX103" t="s">
        <v>259</v>
      </c>
      <c r="AY103" t="s">
        <v>67</v>
      </c>
      <c r="AZ103" s="10">
        <v>0.5</v>
      </c>
      <c r="BA103" t="s">
        <v>5</v>
      </c>
      <c r="BB103" s="10">
        <v>24500</v>
      </c>
      <c r="BC103" s="4">
        <v>12250</v>
      </c>
    </row>
    <row r="104" spans="1:55" ht="15.5" thickTop="1" thickBot="1" x14ac:dyDescent="0.4">
      <c r="A104" s="38" t="str">
        <v>KW00322</v>
      </c>
      <c r="B104" s="31" t="str">
        <f t="shared" si="9"/>
        <v>PEMATIK GAS</v>
      </c>
      <c r="C104" s="31" t="str">
        <f t="shared" si="10"/>
        <v>KITCHENWARE TOOLS</v>
      </c>
      <c r="D104" s="39" t="str">
        <f t="shared" si="11"/>
        <v>pcs</v>
      </c>
      <c r="E104" s="53">
        <f t="shared" si="12"/>
        <v>48894.01</v>
      </c>
      <c r="F104" s="54">
        <f t="shared" si="13"/>
        <v>1</v>
      </c>
      <c r="G104" s="54" t="str">
        <f t="shared" si="14"/>
        <v>0</v>
      </c>
      <c r="H104" s="48">
        <f t="shared" si="15"/>
        <v>-1</v>
      </c>
      <c r="I104" s="53">
        <f t="shared" si="16"/>
        <v>-48894.01</v>
      </c>
      <c r="J104" s="31" t="str">
        <f t="shared" si="17"/>
        <v>Penurunan IU</v>
      </c>
      <c r="K104" s="46" t="s">
        <v>1247</v>
      </c>
      <c r="O104" s="86" t="s">
        <v>1</v>
      </c>
      <c r="P104" s="87"/>
      <c r="Q104" s="87"/>
      <c r="R104" s="87"/>
      <c r="S104" s="87"/>
      <c r="V104" s="4"/>
      <c r="AF104" s="82" t="s">
        <v>35</v>
      </c>
      <c r="AG104" s="83" t="s">
        <v>11</v>
      </c>
      <c r="AH104" s="18" t="s">
        <v>834</v>
      </c>
      <c r="AI104" s="18"/>
      <c r="AJ104" s="18"/>
      <c r="AK104" s="18"/>
      <c r="AL104" s="18"/>
      <c r="AM104" s="19"/>
      <c r="AW104" s="3" t="s">
        <v>587</v>
      </c>
      <c r="AX104" t="s">
        <v>588</v>
      </c>
      <c r="AY104" t="s">
        <v>67</v>
      </c>
      <c r="AZ104" s="10">
        <v>1</v>
      </c>
      <c r="BA104" t="s">
        <v>5</v>
      </c>
      <c r="BB104" s="10">
        <v>6250</v>
      </c>
      <c r="BC104" s="4">
        <v>6250</v>
      </c>
    </row>
    <row r="105" spans="1:55" ht="15.5" thickTop="1" thickBot="1" x14ac:dyDescent="0.4">
      <c r="A105" s="38" t="str">
        <v>TCT00006</v>
      </c>
      <c r="B105" s="31" t="str">
        <f t="shared" si="9"/>
        <v>FOOD TONG/CAPITAN DAGING STAINLESS</v>
      </c>
      <c r="C105" s="31" t="str">
        <f t="shared" si="10"/>
        <v>CUTELERIES</v>
      </c>
      <c r="D105" s="39" t="str">
        <f t="shared" si="11"/>
        <v>pcs</v>
      </c>
      <c r="E105" s="53">
        <f t="shared" si="12"/>
        <v>18967.248359144443</v>
      </c>
      <c r="F105" s="54">
        <f t="shared" si="13"/>
        <v>2</v>
      </c>
      <c r="G105" s="54" t="str">
        <f t="shared" si="14"/>
        <v>0</v>
      </c>
      <c r="H105" s="48">
        <f t="shared" si="15"/>
        <v>-2</v>
      </c>
      <c r="I105" s="53">
        <f t="shared" si="16"/>
        <v>-37934.496718288887</v>
      </c>
      <c r="J105" s="31" t="str">
        <f t="shared" si="17"/>
        <v>Penurunan IU</v>
      </c>
      <c r="K105" s="46" t="s">
        <v>1247</v>
      </c>
      <c r="O105" s="3"/>
      <c r="V105" s="4"/>
      <c r="AF105" s="20"/>
      <c r="AG105" s="18"/>
      <c r="AH105" s="18"/>
      <c r="AI105" s="18"/>
      <c r="AJ105" s="18"/>
      <c r="AK105" s="18"/>
      <c r="AL105" s="18"/>
      <c r="AM105" s="19"/>
      <c r="AW105" s="3" t="s">
        <v>401</v>
      </c>
      <c r="AX105" t="s">
        <v>402</v>
      </c>
      <c r="AY105" t="s">
        <v>67</v>
      </c>
      <c r="AZ105" s="10">
        <v>7.5</v>
      </c>
      <c r="BA105" t="s">
        <v>20</v>
      </c>
      <c r="BB105" s="10">
        <v>3578.68</v>
      </c>
      <c r="BC105" s="4">
        <v>26840.1</v>
      </c>
    </row>
    <row r="106" spans="1:55" ht="15.5" thickTop="1" thickBot="1" x14ac:dyDescent="0.4">
      <c r="A106" s="38" t="str">
        <v>TCT00008</v>
      </c>
      <c r="B106" s="31" t="str">
        <f t="shared" si="9"/>
        <v>SENDOK KOREA STAINLESS SUJEO SUS304</v>
      </c>
      <c r="C106" s="31" t="str">
        <f t="shared" si="10"/>
        <v>CUTELERIES</v>
      </c>
      <c r="D106" s="39" t="str">
        <f t="shared" si="11"/>
        <v>pcs</v>
      </c>
      <c r="E106" s="53">
        <f t="shared" si="12"/>
        <v>3391.7220000000002</v>
      </c>
      <c r="F106" s="54">
        <f t="shared" si="13"/>
        <v>11</v>
      </c>
      <c r="G106" s="54" t="str">
        <f t="shared" si="14"/>
        <v>0</v>
      </c>
      <c r="H106" s="48">
        <f t="shared" si="15"/>
        <v>-11</v>
      </c>
      <c r="I106" s="53">
        <f t="shared" si="16"/>
        <v>-37308.942000000003</v>
      </c>
      <c r="J106" s="31" t="str">
        <f t="shared" si="17"/>
        <v>Penurunan IU</v>
      </c>
      <c r="K106" s="46" t="s">
        <v>1247</v>
      </c>
      <c r="O106" s="86" t="s">
        <v>10</v>
      </c>
      <c r="P106" s="87" t="s">
        <v>11</v>
      </c>
      <c r="Q106" t="s">
        <v>600</v>
      </c>
      <c r="V106" s="4"/>
      <c r="AF106" s="20" t="s">
        <v>42</v>
      </c>
      <c r="AG106" s="18" t="s">
        <v>43</v>
      </c>
      <c r="AH106" s="18" t="s">
        <v>44</v>
      </c>
      <c r="AI106" s="18" t="s">
        <v>45</v>
      </c>
      <c r="AJ106" s="18" t="s">
        <v>46</v>
      </c>
      <c r="AK106" s="18" t="s">
        <v>47</v>
      </c>
      <c r="AL106" s="18" t="s">
        <v>48</v>
      </c>
      <c r="AM106" s="19" t="s">
        <v>49</v>
      </c>
      <c r="AW106" s="3" t="s">
        <v>589</v>
      </c>
      <c r="AX106" t="s">
        <v>590</v>
      </c>
      <c r="AY106" t="s">
        <v>67</v>
      </c>
      <c r="AZ106">
        <v>1</v>
      </c>
      <c r="BA106" t="s">
        <v>20</v>
      </c>
      <c r="BB106">
        <v>53500</v>
      </c>
      <c r="BC106" s="4">
        <v>53500</v>
      </c>
    </row>
    <row r="107" spans="1:55" ht="15.5" thickTop="1" thickBot="1" x14ac:dyDescent="0.4">
      <c r="A107" s="38" t="str">
        <v>TCT00009</v>
      </c>
      <c r="B107" s="31" t="str">
        <f t="shared" si="9"/>
        <v>GARPU KOREA STAINLES SUJEO SUS 304</v>
      </c>
      <c r="C107" s="31" t="str">
        <f t="shared" si="10"/>
        <v>CUTELERIES</v>
      </c>
      <c r="D107" s="39" t="str">
        <f t="shared" si="11"/>
        <v>pcs</v>
      </c>
      <c r="E107" s="53">
        <f t="shared" si="12"/>
        <v>11046.52943217</v>
      </c>
      <c r="F107" s="54">
        <f t="shared" si="13"/>
        <v>2</v>
      </c>
      <c r="G107" s="54" t="str">
        <f t="shared" si="14"/>
        <v>0</v>
      </c>
      <c r="H107" s="48">
        <f t="shared" si="15"/>
        <v>-2</v>
      </c>
      <c r="I107" s="53">
        <f t="shared" si="16"/>
        <v>-22093.058864340001</v>
      </c>
      <c r="J107" s="31" t="str">
        <f t="shared" si="17"/>
        <v>Penurunan IU</v>
      </c>
      <c r="K107" s="46" t="s">
        <v>1247</v>
      </c>
      <c r="O107" s="86" t="s">
        <v>16</v>
      </c>
      <c r="P107" s="87" t="s">
        <v>11</v>
      </c>
      <c r="Q107" t="s">
        <v>17</v>
      </c>
      <c r="V107" s="4"/>
      <c r="AF107" s="20">
        <v>1</v>
      </c>
      <c r="AG107" s="18" t="s">
        <v>168</v>
      </c>
      <c r="AH107" s="18" t="s">
        <v>169</v>
      </c>
      <c r="AI107" s="18" t="s">
        <v>165</v>
      </c>
      <c r="AJ107" s="21">
        <v>1</v>
      </c>
      <c r="AK107" s="18" t="s">
        <v>20</v>
      </c>
      <c r="AL107" s="21">
        <v>35200.996200000001</v>
      </c>
      <c r="AM107" s="19">
        <v>35200.996200000001</v>
      </c>
      <c r="AW107" s="3" t="s">
        <v>2</v>
      </c>
      <c r="AX107" t="s">
        <v>3</v>
      </c>
      <c r="AY107" t="s">
        <v>4</v>
      </c>
      <c r="AZ107" s="10">
        <v>3</v>
      </c>
      <c r="BA107" t="s">
        <v>5</v>
      </c>
      <c r="BB107" s="10">
        <v>24144.895700000001</v>
      </c>
      <c r="BC107" s="4">
        <v>72434.687099999996</v>
      </c>
    </row>
    <row r="108" spans="1:55" ht="15.5" thickTop="1" thickBot="1" x14ac:dyDescent="0.4">
      <c r="A108" s="38" t="str">
        <v>TGW00003</v>
      </c>
      <c r="B108" s="31" t="str">
        <f t="shared" si="9"/>
        <v>MANGKOK KERAMIK/ KOREAN CERAMIK BOWL 14 CM</v>
      </c>
      <c r="C108" s="31" t="str">
        <f t="shared" si="10"/>
        <v>TABLEWARE</v>
      </c>
      <c r="D108" s="39" t="str">
        <f t="shared" si="11"/>
        <v>pcs</v>
      </c>
      <c r="E108" s="53">
        <f t="shared" si="12"/>
        <v>126927.29933846154</v>
      </c>
      <c r="F108" s="54">
        <f t="shared" si="13"/>
        <v>1</v>
      </c>
      <c r="G108" s="54" t="str">
        <f t="shared" si="14"/>
        <v>0</v>
      </c>
      <c r="H108" s="48">
        <f t="shared" si="15"/>
        <v>-1</v>
      </c>
      <c r="I108" s="53">
        <f t="shared" si="16"/>
        <v>-126927.29933846154</v>
      </c>
      <c r="J108" s="31" t="str">
        <f t="shared" si="17"/>
        <v>Penurunan IU</v>
      </c>
      <c r="K108" s="46" t="s">
        <v>1247</v>
      </c>
      <c r="O108" s="86" t="s">
        <v>21</v>
      </c>
      <c r="P108" s="87" t="s">
        <v>11</v>
      </c>
      <c r="Q108" t="s">
        <v>573</v>
      </c>
      <c r="V108" s="4"/>
      <c r="AF108" s="20">
        <v>2</v>
      </c>
      <c r="AG108" s="18" t="s">
        <v>383</v>
      </c>
      <c r="AH108" s="18" t="s">
        <v>384</v>
      </c>
      <c r="AI108" s="18" t="s">
        <v>182</v>
      </c>
      <c r="AJ108" s="18">
        <v>8</v>
      </c>
      <c r="AK108" s="18" t="s">
        <v>20</v>
      </c>
      <c r="AL108" s="18">
        <v>20439.443299999999</v>
      </c>
      <c r="AM108" s="19">
        <v>163515.54639999999</v>
      </c>
      <c r="AW108" s="3" t="s">
        <v>7</v>
      </c>
      <c r="AX108" t="s">
        <v>8</v>
      </c>
      <c r="AY108" t="s">
        <v>4</v>
      </c>
      <c r="AZ108" s="10">
        <v>1.64</v>
      </c>
      <c r="BA108" t="s">
        <v>9</v>
      </c>
      <c r="BB108" s="10">
        <v>133200</v>
      </c>
      <c r="BC108" s="4">
        <v>218448</v>
      </c>
    </row>
    <row r="109" spans="1:55" ht="15.5" thickTop="1" thickBot="1" x14ac:dyDescent="0.4">
      <c r="A109" s="38" t="str">
        <v>TGW00008</v>
      </c>
      <c r="B109" s="31" t="str">
        <f t="shared" si="9"/>
        <v>IGIGLORI 2710 PIRING HITAM GIMBAP</v>
      </c>
      <c r="C109" s="31" t="str">
        <f t="shared" si="10"/>
        <v>TABLEWARE</v>
      </c>
      <c r="D109" s="39" t="str">
        <f t="shared" si="11"/>
        <v>pcs</v>
      </c>
      <c r="E109" s="53">
        <f t="shared" si="12"/>
        <v>51170</v>
      </c>
      <c r="F109" s="54">
        <f t="shared" si="13"/>
        <v>1</v>
      </c>
      <c r="G109" s="54" t="str">
        <f t="shared" si="14"/>
        <v>0</v>
      </c>
      <c r="H109" s="48">
        <f t="shared" si="15"/>
        <v>-1</v>
      </c>
      <c r="I109" s="53">
        <f t="shared" si="16"/>
        <v>-51170</v>
      </c>
      <c r="J109" s="31" t="str">
        <f t="shared" si="17"/>
        <v>Penurunan IU</v>
      </c>
      <c r="K109" s="46" t="s">
        <v>1247</v>
      </c>
      <c r="O109" s="86" t="s">
        <v>26</v>
      </c>
      <c r="P109" s="87" t="s">
        <v>11</v>
      </c>
      <c r="Q109" t="s">
        <v>601</v>
      </c>
      <c r="V109" s="4"/>
      <c r="AF109" s="22" t="s">
        <v>223</v>
      </c>
      <c r="AG109" s="23" t="s">
        <v>223</v>
      </c>
      <c r="AH109" s="23" t="s">
        <v>223</v>
      </c>
      <c r="AI109" s="23" t="s">
        <v>223</v>
      </c>
      <c r="AJ109" s="23" t="s">
        <v>223</v>
      </c>
      <c r="AK109" s="23" t="s">
        <v>223</v>
      </c>
      <c r="AL109" s="23" t="s">
        <v>224</v>
      </c>
      <c r="AM109" s="24">
        <v>198716.54259999999</v>
      </c>
      <c r="AW109" s="3" t="s">
        <v>13</v>
      </c>
      <c r="AX109" t="s">
        <v>14</v>
      </c>
      <c r="AY109" t="s">
        <v>4</v>
      </c>
      <c r="AZ109" s="10">
        <v>0.35</v>
      </c>
      <c r="BA109" t="s">
        <v>15</v>
      </c>
      <c r="BB109" s="10">
        <v>78266.618000000002</v>
      </c>
      <c r="BC109" s="4">
        <v>27393.316299999999</v>
      </c>
    </row>
    <row r="110" spans="1:55" ht="15.5" thickTop="1" thickBot="1" x14ac:dyDescent="0.4">
      <c r="A110" s="38" t="str">
        <v>TGW00009</v>
      </c>
      <c r="B110" s="31" t="str">
        <f t="shared" si="9"/>
        <v>IGIGLORI M6003 GELAS HITAM KOREA</v>
      </c>
      <c r="C110" s="31" t="str">
        <f t="shared" si="10"/>
        <v>TABLEWARE</v>
      </c>
      <c r="D110" s="39" t="str">
        <f t="shared" si="11"/>
        <v>pcs</v>
      </c>
      <c r="E110" s="53">
        <f t="shared" si="12"/>
        <v>18480</v>
      </c>
      <c r="F110" s="54">
        <f t="shared" si="13"/>
        <v>2</v>
      </c>
      <c r="G110" s="54" t="str">
        <f t="shared" si="14"/>
        <v>0</v>
      </c>
      <c r="H110" s="48">
        <f t="shared" si="15"/>
        <v>-2</v>
      </c>
      <c r="I110" s="53">
        <f t="shared" si="16"/>
        <v>-36960</v>
      </c>
      <c r="J110" s="31" t="str">
        <f t="shared" si="17"/>
        <v>Penurunan IU</v>
      </c>
      <c r="K110" s="46" t="s">
        <v>1247</v>
      </c>
      <c r="O110" s="86" t="s">
        <v>31</v>
      </c>
      <c r="P110" s="87" t="s">
        <v>11</v>
      </c>
      <c r="Q110" t="s">
        <v>32</v>
      </c>
      <c r="V110" s="4"/>
      <c r="AW110" s="3" t="s">
        <v>18</v>
      </c>
      <c r="AX110" t="s">
        <v>19</v>
      </c>
      <c r="AY110" t="s">
        <v>4</v>
      </c>
      <c r="AZ110" s="10">
        <v>0.74</v>
      </c>
      <c r="BA110" t="s">
        <v>20</v>
      </c>
      <c r="BB110" s="10">
        <v>151400</v>
      </c>
      <c r="BC110" s="4">
        <v>112036</v>
      </c>
    </row>
    <row r="111" spans="1:55" ht="15.5" thickTop="1" thickBot="1" x14ac:dyDescent="0.4">
      <c r="A111" s="38" t="str">
        <v>TGW00011</v>
      </c>
      <c r="B111" s="31" t="str">
        <f t="shared" si="9"/>
        <v>TEMPAT SAMBAL ACRYLIC - KECIL</v>
      </c>
      <c r="C111" s="31" t="str">
        <f t="shared" si="10"/>
        <v>TABLEWARE</v>
      </c>
      <c r="D111" s="39" t="str">
        <f t="shared" si="11"/>
        <v>pcs</v>
      </c>
      <c r="E111" s="53">
        <f t="shared" si="12"/>
        <v>31716.666699999998</v>
      </c>
      <c r="F111" s="54">
        <f t="shared" si="13"/>
        <v>12</v>
      </c>
      <c r="G111" s="54" t="str">
        <f t="shared" si="14"/>
        <v>0</v>
      </c>
      <c r="H111" s="48">
        <f t="shared" si="15"/>
        <v>-12</v>
      </c>
      <c r="I111" s="53">
        <f t="shared" si="16"/>
        <v>-380600.00039999996</v>
      </c>
      <c r="J111" s="31" t="str">
        <f t="shared" si="17"/>
        <v>Penurunan IU</v>
      </c>
      <c r="K111" s="46" t="s">
        <v>1247</v>
      </c>
      <c r="O111" s="86" t="s">
        <v>35</v>
      </c>
      <c r="P111" s="87" t="s">
        <v>11</v>
      </c>
      <c r="Q111" t="s">
        <v>602</v>
      </c>
      <c r="V111" s="4"/>
      <c r="AW111" s="3" t="s">
        <v>219</v>
      </c>
      <c r="AX111" t="s">
        <v>220</v>
      </c>
      <c r="AY111" t="s">
        <v>4</v>
      </c>
      <c r="AZ111" s="10">
        <v>0.32</v>
      </c>
      <c r="BA111" t="s">
        <v>25</v>
      </c>
      <c r="BB111" s="10">
        <v>47805.109900000003</v>
      </c>
      <c r="BC111" s="4">
        <v>15297.635168000001</v>
      </c>
    </row>
    <row r="112" spans="1:55" ht="15.5" thickTop="1" thickBot="1" x14ac:dyDescent="0.4">
      <c r="A112" s="43" t="str">
        <v>TGW00076</v>
      </c>
      <c r="B112" s="32" t="str">
        <f t="shared" si="9"/>
        <v>PIRING IGI GLORY YA04</v>
      </c>
      <c r="C112" s="32" t="str">
        <f t="shared" si="10"/>
        <v>TABLEWARE</v>
      </c>
      <c r="D112" s="49" t="str">
        <f t="shared" si="11"/>
        <v>pcs</v>
      </c>
      <c r="E112" s="55">
        <f t="shared" si="12"/>
        <v>28560</v>
      </c>
      <c r="F112" s="56">
        <f t="shared" si="13"/>
        <v>1</v>
      </c>
      <c r="G112" s="56" t="str">
        <f t="shared" si="14"/>
        <v>0</v>
      </c>
      <c r="H112" s="51">
        <f t="shared" si="15"/>
        <v>-1</v>
      </c>
      <c r="I112" s="55">
        <f t="shared" si="16"/>
        <v>-28560</v>
      </c>
      <c r="J112" s="32" t="str">
        <f t="shared" si="17"/>
        <v>Penurunan IU</v>
      </c>
      <c r="K112" s="46" t="s">
        <v>1247</v>
      </c>
      <c r="O112" s="3"/>
      <c r="V112" s="4"/>
      <c r="AF112" s="84" t="s">
        <v>0</v>
      </c>
      <c r="AG112" s="85"/>
      <c r="AH112" s="85"/>
      <c r="AI112" s="85"/>
      <c r="AJ112" s="85"/>
      <c r="AK112" s="16"/>
      <c r="AL112" s="16"/>
      <c r="AM112" s="17"/>
      <c r="AW112" s="3" t="s">
        <v>221</v>
      </c>
      <c r="AX112" t="s">
        <v>222</v>
      </c>
      <c r="AY112" t="s">
        <v>4</v>
      </c>
      <c r="AZ112" s="10">
        <v>2.06</v>
      </c>
      <c r="BA112" t="s">
        <v>25</v>
      </c>
      <c r="BB112" s="10">
        <v>84815.170100000003</v>
      </c>
      <c r="BC112" s="4">
        <v>174719.25040600001</v>
      </c>
    </row>
    <row r="113" spans="15:55" ht="15" thickTop="1" x14ac:dyDescent="0.35">
      <c r="O113" s="3" t="s">
        <v>42</v>
      </c>
      <c r="P113" t="s">
        <v>43</v>
      </c>
      <c r="Q113" t="s">
        <v>44</v>
      </c>
      <c r="R113" t="s">
        <v>45</v>
      </c>
      <c r="S113" t="s">
        <v>46</v>
      </c>
      <c r="T113" t="s">
        <v>47</v>
      </c>
      <c r="U113" t="s">
        <v>48</v>
      </c>
      <c r="V113" s="4" t="s">
        <v>49</v>
      </c>
      <c r="AF113" s="82" t="s">
        <v>1</v>
      </c>
      <c r="AG113" s="83"/>
      <c r="AH113" s="83"/>
      <c r="AI113" s="83"/>
      <c r="AJ113" s="83"/>
      <c r="AK113" s="18"/>
      <c r="AL113" s="18"/>
      <c r="AM113" s="19"/>
      <c r="AW113" s="3" t="s">
        <v>23</v>
      </c>
      <c r="AX113" t="s">
        <v>24</v>
      </c>
      <c r="AY113" t="s">
        <v>4</v>
      </c>
      <c r="AZ113" s="10">
        <v>2.2000000000000002</v>
      </c>
      <c r="BA113" t="s">
        <v>25</v>
      </c>
      <c r="BB113" s="10">
        <v>17965.7497</v>
      </c>
      <c r="BC113" s="4">
        <v>39524.649340000004</v>
      </c>
    </row>
    <row r="114" spans="15:55" x14ac:dyDescent="0.35">
      <c r="O114" s="3">
        <v>1</v>
      </c>
      <c r="P114" t="s">
        <v>2</v>
      </c>
      <c r="Q114" t="s">
        <v>3</v>
      </c>
      <c r="R114" t="s">
        <v>4</v>
      </c>
      <c r="S114" s="10">
        <v>3</v>
      </c>
      <c r="T114" t="s">
        <v>5</v>
      </c>
      <c r="U114" s="10">
        <v>24144.895700000001</v>
      </c>
      <c r="V114" s="4">
        <v>72434.687099999996</v>
      </c>
      <c r="AF114" s="20"/>
      <c r="AG114" s="18"/>
      <c r="AH114" s="18"/>
      <c r="AI114" s="18"/>
      <c r="AJ114" s="18"/>
      <c r="AK114" s="18"/>
      <c r="AL114" s="18"/>
      <c r="AM114" s="19"/>
      <c r="AW114" s="3" t="s">
        <v>28</v>
      </c>
      <c r="AX114" t="s">
        <v>29</v>
      </c>
      <c r="AY114" t="s">
        <v>4</v>
      </c>
      <c r="AZ114" s="10">
        <v>13.8</v>
      </c>
      <c r="BA114" t="s">
        <v>30</v>
      </c>
      <c r="BB114" s="10">
        <v>19753.139200000001</v>
      </c>
      <c r="BC114" s="4">
        <v>272593.32095999998</v>
      </c>
    </row>
    <row r="115" spans="15:55" x14ac:dyDescent="0.35">
      <c r="O115" s="3">
        <v>2</v>
      </c>
      <c r="P115" t="s">
        <v>7</v>
      </c>
      <c r="Q115" t="s">
        <v>8</v>
      </c>
      <c r="R115" t="s">
        <v>4</v>
      </c>
      <c r="S115" s="10">
        <v>1.64</v>
      </c>
      <c r="T115" t="s">
        <v>9</v>
      </c>
      <c r="U115" s="10">
        <v>133200</v>
      </c>
      <c r="V115" s="4">
        <v>218448</v>
      </c>
      <c r="AF115" s="82" t="s">
        <v>10</v>
      </c>
      <c r="AG115" s="83" t="s">
        <v>11</v>
      </c>
      <c r="AH115" s="18" t="s">
        <v>835</v>
      </c>
      <c r="AI115" s="18"/>
      <c r="AJ115" s="18"/>
      <c r="AK115" s="18"/>
      <c r="AL115" s="18"/>
      <c r="AM115" s="19"/>
      <c r="AW115" s="3" t="s">
        <v>33</v>
      </c>
      <c r="AX115" t="s">
        <v>34</v>
      </c>
      <c r="AY115" t="s">
        <v>4</v>
      </c>
      <c r="AZ115" s="10">
        <v>10</v>
      </c>
      <c r="BA115" t="s">
        <v>30</v>
      </c>
      <c r="BB115" s="10">
        <v>13000</v>
      </c>
      <c r="BC115" s="4">
        <v>130000</v>
      </c>
    </row>
    <row r="116" spans="15:55" x14ac:dyDescent="0.35">
      <c r="O116" s="3">
        <v>3</v>
      </c>
      <c r="P116" t="s">
        <v>13</v>
      </c>
      <c r="Q116" t="s">
        <v>14</v>
      </c>
      <c r="R116" t="s">
        <v>4</v>
      </c>
      <c r="S116" s="10">
        <v>0.35</v>
      </c>
      <c r="T116" t="s">
        <v>15</v>
      </c>
      <c r="U116" s="10">
        <v>78266.618000000002</v>
      </c>
      <c r="V116" s="4">
        <v>27393.316299999999</v>
      </c>
      <c r="AF116" s="82" t="s">
        <v>16</v>
      </c>
      <c r="AG116" s="83" t="s">
        <v>11</v>
      </c>
      <c r="AH116" s="18" t="s">
        <v>211</v>
      </c>
      <c r="AI116" s="18"/>
      <c r="AJ116" s="18"/>
      <c r="AK116" s="18"/>
      <c r="AL116" s="18"/>
      <c r="AM116" s="19"/>
      <c r="AW116" s="3" t="s">
        <v>50</v>
      </c>
      <c r="AX116" t="s">
        <v>51</v>
      </c>
      <c r="AY116" t="s">
        <v>41</v>
      </c>
      <c r="AZ116" s="10">
        <v>33</v>
      </c>
      <c r="BA116" t="s">
        <v>52</v>
      </c>
      <c r="BB116" s="10">
        <v>20499.9918</v>
      </c>
      <c r="BC116" s="4">
        <v>676499.72939999995</v>
      </c>
    </row>
    <row r="117" spans="15:55" x14ac:dyDescent="0.35">
      <c r="O117" s="3">
        <v>4</v>
      </c>
      <c r="P117" t="s">
        <v>18</v>
      </c>
      <c r="Q117" t="s">
        <v>19</v>
      </c>
      <c r="R117" t="s">
        <v>4</v>
      </c>
      <c r="S117" s="10">
        <v>0.74</v>
      </c>
      <c r="T117" t="s">
        <v>20</v>
      </c>
      <c r="U117" s="10">
        <v>151400</v>
      </c>
      <c r="V117" s="4">
        <v>112036</v>
      </c>
      <c r="AF117" s="82" t="s">
        <v>21</v>
      </c>
      <c r="AG117" s="83" t="s">
        <v>11</v>
      </c>
      <c r="AH117" s="18" t="s">
        <v>573</v>
      </c>
      <c r="AI117" s="18"/>
      <c r="AJ117" s="18"/>
      <c r="AK117" s="18"/>
      <c r="AL117" s="18"/>
      <c r="AM117" s="19"/>
      <c r="AW117" s="3" t="s">
        <v>306</v>
      </c>
      <c r="AX117" t="s">
        <v>307</v>
      </c>
      <c r="AY117" t="s">
        <v>41</v>
      </c>
      <c r="AZ117" s="10">
        <v>3</v>
      </c>
      <c r="BA117" t="s">
        <v>20</v>
      </c>
      <c r="BB117" s="10">
        <v>7097.2416000000003</v>
      </c>
      <c r="BC117" s="4">
        <v>21291.7248</v>
      </c>
    </row>
    <row r="118" spans="15:55" x14ac:dyDescent="0.35">
      <c r="O118" s="3">
        <v>5</v>
      </c>
      <c r="P118" t="s">
        <v>219</v>
      </c>
      <c r="Q118" t="s">
        <v>220</v>
      </c>
      <c r="R118" t="s">
        <v>4</v>
      </c>
      <c r="S118" s="10">
        <v>0.32</v>
      </c>
      <c r="T118" t="s">
        <v>25</v>
      </c>
      <c r="U118" s="10">
        <v>47805.109900000003</v>
      </c>
      <c r="V118" s="4">
        <v>15297.635168000001</v>
      </c>
      <c r="AF118" s="82" t="s">
        <v>26</v>
      </c>
      <c r="AG118" s="83" t="s">
        <v>11</v>
      </c>
      <c r="AH118" s="18" t="s">
        <v>836</v>
      </c>
      <c r="AI118" s="18"/>
      <c r="AJ118" s="18"/>
      <c r="AK118" s="18"/>
      <c r="AL118" s="18"/>
      <c r="AM118" s="19"/>
      <c r="AW118" s="3" t="s">
        <v>53</v>
      </c>
      <c r="AX118" t="s">
        <v>54</v>
      </c>
      <c r="AY118" t="s">
        <v>41</v>
      </c>
      <c r="AZ118" s="10">
        <v>7</v>
      </c>
      <c r="BA118" t="s">
        <v>20</v>
      </c>
      <c r="BB118" s="10">
        <v>3111.8</v>
      </c>
      <c r="BC118" s="4">
        <v>21782.6</v>
      </c>
    </row>
    <row r="119" spans="15:55" x14ac:dyDescent="0.35">
      <c r="O119" s="3">
        <v>6</v>
      </c>
      <c r="P119" t="s">
        <v>221</v>
      </c>
      <c r="Q119" t="s">
        <v>222</v>
      </c>
      <c r="R119" t="s">
        <v>4</v>
      </c>
      <c r="S119" s="10">
        <v>2.06</v>
      </c>
      <c r="T119" t="s">
        <v>25</v>
      </c>
      <c r="U119" s="10">
        <v>84815.170100000003</v>
      </c>
      <c r="V119" s="4">
        <v>174719.25040600001</v>
      </c>
      <c r="AF119" s="82" t="s">
        <v>31</v>
      </c>
      <c r="AG119" s="83" t="s">
        <v>11</v>
      </c>
      <c r="AH119" s="18" t="s">
        <v>198</v>
      </c>
      <c r="AI119" s="18"/>
      <c r="AJ119" s="18"/>
      <c r="AK119" s="18"/>
      <c r="AL119" s="18"/>
      <c r="AM119" s="19"/>
      <c r="AW119" s="3" t="s">
        <v>453</v>
      </c>
      <c r="AX119" t="s">
        <v>454</v>
      </c>
      <c r="AY119" t="s">
        <v>41</v>
      </c>
      <c r="AZ119" s="10">
        <v>2</v>
      </c>
      <c r="BA119" t="s">
        <v>267</v>
      </c>
      <c r="BB119" s="10">
        <v>18735.46</v>
      </c>
      <c r="BC119" s="4">
        <v>37470.92</v>
      </c>
    </row>
    <row r="120" spans="15:55" x14ac:dyDescent="0.35">
      <c r="O120" s="3">
        <v>7</v>
      </c>
      <c r="P120" t="s">
        <v>23</v>
      </c>
      <c r="Q120" t="s">
        <v>24</v>
      </c>
      <c r="R120" t="s">
        <v>4</v>
      </c>
      <c r="S120" s="10">
        <v>2.2000000000000002</v>
      </c>
      <c r="T120" t="s">
        <v>25</v>
      </c>
      <c r="U120" s="10">
        <v>17965.7497</v>
      </c>
      <c r="V120" s="4">
        <v>39524.649340000004</v>
      </c>
      <c r="AF120" s="82" t="s">
        <v>35</v>
      </c>
      <c r="AG120" s="83" t="s">
        <v>11</v>
      </c>
      <c r="AH120" s="18" t="s">
        <v>834</v>
      </c>
      <c r="AI120" s="18"/>
      <c r="AJ120" s="18"/>
      <c r="AK120" s="18"/>
      <c r="AL120" s="18"/>
      <c r="AM120" s="19"/>
      <c r="AW120" s="3" t="s">
        <v>407</v>
      </c>
      <c r="AX120" t="s">
        <v>408</v>
      </c>
      <c r="AY120" t="s">
        <v>41</v>
      </c>
      <c r="AZ120" s="10">
        <v>3</v>
      </c>
      <c r="BA120" t="s">
        <v>267</v>
      </c>
      <c r="BB120" s="10">
        <v>29877.968799999999</v>
      </c>
      <c r="BC120" s="4">
        <v>89633.906400000007</v>
      </c>
    </row>
    <row r="121" spans="15:55" x14ac:dyDescent="0.35">
      <c r="O121" s="3">
        <v>8</v>
      </c>
      <c r="P121" t="s">
        <v>28</v>
      </c>
      <c r="Q121" t="s">
        <v>29</v>
      </c>
      <c r="R121" t="s">
        <v>4</v>
      </c>
      <c r="S121" s="10">
        <v>13.8</v>
      </c>
      <c r="T121" t="s">
        <v>30</v>
      </c>
      <c r="U121" s="10">
        <v>19753.139200000001</v>
      </c>
      <c r="V121" s="4">
        <v>272593.32095999998</v>
      </c>
      <c r="AF121" s="20"/>
      <c r="AG121" s="18"/>
      <c r="AH121" s="18"/>
      <c r="AI121" s="18"/>
      <c r="AJ121" s="18"/>
      <c r="AK121" s="18"/>
      <c r="AL121" s="18"/>
      <c r="AM121" s="19"/>
      <c r="AW121" s="3" t="s">
        <v>310</v>
      </c>
      <c r="AX121" t="s">
        <v>311</v>
      </c>
      <c r="AY121" t="s">
        <v>41</v>
      </c>
      <c r="AZ121" s="10">
        <v>1</v>
      </c>
      <c r="BA121" t="s">
        <v>20</v>
      </c>
      <c r="BB121" s="10">
        <v>10499.75</v>
      </c>
      <c r="BC121" s="4">
        <v>10499.75</v>
      </c>
    </row>
    <row r="122" spans="15:55" x14ac:dyDescent="0.35">
      <c r="O122" s="3">
        <v>9</v>
      </c>
      <c r="P122" t="s">
        <v>33</v>
      </c>
      <c r="Q122" t="s">
        <v>34</v>
      </c>
      <c r="R122" t="s">
        <v>4</v>
      </c>
      <c r="S122" s="10">
        <v>10</v>
      </c>
      <c r="T122" t="s">
        <v>30</v>
      </c>
      <c r="U122" s="10">
        <v>13000</v>
      </c>
      <c r="V122" s="4">
        <v>130000</v>
      </c>
      <c r="AF122" s="20" t="s">
        <v>42</v>
      </c>
      <c r="AG122" s="18" t="s">
        <v>43</v>
      </c>
      <c r="AH122" s="18" t="s">
        <v>44</v>
      </c>
      <c r="AI122" s="18" t="s">
        <v>45</v>
      </c>
      <c r="AJ122" s="18" t="s">
        <v>46</v>
      </c>
      <c r="AK122" s="18" t="s">
        <v>47</v>
      </c>
      <c r="AL122" s="18" t="s">
        <v>48</v>
      </c>
      <c r="AM122" s="19" t="s">
        <v>49</v>
      </c>
      <c r="AW122" s="3" t="s">
        <v>57</v>
      </c>
      <c r="AX122" t="s">
        <v>58</v>
      </c>
      <c r="AY122" t="s">
        <v>41</v>
      </c>
      <c r="AZ122" s="10">
        <v>9</v>
      </c>
      <c r="BA122" t="s">
        <v>5</v>
      </c>
      <c r="BB122" s="10">
        <v>7698.2878000000001</v>
      </c>
      <c r="BC122" s="4">
        <v>69284.590200000006</v>
      </c>
    </row>
    <row r="123" spans="15:55" x14ac:dyDescent="0.35">
      <c r="O123" s="3">
        <v>10</v>
      </c>
      <c r="P123" t="s">
        <v>50</v>
      </c>
      <c r="Q123" t="s">
        <v>51</v>
      </c>
      <c r="R123" t="s">
        <v>41</v>
      </c>
      <c r="S123" s="10">
        <v>33</v>
      </c>
      <c r="T123" t="s">
        <v>52</v>
      </c>
      <c r="U123" s="10">
        <v>20499.9918</v>
      </c>
      <c r="V123" s="4">
        <v>676499.72939999995</v>
      </c>
      <c r="AF123" s="20">
        <v>1</v>
      </c>
      <c r="AG123" s="18" t="s">
        <v>474</v>
      </c>
      <c r="AH123" s="18" t="s">
        <v>475</v>
      </c>
      <c r="AI123" s="18" t="s">
        <v>192</v>
      </c>
      <c r="AJ123" s="18">
        <v>1</v>
      </c>
      <c r="AK123" s="18" t="s">
        <v>20</v>
      </c>
      <c r="AL123" s="18">
        <v>8750</v>
      </c>
      <c r="AM123" s="19">
        <v>8750</v>
      </c>
      <c r="AW123" s="3" t="s">
        <v>59</v>
      </c>
      <c r="AX123" t="s">
        <v>60</v>
      </c>
      <c r="AY123" t="s">
        <v>41</v>
      </c>
      <c r="AZ123" s="10">
        <v>13</v>
      </c>
      <c r="BA123" t="s">
        <v>5</v>
      </c>
      <c r="BB123" s="10">
        <v>7696.7530999999999</v>
      </c>
      <c r="BC123" s="4">
        <v>100057.79029999999</v>
      </c>
    </row>
    <row r="124" spans="15:55" ht="15" thickBot="1" x14ac:dyDescent="0.4">
      <c r="O124" s="3">
        <v>11</v>
      </c>
      <c r="P124" t="s">
        <v>306</v>
      </c>
      <c r="Q124" t="s">
        <v>307</v>
      </c>
      <c r="R124" t="s">
        <v>41</v>
      </c>
      <c r="S124" s="10">
        <v>3</v>
      </c>
      <c r="T124" t="s">
        <v>20</v>
      </c>
      <c r="U124" s="10">
        <v>7097.2416000000003</v>
      </c>
      <c r="V124" s="4">
        <v>21291.7248</v>
      </c>
      <c r="AF124" s="22" t="s">
        <v>223</v>
      </c>
      <c r="AG124" s="23" t="s">
        <v>223</v>
      </c>
      <c r="AH124" s="23" t="s">
        <v>223</v>
      </c>
      <c r="AI124" s="23" t="s">
        <v>223</v>
      </c>
      <c r="AJ124" s="23" t="s">
        <v>223</v>
      </c>
      <c r="AK124" s="23" t="s">
        <v>223</v>
      </c>
      <c r="AL124" s="23" t="s">
        <v>224</v>
      </c>
      <c r="AM124" s="24">
        <v>8750</v>
      </c>
      <c r="AW124" s="3" t="s">
        <v>61</v>
      </c>
      <c r="AX124" t="s">
        <v>62</v>
      </c>
      <c r="AY124" t="s">
        <v>41</v>
      </c>
      <c r="AZ124">
        <v>4</v>
      </c>
      <c r="BA124" t="s">
        <v>5</v>
      </c>
      <c r="BB124">
        <v>13935.540999999999</v>
      </c>
      <c r="BC124" s="4">
        <v>55742.163999999997</v>
      </c>
    </row>
    <row r="125" spans="15:55" x14ac:dyDescent="0.35">
      <c r="O125" s="3">
        <v>12</v>
      </c>
      <c r="P125" t="s">
        <v>53</v>
      </c>
      <c r="Q125" t="s">
        <v>54</v>
      </c>
      <c r="R125" t="s">
        <v>41</v>
      </c>
      <c r="S125" s="10">
        <v>7</v>
      </c>
      <c r="T125" t="s">
        <v>20</v>
      </c>
      <c r="U125" s="10">
        <v>3111.8</v>
      </c>
      <c r="V125" s="4">
        <v>21782.6</v>
      </c>
      <c r="AW125" s="3" t="s">
        <v>39</v>
      </c>
      <c r="AX125" t="s">
        <v>40</v>
      </c>
      <c r="AY125" t="s">
        <v>41</v>
      </c>
      <c r="AZ125" s="10">
        <v>4</v>
      </c>
      <c r="BA125" t="s">
        <v>20</v>
      </c>
      <c r="BB125" s="10">
        <v>7051.6414000000004</v>
      </c>
      <c r="BC125" s="4">
        <v>28206.565600000002</v>
      </c>
    </row>
    <row r="126" spans="15:55" ht="15" thickBot="1" x14ac:dyDescent="0.4">
      <c r="O126" s="3">
        <v>13</v>
      </c>
      <c r="P126" t="s">
        <v>453</v>
      </c>
      <c r="Q126" t="s">
        <v>454</v>
      </c>
      <c r="R126" t="s">
        <v>41</v>
      </c>
      <c r="S126" s="10">
        <v>2</v>
      </c>
      <c r="T126" t="s">
        <v>267</v>
      </c>
      <c r="U126" s="10">
        <v>18735.46</v>
      </c>
      <c r="V126" s="4">
        <v>37470.92</v>
      </c>
      <c r="AW126" s="3" t="s">
        <v>128</v>
      </c>
      <c r="AX126" t="s">
        <v>129</v>
      </c>
      <c r="AY126" t="s">
        <v>123</v>
      </c>
      <c r="AZ126" s="10">
        <v>4</v>
      </c>
      <c r="BA126" t="s">
        <v>74</v>
      </c>
      <c r="BB126" s="10">
        <v>142067.18640000001</v>
      </c>
      <c r="BC126" s="4">
        <v>568268.74560000002</v>
      </c>
    </row>
    <row r="127" spans="15:55" x14ac:dyDescent="0.35">
      <c r="O127" s="3">
        <v>14</v>
      </c>
      <c r="P127" t="s">
        <v>407</v>
      </c>
      <c r="Q127" t="s">
        <v>408</v>
      </c>
      <c r="R127" t="s">
        <v>41</v>
      </c>
      <c r="S127" s="10">
        <v>3</v>
      </c>
      <c r="T127" t="s">
        <v>267</v>
      </c>
      <c r="U127" s="10">
        <v>29877.968799999999</v>
      </c>
      <c r="V127" s="4">
        <v>89633.906400000007</v>
      </c>
      <c r="AF127" s="84" t="s">
        <v>0</v>
      </c>
      <c r="AG127" s="85"/>
      <c r="AH127" s="85"/>
      <c r="AI127" s="85"/>
      <c r="AJ127" s="85"/>
      <c r="AK127" s="16"/>
      <c r="AL127" s="16"/>
      <c r="AM127" s="17"/>
      <c r="AW127" s="3" t="s">
        <v>132</v>
      </c>
      <c r="AX127" t="s">
        <v>133</v>
      </c>
      <c r="AY127" t="s">
        <v>123</v>
      </c>
      <c r="AZ127" s="10">
        <v>26</v>
      </c>
      <c r="BA127" t="s">
        <v>134</v>
      </c>
      <c r="BB127" s="10">
        <v>12999.5155</v>
      </c>
      <c r="BC127" s="4">
        <v>337987.40299999999</v>
      </c>
    </row>
    <row r="128" spans="15:55" x14ac:dyDescent="0.35">
      <c r="O128" s="3">
        <v>15</v>
      </c>
      <c r="P128" t="s">
        <v>310</v>
      </c>
      <c r="Q128" t="s">
        <v>311</v>
      </c>
      <c r="R128" t="s">
        <v>41</v>
      </c>
      <c r="S128" s="10">
        <v>1</v>
      </c>
      <c r="T128" t="s">
        <v>20</v>
      </c>
      <c r="U128" s="10">
        <v>10499.75</v>
      </c>
      <c r="V128" s="4">
        <v>10499.75</v>
      </c>
      <c r="AF128" s="82" t="s">
        <v>1</v>
      </c>
      <c r="AG128" s="83"/>
      <c r="AH128" s="83"/>
      <c r="AI128" s="83"/>
      <c r="AJ128" s="83"/>
      <c r="AK128" s="18"/>
      <c r="AL128" s="18"/>
      <c r="AM128" s="19"/>
      <c r="AW128" s="3" t="s">
        <v>141</v>
      </c>
      <c r="AX128" t="s">
        <v>142</v>
      </c>
      <c r="AY128" t="s">
        <v>123</v>
      </c>
      <c r="AZ128">
        <v>2</v>
      </c>
      <c r="BA128" t="s">
        <v>5</v>
      </c>
      <c r="BB128">
        <v>39781.095500000003</v>
      </c>
      <c r="BC128" s="4">
        <v>79562.191000000006</v>
      </c>
    </row>
    <row r="129" spans="15:55" x14ac:dyDescent="0.35">
      <c r="O129" s="3">
        <v>16</v>
      </c>
      <c r="P129" t="s">
        <v>57</v>
      </c>
      <c r="Q129" t="s">
        <v>58</v>
      </c>
      <c r="R129" t="s">
        <v>41</v>
      </c>
      <c r="S129" s="10">
        <v>9</v>
      </c>
      <c r="T129" t="s">
        <v>5</v>
      </c>
      <c r="U129" s="10">
        <v>7698.2878000000001</v>
      </c>
      <c r="V129" s="4">
        <v>69284.590200000006</v>
      </c>
      <c r="AF129" s="20"/>
      <c r="AG129" s="18"/>
      <c r="AH129" s="18"/>
      <c r="AI129" s="18"/>
      <c r="AJ129" s="18"/>
      <c r="AK129" s="18"/>
      <c r="AL129" s="18"/>
      <c r="AM129" s="19"/>
      <c r="AW129" s="3" t="s">
        <v>284</v>
      </c>
      <c r="AX129" t="s">
        <v>285</v>
      </c>
      <c r="AY129" t="s">
        <v>165</v>
      </c>
      <c r="AZ129" s="10">
        <v>5</v>
      </c>
      <c r="BA129" t="s">
        <v>20</v>
      </c>
      <c r="BB129" s="10">
        <v>6905.6575182481747</v>
      </c>
      <c r="BC129" s="4">
        <v>34528.287591</v>
      </c>
    </row>
    <row r="130" spans="15:55" x14ac:dyDescent="0.35">
      <c r="O130" s="3">
        <v>17</v>
      </c>
      <c r="P130" t="s">
        <v>59</v>
      </c>
      <c r="Q130" t="s">
        <v>60</v>
      </c>
      <c r="R130" t="s">
        <v>41</v>
      </c>
      <c r="S130" s="10">
        <v>13</v>
      </c>
      <c r="T130" t="s">
        <v>5</v>
      </c>
      <c r="U130" s="10">
        <v>7696.7530999999999</v>
      </c>
      <c r="V130" s="4">
        <v>100057.79029999999</v>
      </c>
      <c r="AF130" s="82" t="s">
        <v>10</v>
      </c>
      <c r="AG130" s="83" t="s">
        <v>11</v>
      </c>
      <c r="AH130" s="18" t="s">
        <v>837</v>
      </c>
      <c r="AI130" s="18"/>
      <c r="AJ130" s="18"/>
      <c r="AK130" s="18"/>
      <c r="AL130" s="18"/>
      <c r="AM130" s="19"/>
      <c r="AW130" s="3" t="s">
        <v>166</v>
      </c>
      <c r="AX130" t="s">
        <v>167</v>
      </c>
      <c r="AY130" t="s">
        <v>165</v>
      </c>
      <c r="AZ130" s="10">
        <v>1</v>
      </c>
      <c r="BA130" t="s">
        <v>20</v>
      </c>
      <c r="BB130" s="10">
        <v>25521.195652165428</v>
      </c>
      <c r="BC130" s="4">
        <v>25521.195651999999</v>
      </c>
    </row>
    <row r="131" spans="15:55" x14ac:dyDescent="0.35">
      <c r="O131" s="3">
        <v>18</v>
      </c>
      <c r="P131" t="s">
        <v>61</v>
      </c>
      <c r="Q131" t="s">
        <v>62</v>
      </c>
      <c r="R131" t="s">
        <v>41</v>
      </c>
      <c r="S131">
        <v>4</v>
      </c>
      <c r="T131" t="s">
        <v>5</v>
      </c>
      <c r="U131">
        <v>13935.540999999999</v>
      </c>
      <c r="V131" s="4">
        <v>55742.163999999997</v>
      </c>
      <c r="AF131" s="82" t="s">
        <v>16</v>
      </c>
      <c r="AG131" s="83" t="s">
        <v>11</v>
      </c>
      <c r="AH131" s="18" t="s">
        <v>211</v>
      </c>
      <c r="AI131" s="18"/>
      <c r="AJ131" s="18"/>
      <c r="AK131" s="18"/>
      <c r="AL131" s="18"/>
      <c r="AM131" s="19"/>
      <c r="AW131" s="3" t="s">
        <v>168</v>
      </c>
      <c r="AX131" t="s">
        <v>169</v>
      </c>
      <c r="AY131" t="s">
        <v>165</v>
      </c>
      <c r="AZ131" s="10">
        <v>10</v>
      </c>
      <c r="BA131" t="s">
        <v>20</v>
      </c>
      <c r="BB131" s="10">
        <v>35200.996200000001</v>
      </c>
      <c r="BC131" s="4">
        <v>352009.962</v>
      </c>
    </row>
    <row r="132" spans="15:55" ht="15" thickBot="1" x14ac:dyDescent="0.4">
      <c r="O132" s="11" t="s">
        <v>223</v>
      </c>
      <c r="P132" s="12" t="s">
        <v>223</v>
      </c>
      <c r="Q132" s="12" t="s">
        <v>223</v>
      </c>
      <c r="R132" s="12" t="s">
        <v>223</v>
      </c>
      <c r="S132" s="12" t="s">
        <v>223</v>
      </c>
      <c r="T132" s="12" t="s">
        <v>223</v>
      </c>
      <c r="U132" s="12" t="s">
        <v>224</v>
      </c>
      <c r="V132" s="13">
        <v>2144710.034374</v>
      </c>
      <c r="AF132" s="82" t="s">
        <v>21</v>
      </c>
      <c r="AG132" s="83" t="s">
        <v>11</v>
      </c>
      <c r="AH132" s="18" t="s">
        <v>573</v>
      </c>
      <c r="AI132" s="18"/>
      <c r="AJ132" s="18"/>
      <c r="AK132" s="18"/>
      <c r="AL132" s="18"/>
      <c r="AM132" s="19"/>
      <c r="AW132" s="3" t="s">
        <v>286</v>
      </c>
      <c r="AX132" t="s">
        <v>287</v>
      </c>
      <c r="AY132" t="s">
        <v>165</v>
      </c>
      <c r="AZ132" s="10">
        <v>1</v>
      </c>
      <c r="BA132" t="s">
        <v>20</v>
      </c>
      <c r="BB132" s="10">
        <v>42468.75</v>
      </c>
      <c r="BC132" s="4">
        <v>42468.75</v>
      </c>
    </row>
    <row r="133" spans="15:55" ht="15.5" thickTop="1" thickBot="1" x14ac:dyDescent="0.4">
      <c r="AF133" s="82" t="s">
        <v>26</v>
      </c>
      <c r="AG133" s="83" t="s">
        <v>11</v>
      </c>
      <c r="AH133" s="18" t="s">
        <v>838</v>
      </c>
      <c r="AI133" s="18"/>
      <c r="AJ133" s="18"/>
      <c r="AK133" s="18"/>
      <c r="AL133" s="18"/>
      <c r="AM133" s="19"/>
      <c r="AW133" s="3" t="s">
        <v>375</v>
      </c>
      <c r="AX133" t="s">
        <v>376</v>
      </c>
      <c r="AY133" t="s">
        <v>165</v>
      </c>
      <c r="AZ133" s="10">
        <v>4</v>
      </c>
      <c r="BA133" t="s">
        <v>20</v>
      </c>
      <c r="BB133" s="10">
        <v>13671.6667</v>
      </c>
      <c r="BC133" s="4">
        <v>54686.666799999999</v>
      </c>
    </row>
    <row r="134" spans="15:55" ht="15" thickTop="1" x14ac:dyDescent="0.35">
      <c r="O134" s="88" t="s">
        <v>0</v>
      </c>
      <c r="P134" s="89"/>
      <c r="Q134" s="89"/>
      <c r="R134" s="89"/>
      <c r="S134" s="89"/>
      <c r="T134" s="1"/>
      <c r="U134" s="1"/>
      <c r="V134" s="2"/>
      <c r="AF134" s="82" t="s">
        <v>31</v>
      </c>
      <c r="AG134" s="83" t="s">
        <v>11</v>
      </c>
      <c r="AH134" s="18" t="s">
        <v>186</v>
      </c>
      <c r="AI134" s="18"/>
      <c r="AJ134" s="18"/>
      <c r="AK134" s="18"/>
      <c r="AL134" s="18"/>
      <c r="AM134" s="19"/>
      <c r="AW134" s="3" t="s">
        <v>288</v>
      </c>
      <c r="AX134" t="s">
        <v>289</v>
      </c>
      <c r="AY134" t="s">
        <v>165</v>
      </c>
      <c r="AZ134" s="10">
        <v>1</v>
      </c>
      <c r="BA134" t="s">
        <v>20</v>
      </c>
      <c r="BB134" s="10">
        <v>34614.1777</v>
      </c>
      <c r="BC134" s="4">
        <v>34614.1777</v>
      </c>
    </row>
    <row r="135" spans="15:55" x14ac:dyDescent="0.35">
      <c r="O135" s="86" t="s">
        <v>1</v>
      </c>
      <c r="P135" s="87"/>
      <c r="Q135" s="87"/>
      <c r="R135" s="87"/>
      <c r="S135" s="87"/>
      <c r="V135" s="4"/>
      <c r="AF135" s="82" t="s">
        <v>35</v>
      </c>
      <c r="AG135" s="83" t="s">
        <v>11</v>
      </c>
      <c r="AH135" s="18" t="s">
        <v>831</v>
      </c>
      <c r="AI135" s="18"/>
      <c r="AJ135" s="18"/>
      <c r="AK135" s="18"/>
      <c r="AL135" s="18"/>
      <c r="AM135" s="19"/>
      <c r="AW135" s="3" t="s">
        <v>173</v>
      </c>
      <c r="AX135" t="s">
        <v>174</v>
      </c>
      <c r="AY135" t="s">
        <v>165</v>
      </c>
      <c r="AZ135" s="10">
        <v>13</v>
      </c>
      <c r="BA135" t="s">
        <v>20</v>
      </c>
      <c r="BB135" s="10">
        <v>16895.117300000002</v>
      </c>
      <c r="BC135" s="4">
        <v>219636.52489999999</v>
      </c>
    </row>
    <row r="136" spans="15:55" x14ac:dyDescent="0.35">
      <c r="O136" s="3"/>
      <c r="V136" s="4"/>
      <c r="AF136" s="20"/>
      <c r="AG136" s="18"/>
      <c r="AH136" s="18"/>
      <c r="AI136" s="18"/>
      <c r="AJ136" s="18"/>
      <c r="AK136" s="18"/>
      <c r="AL136" s="18"/>
      <c r="AM136" s="19"/>
      <c r="AW136" s="3" t="s">
        <v>176</v>
      </c>
      <c r="AX136" t="s">
        <v>177</v>
      </c>
      <c r="AY136" t="s">
        <v>165</v>
      </c>
      <c r="AZ136" s="10">
        <v>2</v>
      </c>
      <c r="BA136" t="s">
        <v>20</v>
      </c>
      <c r="BB136" s="10">
        <v>11898.313376621481</v>
      </c>
      <c r="BC136" s="4">
        <v>23796.626753</v>
      </c>
    </row>
    <row r="137" spans="15:55" x14ac:dyDescent="0.35">
      <c r="O137" s="86" t="s">
        <v>10</v>
      </c>
      <c r="P137" s="87" t="s">
        <v>11</v>
      </c>
      <c r="Q137" t="s">
        <v>603</v>
      </c>
      <c r="V137" s="4"/>
      <c r="AF137" s="20" t="s">
        <v>42</v>
      </c>
      <c r="AG137" s="18" t="s">
        <v>43</v>
      </c>
      <c r="AH137" s="18" t="s">
        <v>44</v>
      </c>
      <c r="AI137" s="18" t="s">
        <v>45</v>
      </c>
      <c r="AJ137" s="18" t="s">
        <v>46</v>
      </c>
      <c r="AK137" s="18" t="s">
        <v>47</v>
      </c>
      <c r="AL137" s="18" t="s">
        <v>48</v>
      </c>
      <c r="AM137" s="19" t="s">
        <v>49</v>
      </c>
      <c r="AW137" s="3" t="s">
        <v>290</v>
      </c>
      <c r="AX137" t="s">
        <v>291</v>
      </c>
      <c r="AY137" t="s">
        <v>165</v>
      </c>
      <c r="AZ137" s="10">
        <v>4</v>
      </c>
      <c r="BA137" t="s">
        <v>20</v>
      </c>
      <c r="BB137" s="10">
        <v>14903.923076919231</v>
      </c>
      <c r="BC137" s="4">
        <v>59615.692307999998</v>
      </c>
    </row>
    <row r="138" spans="15:55" x14ac:dyDescent="0.35">
      <c r="O138" s="86" t="s">
        <v>16</v>
      </c>
      <c r="P138" s="87" t="s">
        <v>11</v>
      </c>
      <c r="Q138" t="s">
        <v>17</v>
      </c>
      <c r="V138" s="4"/>
      <c r="AF138" s="20">
        <v>1</v>
      </c>
      <c r="AG138" s="18" t="s">
        <v>316</v>
      </c>
      <c r="AH138" s="18" t="s">
        <v>317</v>
      </c>
      <c r="AI138" s="18" t="s">
        <v>117</v>
      </c>
      <c r="AJ138" s="18">
        <v>1</v>
      </c>
      <c r="AK138" s="18" t="s">
        <v>20</v>
      </c>
      <c r="AL138" s="18">
        <v>465300</v>
      </c>
      <c r="AM138" s="19">
        <v>465300</v>
      </c>
      <c r="AW138" s="3" t="s">
        <v>431</v>
      </c>
      <c r="AX138" t="s">
        <v>432</v>
      </c>
      <c r="AY138" t="s">
        <v>165</v>
      </c>
      <c r="AZ138" s="10">
        <v>2</v>
      </c>
      <c r="BA138" t="s">
        <v>20</v>
      </c>
      <c r="BB138" s="10">
        <v>27935.294099999999</v>
      </c>
      <c r="BC138" s="4">
        <v>55870.588199999998</v>
      </c>
    </row>
    <row r="139" spans="15:55" ht="15" thickBot="1" x14ac:dyDescent="0.4">
      <c r="O139" s="86" t="s">
        <v>21</v>
      </c>
      <c r="P139" s="87" t="s">
        <v>11</v>
      </c>
      <c r="Q139" t="s">
        <v>573</v>
      </c>
      <c r="V139" s="4"/>
      <c r="AF139" s="22" t="s">
        <v>223</v>
      </c>
      <c r="AG139" s="23" t="s">
        <v>223</v>
      </c>
      <c r="AH139" s="23" t="s">
        <v>223</v>
      </c>
      <c r="AI139" s="23" t="s">
        <v>223</v>
      </c>
      <c r="AJ139" s="23" t="s">
        <v>223</v>
      </c>
      <c r="AK139" s="23" t="s">
        <v>223</v>
      </c>
      <c r="AL139" s="23" t="s">
        <v>224</v>
      </c>
      <c r="AM139" s="24">
        <v>465300</v>
      </c>
      <c r="AW139" s="3" t="s">
        <v>536</v>
      </c>
      <c r="AX139" t="s">
        <v>537</v>
      </c>
      <c r="AY139" t="s">
        <v>165</v>
      </c>
      <c r="AZ139" s="10">
        <v>1</v>
      </c>
      <c r="BA139" t="s">
        <v>20</v>
      </c>
      <c r="BB139" s="10">
        <v>56413</v>
      </c>
      <c r="BC139" s="4">
        <v>56413</v>
      </c>
    </row>
    <row r="140" spans="15:55" x14ac:dyDescent="0.35">
      <c r="O140" s="86" t="s">
        <v>26</v>
      </c>
      <c r="P140" s="87" t="s">
        <v>11</v>
      </c>
      <c r="Q140" t="s">
        <v>604</v>
      </c>
      <c r="V140" s="4"/>
      <c r="AW140" s="3" t="s">
        <v>294</v>
      </c>
      <c r="AX140" t="s">
        <v>295</v>
      </c>
      <c r="AY140" t="s">
        <v>165</v>
      </c>
      <c r="AZ140" s="10">
        <v>15</v>
      </c>
      <c r="BA140" t="s">
        <v>20</v>
      </c>
      <c r="BB140" s="10">
        <v>16712.90677419</v>
      </c>
      <c r="BC140" s="4">
        <v>250693.60161300001</v>
      </c>
    </row>
    <row r="141" spans="15:55" x14ac:dyDescent="0.35">
      <c r="O141" s="86" t="s">
        <v>31</v>
      </c>
      <c r="P141" s="87" t="s">
        <v>11</v>
      </c>
      <c r="Q141" t="s">
        <v>186</v>
      </c>
      <c r="V141" s="4"/>
      <c r="AW141" s="3" t="s">
        <v>296</v>
      </c>
      <c r="AX141" t="s">
        <v>297</v>
      </c>
      <c r="AY141" t="s">
        <v>165</v>
      </c>
      <c r="AZ141" s="10">
        <v>13</v>
      </c>
      <c r="BA141" t="s">
        <v>20</v>
      </c>
      <c r="BB141" s="10">
        <v>15736.228930813333</v>
      </c>
      <c r="BC141" s="4">
        <v>204570.97610100001</v>
      </c>
    </row>
    <row r="142" spans="15:55" x14ac:dyDescent="0.35">
      <c r="O142" s="86" t="s">
        <v>35</v>
      </c>
      <c r="P142" s="87" t="s">
        <v>11</v>
      </c>
      <c r="Q142" t="s">
        <v>584</v>
      </c>
      <c r="V142" s="4"/>
      <c r="AW142" s="3" t="s">
        <v>547</v>
      </c>
      <c r="AX142" t="s">
        <v>548</v>
      </c>
      <c r="AY142" t="s">
        <v>165</v>
      </c>
      <c r="AZ142" s="10">
        <v>1</v>
      </c>
      <c r="BA142" t="s">
        <v>20</v>
      </c>
      <c r="BB142" s="10">
        <v>48894.01</v>
      </c>
      <c r="BC142" s="4">
        <v>48894.01</v>
      </c>
    </row>
    <row r="143" spans="15:55" x14ac:dyDescent="0.35">
      <c r="O143" s="3"/>
      <c r="V143" s="4"/>
      <c r="AW143" s="3" t="s">
        <v>594</v>
      </c>
      <c r="AX143" t="s">
        <v>595</v>
      </c>
      <c r="AY143" t="s">
        <v>182</v>
      </c>
      <c r="AZ143" s="10">
        <v>2</v>
      </c>
      <c r="BA143" t="s">
        <v>20</v>
      </c>
      <c r="BB143" s="10">
        <v>18967.248359144443</v>
      </c>
      <c r="BC143" s="4">
        <v>37934.496718000002</v>
      </c>
    </row>
    <row r="144" spans="15:55" x14ac:dyDescent="0.35">
      <c r="O144" s="3" t="s">
        <v>42</v>
      </c>
      <c r="P144" t="s">
        <v>43</v>
      </c>
      <c r="Q144" t="s">
        <v>44</v>
      </c>
      <c r="R144" t="s">
        <v>45</v>
      </c>
      <c r="S144" t="s">
        <v>46</v>
      </c>
      <c r="T144" t="s">
        <v>47</v>
      </c>
      <c r="U144" t="s">
        <v>48</v>
      </c>
      <c r="V144" s="4" t="s">
        <v>49</v>
      </c>
      <c r="AW144" s="3" t="s">
        <v>187</v>
      </c>
      <c r="AX144" t="s">
        <v>188</v>
      </c>
      <c r="AY144" t="s">
        <v>182</v>
      </c>
      <c r="AZ144" s="10">
        <v>11</v>
      </c>
      <c r="BA144" t="s">
        <v>20</v>
      </c>
      <c r="BB144" s="10">
        <v>3391.7220000000002</v>
      </c>
      <c r="BC144" s="4">
        <v>37308.942000000003</v>
      </c>
    </row>
    <row r="145" spans="15:55" x14ac:dyDescent="0.35">
      <c r="O145" s="3">
        <v>1</v>
      </c>
      <c r="P145" t="s">
        <v>39</v>
      </c>
      <c r="Q145" t="s">
        <v>40</v>
      </c>
      <c r="R145" t="s">
        <v>41</v>
      </c>
      <c r="S145" s="10">
        <v>4</v>
      </c>
      <c r="T145" t="s">
        <v>20</v>
      </c>
      <c r="U145" s="10">
        <v>7051.6414000000004</v>
      </c>
      <c r="V145" s="4">
        <v>28206.565600000002</v>
      </c>
      <c r="AW145" s="3" t="s">
        <v>438</v>
      </c>
      <c r="AX145" t="s">
        <v>439</v>
      </c>
      <c r="AY145" t="s">
        <v>182</v>
      </c>
      <c r="AZ145" s="10">
        <v>2</v>
      </c>
      <c r="BA145" t="s">
        <v>20</v>
      </c>
      <c r="BB145" s="10">
        <v>11046.52943217</v>
      </c>
      <c r="BC145" s="4">
        <v>22093.058863999999</v>
      </c>
    </row>
    <row r="146" spans="15:55" x14ac:dyDescent="0.35">
      <c r="O146" s="3">
        <v>2</v>
      </c>
      <c r="P146" t="s">
        <v>128</v>
      </c>
      <c r="Q146" t="s">
        <v>129</v>
      </c>
      <c r="R146" t="s">
        <v>123</v>
      </c>
      <c r="S146" s="10">
        <v>4</v>
      </c>
      <c r="T146" t="s">
        <v>74</v>
      </c>
      <c r="U146" s="10">
        <v>142067.18640000001</v>
      </c>
      <c r="V146" s="4">
        <v>568268.74560000002</v>
      </c>
      <c r="AW146" s="3" t="s">
        <v>190</v>
      </c>
      <c r="AX146" t="s">
        <v>191</v>
      </c>
      <c r="AY146" t="s">
        <v>192</v>
      </c>
      <c r="AZ146" s="10">
        <v>1</v>
      </c>
      <c r="BA146" t="s">
        <v>20</v>
      </c>
      <c r="BB146" s="10">
        <v>126927.29933846154</v>
      </c>
      <c r="BC146" s="4">
        <v>126927.299338</v>
      </c>
    </row>
    <row r="147" spans="15:55" x14ac:dyDescent="0.35">
      <c r="O147" s="3">
        <v>3</v>
      </c>
      <c r="P147" t="s">
        <v>132</v>
      </c>
      <c r="Q147" t="s">
        <v>133</v>
      </c>
      <c r="R147" t="s">
        <v>123</v>
      </c>
      <c r="S147" s="10">
        <v>26</v>
      </c>
      <c r="T147" t="s">
        <v>134</v>
      </c>
      <c r="U147" s="10">
        <v>12999.5155</v>
      </c>
      <c r="V147" s="4">
        <v>337987.40299999999</v>
      </c>
      <c r="AW147" s="3" t="s">
        <v>596</v>
      </c>
      <c r="AX147" t="s">
        <v>597</v>
      </c>
      <c r="AY147" t="s">
        <v>192</v>
      </c>
      <c r="AZ147" s="10">
        <v>1</v>
      </c>
      <c r="BA147" t="s">
        <v>20</v>
      </c>
      <c r="BB147" s="10">
        <v>51170</v>
      </c>
      <c r="BC147" s="4">
        <v>51170</v>
      </c>
    </row>
    <row r="148" spans="15:55" x14ac:dyDescent="0.35">
      <c r="O148" s="3">
        <v>4</v>
      </c>
      <c r="P148" t="s">
        <v>141</v>
      </c>
      <c r="Q148" t="s">
        <v>142</v>
      </c>
      <c r="R148" t="s">
        <v>123</v>
      </c>
      <c r="S148">
        <v>2</v>
      </c>
      <c r="T148" t="s">
        <v>5</v>
      </c>
      <c r="U148">
        <v>39781.095500000003</v>
      </c>
      <c r="V148" s="4">
        <v>79562.191000000006</v>
      </c>
      <c r="AW148" s="3" t="s">
        <v>442</v>
      </c>
      <c r="AX148" t="s">
        <v>443</v>
      </c>
      <c r="AY148" t="s">
        <v>192</v>
      </c>
      <c r="AZ148" s="10">
        <v>2</v>
      </c>
      <c r="BA148" t="s">
        <v>20</v>
      </c>
      <c r="BB148" s="10">
        <v>18480</v>
      </c>
      <c r="BC148" s="4">
        <v>36960</v>
      </c>
    </row>
    <row r="149" spans="15:55" ht="15" thickBot="1" x14ac:dyDescent="0.4">
      <c r="O149" s="11" t="s">
        <v>223</v>
      </c>
      <c r="P149" s="12" t="s">
        <v>223</v>
      </c>
      <c r="Q149" s="12" t="s">
        <v>223</v>
      </c>
      <c r="R149" s="12" t="s">
        <v>223</v>
      </c>
      <c r="S149" s="12" t="s">
        <v>223</v>
      </c>
      <c r="T149" s="12" t="s">
        <v>223</v>
      </c>
      <c r="U149" s="12" t="s">
        <v>224</v>
      </c>
      <c r="V149" s="13">
        <v>1014024.9052</v>
      </c>
      <c r="AW149" s="3" t="s">
        <v>298</v>
      </c>
      <c r="AX149" t="s">
        <v>299</v>
      </c>
      <c r="AY149" t="s">
        <v>192</v>
      </c>
      <c r="AZ149" s="10">
        <v>12</v>
      </c>
      <c r="BA149" t="s">
        <v>20</v>
      </c>
      <c r="BB149" s="10">
        <v>31716.666699999998</v>
      </c>
      <c r="BC149" s="4">
        <v>380600.00040000002</v>
      </c>
    </row>
    <row r="150" spans="15:55" ht="15.5" thickTop="1" thickBot="1" x14ac:dyDescent="0.4">
      <c r="AW150" s="11" t="s">
        <v>598</v>
      </c>
      <c r="AX150" s="12" t="s">
        <v>599</v>
      </c>
      <c r="AY150" s="12" t="s">
        <v>192</v>
      </c>
      <c r="AZ150" s="12">
        <v>1</v>
      </c>
      <c r="BA150" s="12" t="s">
        <v>20</v>
      </c>
      <c r="BB150" s="12">
        <v>28560</v>
      </c>
      <c r="BC150" s="13">
        <v>28560</v>
      </c>
    </row>
    <row r="151" spans="15:55" ht="15" thickTop="1" x14ac:dyDescent="0.35">
      <c r="O151" s="88" t="s">
        <v>0</v>
      </c>
      <c r="P151" s="89"/>
      <c r="Q151" s="89"/>
      <c r="R151" s="89"/>
      <c r="S151" s="89"/>
      <c r="T151" s="1"/>
      <c r="U151" s="1"/>
      <c r="V151" s="2"/>
    </row>
    <row r="152" spans="15:55" x14ac:dyDescent="0.35">
      <c r="O152" s="86" t="s">
        <v>1</v>
      </c>
      <c r="P152" s="87"/>
      <c r="Q152" s="87"/>
      <c r="R152" s="87"/>
      <c r="S152" s="87"/>
      <c r="V152" s="4"/>
    </row>
    <row r="153" spans="15:55" x14ac:dyDescent="0.35">
      <c r="O153" s="3"/>
      <c r="V153" s="4"/>
    </row>
    <row r="154" spans="15:55" x14ac:dyDescent="0.35">
      <c r="O154" s="86" t="s">
        <v>10</v>
      </c>
      <c r="P154" s="87" t="s">
        <v>11</v>
      </c>
      <c r="Q154" t="s">
        <v>605</v>
      </c>
      <c r="V154" s="4"/>
    </row>
    <row r="155" spans="15:55" x14ac:dyDescent="0.35">
      <c r="O155" s="86" t="s">
        <v>16</v>
      </c>
      <c r="P155" s="87" t="s">
        <v>11</v>
      </c>
      <c r="Q155" t="s">
        <v>17</v>
      </c>
      <c r="V155" s="4"/>
    </row>
    <row r="156" spans="15:55" x14ac:dyDescent="0.35">
      <c r="O156" s="86" t="s">
        <v>21</v>
      </c>
      <c r="P156" s="87" t="s">
        <v>11</v>
      </c>
      <c r="Q156" t="s">
        <v>573</v>
      </c>
      <c r="V156" s="4"/>
    </row>
    <row r="157" spans="15:55" x14ac:dyDescent="0.35">
      <c r="O157" s="86" t="s">
        <v>26</v>
      </c>
      <c r="P157" s="87" t="s">
        <v>11</v>
      </c>
      <c r="Q157" t="s">
        <v>606</v>
      </c>
      <c r="V157" s="4"/>
    </row>
    <row r="158" spans="15:55" x14ac:dyDescent="0.35">
      <c r="O158" s="86" t="s">
        <v>31</v>
      </c>
      <c r="P158" s="87" t="s">
        <v>11</v>
      </c>
      <c r="Q158" t="s">
        <v>198</v>
      </c>
      <c r="V158" s="4"/>
    </row>
    <row r="159" spans="15:55" x14ac:dyDescent="0.35">
      <c r="O159" s="86" t="s">
        <v>35</v>
      </c>
      <c r="P159" s="87" t="s">
        <v>11</v>
      </c>
      <c r="Q159" t="s">
        <v>607</v>
      </c>
      <c r="V159" s="4"/>
    </row>
    <row r="160" spans="15:55" x14ac:dyDescent="0.35">
      <c r="O160" s="3"/>
      <c r="V160" s="4"/>
    </row>
    <row r="161" spans="15:22" x14ac:dyDescent="0.35">
      <c r="O161" s="3" t="s">
        <v>42</v>
      </c>
      <c r="P161" t="s">
        <v>43</v>
      </c>
      <c r="Q161" t="s">
        <v>44</v>
      </c>
      <c r="R161" t="s">
        <v>45</v>
      </c>
      <c r="S161" t="s">
        <v>46</v>
      </c>
      <c r="T161" t="s">
        <v>47</v>
      </c>
      <c r="U161" t="s">
        <v>48</v>
      </c>
      <c r="V161" s="4" t="s">
        <v>49</v>
      </c>
    </row>
    <row r="162" spans="15:22" x14ac:dyDescent="0.35">
      <c r="O162" s="3">
        <v>1</v>
      </c>
      <c r="P162" t="s">
        <v>284</v>
      </c>
      <c r="Q162" t="s">
        <v>285</v>
      </c>
      <c r="R162" t="s">
        <v>165</v>
      </c>
      <c r="S162" s="10">
        <v>5</v>
      </c>
      <c r="T162" t="s">
        <v>20</v>
      </c>
      <c r="U162" s="10">
        <v>6905.6575182481747</v>
      </c>
      <c r="V162" s="4">
        <v>34528.287591</v>
      </c>
    </row>
    <row r="163" spans="15:22" x14ac:dyDescent="0.35">
      <c r="O163" s="3">
        <v>2</v>
      </c>
      <c r="P163" t="s">
        <v>166</v>
      </c>
      <c r="Q163" t="s">
        <v>167</v>
      </c>
      <c r="R163" t="s">
        <v>165</v>
      </c>
      <c r="S163" s="10">
        <v>1</v>
      </c>
      <c r="T163" t="s">
        <v>20</v>
      </c>
      <c r="U163" s="10">
        <v>25521.195652165428</v>
      </c>
      <c r="V163" s="4">
        <v>25521.195651999999</v>
      </c>
    </row>
    <row r="164" spans="15:22" x14ac:dyDescent="0.35">
      <c r="O164" s="3">
        <v>3</v>
      </c>
      <c r="P164" t="s">
        <v>168</v>
      </c>
      <c r="Q164" t="s">
        <v>169</v>
      </c>
      <c r="R164" t="s">
        <v>165</v>
      </c>
      <c r="S164" s="10">
        <v>10</v>
      </c>
      <c r="T164" t="s">
        <v>20</v>
      </c>
      <c r="U164" s="10">
        <v>35200.996200000001</v>
      </c>
      <c r="V164" s="4">
        <v>352009.962</v>
      </c>
    </row>
    <row r="165" spans="15:22" x14ac:dyDescent="0.35">
      <c r="O165" s="3">
        <v>4</v>
      </c>
      <c r="P165" t="s">
        <v>286</v>
      </c>
      <c r="Q165" t="s">
        <v>287</v>
      </c>
      <c r="R165" t="s">
        <v>165</v>
      </c>
      <c r="S165" s="10">
        <v>1</v>
      </c>
      <c r="T165" t="s">
        <v>20</v>
      </c>
      <c r="U165" s="10">
        <v>42468.75</v>
      </c>
      <c r="V165" s="4">
        <v>42468.75</v>
      </c>
    </row>
    <row r="166" spans="15:22" x14ac:dyDescent="0.35">
      <c r="O166" s="3">
        <v>5</v>
      </c>
      <c r="P166" t="s">
        <v>375</v>
      </c>
      <c r="Q166" t="s">
        <v>376</v>
      </c>
      <c r="R166" t="s">
        <v>165</v>
      </c>
      <c r="S166" s="10">
        <v>4</v>
      </c>
      <c r="T166" t="s">
        <v>20</v>
      </c>
      <c r="U166" s="10">
        <v>13671.6667</v>
      </c>
      <c r="V166" s="4">
        <v>54686.666799999999</v>
      </c>
    </row>
    <row r="167" spans="15:22" x14ac:dyDescent="0.35">
      <c r="O167" s="3">
        <v>6</v>
      </c>
      <c r="P167" t="s">
        <v>288</v>
      </c>
      <c r="Q167" t="s">
        <v>289</v>
      </c>
      <c r="R167" t="s">
        <v>165</v>
      </c>
      <c r="S167" s="10">
        <v>1</v>
      </c>
      <c r="T167" t="s">
        <v>20</v>
      </c>
      <c r="U167" s="10">
        <v>34614.1777</v>
      </c>
      <c r="V167" s="4">
        <v>34614.1777</v>
      </c>
    </row>
    <row r="168" spans="15:22" x14ac:dyDescent="0.35">
      <c r="O168" s="3">
        <v>7</v>
      </c>
      <c r="P168" t="s">
        <v>173</v>
      </c>
      <c r="Q168" t="s">
        <v>174</v>
      </c>
      <c r="R168" t="s">
        <v>165</v>
      </c>
      <c r="S168" s="10">
        <v>13</v>
      </c>
      <c r="T168" t="s">
        <v>20</v>
      </c>
      <c r="U168" s="10">
        <v>16895.117300000002</v>
      </c>
      <c r="V168" s="4">
        <v>219636.52489999999</v>
      </c>
    </row>
    <row r="169" spans="15:22" x14ac:dyDescent="0.35">
      <c r="O169" s="3">
        <v>8</v>
      </c>
      <c r="P169" t="s">
        <v>176</v>
      </c>
      <c r="Q169" t="s">
        <v>177</v>
      </c>
      <c r="R169" t="s">
        <v>165</v>
      </c>
      <c r="S169" s="10">
        <v>2</v>
      </c>
      <c r="T169" t="s">
        <v>20</v>
      </c>
      <c r="U169" s="10">
        <v>11898.313376621481</v>
      </c>
      <c r="V169" s="4">
        <v>23796.626753</v>
      </c>
    </row>
    <row r="170" spans="15:22" x14ac:dyDescent="0.35">
      <c r="O170" s="3">
        <v>9</v>
      </c>
      <c r="P170" t="s">
        <v>290</v>
      </c>
      <c r="Q170" t="s">
        <v>291</v>
      </c>
      <c r="R170" t="s">
        <v>165</v>
      </c>
      <c r="S170" s="10">
        <v>4</v>
      </c>
      <c r="T170" t="s">
        <v>20</v>
      </c>
      <c r="U170" s="10">
        <v>14903.923076919231</v>
      </c>
      <c r="V170" s="4">
        <v>59615.692307999998</v>
      </c>
    </row>
    <row r="171" spans="15:22" x14ac:dyDescent="0.35">
      <c r="O171" s="3">
        <v>10</v>
      </c>
      <c r="P171" t="s">
        <v>431</v>
      </c>
      <c r="Q171" t="s">
        <v>432</v>
      </c>
      <c r="R171" t="s">
        <v>165</v>
      </c>
      <c r="S171" s="10">
        <v>2</v>
      </c>
      <c r="T171" t="s">
        <v>20</v>
      </c>
      <c r="U171" s="10">
        <v>27935.294099999999</v>
      </c>
      <c r="V171" s="4">
        <v>55870.588199999998</v>
      </c>
    </row>
    <row r="172" spans="15:22" x14ac:dyDescent="0.35">
      <c r="O172" s="3">
        <v>11</v>
      </c>
      <c r="P172" t="s">
        <v>536</v>
      </c>
      <c r="Q172" t="s">
        <v>537</v>
      </c>
      <c r="R172" t="s">
        <v>165</v>
      </c>
      <c r="S172" s="10">
        <v>1</v>
      </c>
      <c r="T172" t="s">
        <v>20</v>
      </c>
      <c r="U172" s="10">
        <v>56413</v>
      </c>
      <c r="V172" s="4">
        <v>56413</v>
      </c>
    </row>
    <row r="173" spans="15:22" x14ac:dyDescent="0.35">
      <c r="O173" s="3">
        <v>12</v>
      </c>
      <c r="P173" t="s">
        <v>294</v>
      </c>
      <c r="Q173" t="s">
        <v>295</v>
      </c>
      <c r="R173" t="s">
        <v>165</v>
      </c>
      <c r="S173" s="10">
        <v>15</v>
      </c>
      <c r="T173" t="s">
        <v>20</v>
      </c>
      <c r="U173" s="10">
        <v>16712.90677419</v>
      </c>
      <c r="V173" s="4">
        <v>250693.60161300001</v>
      </c>
    </row>
    <row r="174" spans="15:22" x14ac:dyDescent="0.35">
      <c r="O174" s="3">
        <v>13</v>
      </c>
      <c r="P174" t="s">
        <v>296</v>
      </c>
      <c r="Q174" t="s">
        <v>297</v>
      </c>
      <c r="R174" t="s">
        <v>165</v>
      </c>
      <c r="S174" s="10">
        <v>13</v>
      </c>
      <c r="T174" t="s">
        <v>20</v>
      </c>
      <c r="U174" s="10">
        <v>15736.228930813333</v>
      </c>
      <c r="V174" s="4">
        <v>204570.97610100001</v>
      </c>
    </row>
    <row r="175" spans="15:22" x14ac:dyDescent="0.35">
      <c r="O175" s="3">
        <v>14</v>
      </c>
      <c r="P175" t="s">
        <v>547</v>
      </c>
      <c r="Q175" t="s">
        <v>548</v>
      </c>
      <c r="R175" t="s">
        <v>165</v>
      </c>
      <c r="S175" s="10">
        <v>1</v>
      </c>
      <c r="T175" t="s">
        <v>20</v>
      </c>
      <c r="U175" s="10">
        <v>48894.01</v>
      </c>
      <c r="V175" s="4">
        <v>48894.01</v>
      </c>
    </row>
    <row r="176" spans="15:22" x14ac:dyDescent="0.35">
      <c r="O176" s="3">
        <v>15</v>
      </c>
      <c r="P176" t="s">
        <v>594</v>
      </c>
      <c r="Q176" t="s">
        <v>595</v>
      </c>
      <c r="R176" t="s">
        <v>182</v>
      </c>
      <c r="S176" s="10">
        <v>2</v>
      </c>
      <c r="T176" t="s">
        <v>20</v>
      </c>
      <c r="U176" s="10">
        <v>18967.248359144443</v>
      </c>
      <c r="V176" s="4">
        <v>37934.496718000002</v>
      </c>
    </row>
    <row r="177" spans="15:22" x14ac:dyDescent="0.35">
      <c r="O177" s="3">
        <v>16</v>
      </c>
      <c r="P177" t="s">
        <v>187</v>
      </c>
      <c r="Q177" t="s">
        <v>188</v>
      </c>
      <c r="R177" t="s">
        <v>182</v>
      </c>
      <c r="S177" s="10">
        <v>11</v>
      </c>
      <c r="T177" t="s">
        <v>20</v>
      </c>
      <c r="U177" s="10">
        <v>3391.7220000000002</v>
      </c>
      <c r="V177" s="4">
        <v>37308.942000000003</v>
      </c>
    </row>
    <row r="178" spans="15:22" x14ac:dyDescent="0.35">
      <c r="O178" s="3">
        <v>17</v>
      </c>
      <c r="P178" t="s">
        <v>438</v>
      </c>
      <c r="Q178" t="s">
        <v>439</v>
      </c>
      <c r="R178" t="s">
        <v>182</v>
      </c>
      <c r="S178" s="10">
        <v>2</v>
      </c>
      <c r="T178" t="s">
        <v>20</v>
      </c>
      <c r="U178" s="10">
        <v>11046.52943217</v>
      </c>
      <c r="V178" s="4">
        <v>22093.058863999999</v>
      </c>
    </row>
    <row r="179" spans="15:22" x14ac:dyDescent="0.35">
      <c r="O179" s="3">
        <v>18</v>
      </c>
      <c r="P179" t="s">
        <v>190</v>
      </c>
      <c r="Q179" t="s">
        <v>191</v>
      </c>
      <c r="R179" t="s">
        <v>192</v>
      </c>
      <c r="S179" s="10">
        <v>1</v>
      </c>
      <c r="T179" t="s">
        <v>20</v>
      </c>
      <c r="U179" s="10">
        <v>126927.29933846154</v>
      </c>
      <c r="V179" s="4">
        <v>126927.299338</v>
      </c>
    </row>
    <row r="180" spans="15:22" x14ac:dyDescent="0.35">
      <c r="O180" s="3">
        <v>19</v>
      </c>
      <c r="P180" t="s">
        <v>596</v>
      </c>
      <c r="Q180" t="s">
        <v>597</v>
      </c>
      <c r="R180" t="s">
        <v>192</v>
      </c>
      <c r="S180" s="10">
        <v>1</v>
      </c>
      <c r="T180" t="s">
        <v>20</v>
      </c>
      <c r="U180" s="10">
        <v>51170</v>
      </c>
      <c r="V180" s="4">
        <v>51170</v>
      </c>
    </row>
    <row r="181" spans="15:22" x14ac:dyDescent="0.35">
      <c r="O181" s="3">
        <v>20</v>
      </c>
      <c r="P181" t="s">
        <v>442</v>
      </c>
      <c r="Q181" t="s">
        <v>443</v>
      </c>
      <c r="R181" t="s">
        <v>192</v>
      </c>
      <c r="S181" s="10">
        <v>2</v>
      </c>
      <c r="T181" t="s">
        <v>20</v>
      </c>
      <c r="U181" s="10">
        <v>18480</v>
      </c>
      <c r="V181" s="4">
        <v>36960</v>
      </c>
    </row>
    <row r="182" spans="15:22" x14ac:dyDescent="0.35">
      <c r="O182" s="3">
        <v>21</v>
      </c>
      <c r="P182" t="s">
        <v>298</v>
      </c>
      <c r="Q182" t="s">
        <v>299</v>
      </c>
      <c r="R182" t="s">
        <v>192</v>
      </c>
      <c r="S182" s="10">
        <v>12</v>
      </c>
      <c r="T182" t="s">
        <v>20</v>
      </c>
      <c r="U182" s="10">
        <v>31716.666699999998</v>
      </c>
      <c r="V182" s="4">
        <v>380600.00040000002</v>
      </c>
    </row>
    <row r="183" spans="15:22" x14ac:dyDescent="0.35">
      <c r="O183" s="3">
        <v>22</v>
      </c>
      <c r="P183" t="s">
        <v>598</v>
      </c>
      <c r="Q183" t="s">
        <v>599</v>
      </c>
      <c r="R183" t="s">
        <v>192</v>
      </c>
      <c r="S183">
        <v>1</v>
      </c>
      <c r="T183" t="s">
        <v>20</v>
      </c>
      <c r="U183">
        <v>28560</v>
      </c>
      <c r="V183" s="4">
        <v>28560</v>
      </c>
    </row>
    <row r="184" spans="15:22" ht="15" thickBot="1" x14ac:dyDescent="0.4">
      <c r="O184" s="11" t="s">
        <v>223</v>
      </c>
      <c r="P184" s="12" t="s">
        <v>223</v>
      </c>
      <c r="Q184" s="12" t="s">
        <v>223</v>
      </c>
      <c r="R184" s="12" t="s">
        <v>223</v>
      </c>
      <c r="S184" s="12" t="s">
        <v>223</v>
      </c>
      <c r="T184" s="12" t="s">
        <v>223</v>
      </c>
      <c r="U184" s="12" t="s">
        <v>224</v>
      </c>
      <c r="V184" s="13">
        <v>2184873.8569379998</v>
      </c>
    </row>
    <row r="185" spans="15:22" ht="15" thickTop="1" x14ac:dyDescent="0.35"/>
  </sheetData>
  <mergeCells count="104">
    <mergeCell ref="O9:P9"/>
    <mergeCell ref="O10:P10"/>
    <mergeCell ref="O21:S21"/>
    <mergeCell ref="O22:S22"/>
    <mergeCell ref="O24:P24"/>
    <mergeCell ref="O25:P25"/>
    <mergeCell ref="O2:S2"/>
    <mergeCell ref="O3:S3"/>
    <mergeCell ref="O5:P5"/>
    <mergeCell ref="O6:P6"/>
    <mergeCell ref="O7:P7"/>
    <mergeCell ref="O8:P8"/>
    <mergeCell ref="O46:P46"/>
    <mergeCell ref="O47:P47"/>
    <mergeCell ref="O48:P48"/>
    <mergeCell ref="O49:P49"/>
    <mergeCell ref="O50:P50"/>
    <mergeCell ref="O51:P51"/>
    <mergeCell ref="O26:P26"/>
    <mergeCell ref="O27:P27"/>
    <mergeCell ref="O28:P28"/>
    <mergeCell ref="O29:P29"/>
    <mergeCell ref="O43:S43"/>
    <mergeCell ref="O44:S44"/>
    <mergeCell ref="O73:P73"/>
    <mergeCell ref="O74:P74"/>
    <mergeCell ref="O103:S103"/>
    <mergeCell ref="O104:S104"/>
    <mergeCell ref="O106:P106"/>
    <mergeCell ref="O107:P107"/>
    <mergeCell ref="O66:S66"/>
    <mergeCell ref="O67:S67"/>
    <mergeCell ref="O69:P69"/>
    <mergeCell ref="O70:P70"/>
    <mergeCell ref="O71:P71"/>
    <mergeCell ref="O72:P72"/>
    <mergeCell ref="O139:P139"/>
    <mergeCell ref="O140:P140"/>
    <mergeCell ref="O141:P141"/>
    <mergeCell ref="O142:P142"/>
    <mergeCell ref="O108:P108"/>
    <mergeCell ref="O109:P109"/>
    <mergeCell ref="O110:P110"/>
    <mergeCell ref="O111:P111"/>
    <mergeCell ref="O134:S134"/>
    <mergeCell ref="O135:S135"/>
    <mergeCell ref="AF29:AJ29"/>
    <mergeCell ref="AF30:AJ30"/>
    <mergeCell ref="AF32:AG32"/>
    <mergeCell ref="AF33:AG33"/>
    <mergeCell ref="AF34:AG34"/>
    <mergeCell ref="AF35:AG35"/>
    <mergeCell ref="O158:P158"/>
    <mergeCell ref="O159:P159"/>
    <mergeCell ref="AF2:AJ2"/>
    <mergeCell ref="AF3:AJ3"/>
    <mergeCell ref="AF5:AG5"/>
    <mergeCell ref="AF6:AG6"/>
    <mergeCell ref="AF7:AG7"/>
    <mergeCell ref="AF8:AG8"/>
    <mergeCell ref="AF9:AG9"/>
    <mergeCell ref="AF10:AG10"/>
    <mergeCell ref="O151:S151"/>
    <mergeCell ref="O152:S152"/>
    <mergeCell ref="O154:P154"/>
    <mergeCell ref="O155:P155"/>
    <mergeCell ref="O156:P156"/>
    <mergeCell ref="O157:P157"/>
    <mergeCell ref="O137:P137"/>
    <mergeCell ref="O138:P138"/>
    <mergeCell ref="AF64:AG64"/>
    <mergeCell ref="AF65:AG65"/>
    <mergeCell ref="AF66:AG66"/>
    <mergeCell ref="AF67:AG67"/>
    <mergeCell ref="AF96:AJ96"/>
    <mergeCell ref="AF97:AJ97"/>
    <mergeCell ref="AF36:AG36"/>
    <mergeCell ref="AF37:AG37"/>
    <mergeCell ref="AF59:AJ59"/>
    <mergeCell ref="AF60:AJ60"/>
    <mergeCell ref="AF62:AG62"/>
    <mergeCell ref="AF63:AG63"/>
    <mergeCell ref="AF112:AJ112"/>
    <mergeCell ref="AF113:AJ113"/>
    <mergeCell ref="AF115:AG115"/>
    <mergeCell ref="AF116:AG116"/>
    <mergeCell ref="AF117:AG117"/>
    <mergeCell ref="AF118:AG118"/>
    <mergeCell ref="AF99:AG99"/>
    <mergeCell ref="AF100:AG100"/>
    <mergeCell ref="AF101:AG101"/>
    <mergeCell ref="AF102:AG102"/>
    <mergeCell ref="AF103:AG103"/>
    <mergeCell ref="AF104:AG104"/>
    <mergeCell ref="AF132:AG132"/>
    <mergeCell ref="AF133:AG133"/>
    <mergeCell ref="AF134:AG134"/>
    <mergeCell ref="AF135:AG135"/>
    <mergeCell ref="AF119:AG119"/>
    <mergeCell ref="AF120:AG120"/>
    <mergeCell ref="AF127:AJ127"/>
    <mergeCell ref="AF128:AJ128"/>
    <mergeCell ref="AF130:AG130"/>
    <mergeCell ref="AF131:AG131"/>
  </mergeCells>
  <conditionalFormatting sqref="J6:J112">
    <cfRule type="containsText" dxfId="38" priority="5" operator="containsText" text="PENURUNAN IU">
      <formula>NOT(ISERROR(SEARCH("PENURUNAN IU",J6)))</formula>
    </cfRule>
    <cfRule type="containsText" dxfId="37" priority="6" operator="containsText" text="TIDAK ADA PERUBAHAN">
      <formula>NOT(ISERROR(SEARCH("TIDAK ADA PERUBAHAN",J6)))</formula>
    </cfRule>
    <cfRule type="containsText" dxfId="36" priority="7" operator="containsText" text="KENAIKAN IU">
      <formula>NOT(ISERROR(SEARCH("KENAIKAN IU",J6)))</formula>
    </cfRule>
  </conditionalFormatting>
  <conditionalFormatting sqref="A6:I112">
    <cfRule type="expression" dxfId="35" priority="4">
      <formula>CELL("row")=ROW()</formula>
    </cfRule>
  </conditionalFormatting>
  <conditionalFormatting sqref="H6:H11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6:K112">
    <cfRule type="expression" dxfId="34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BE42D-D0D7-42CB-9DA7-23B19D536171}">
  <sheetPr codeName="Sheet6"/>
  <dimension ref="A1:BC151"/>
  <sheetViews>
    <sheetView showGridLines="0" topLeftCell="C1" zoomScale="70" zoomScaleNormal="70" workbookViewId="0">
      <selection activeCell="K18" sqref="K18"/>
    </sheetView>
  </sheetViews>
  <sheetFormatPr defaultRowHeight="14.5" x14ac:dyDescent="0.35"/>
  <cols>
    <col min="1" max="1" width="16.7265625" bestFit="1" customWidth="1"/>
    <col min="2" max="2" width="48.36328125" bestFit="1" customWidth="1"/>
    <col min="3" max="3" width="30.36328125" bestFit="1" customWidth="1"/>
    <col min="5" max="5" width="13.7265625" bestFit="1" customWidth="1"/>
    <col min="7" max="7" width="12.453125" bestFit="1" customWidth="1"/>
    <col min="9" max="9" width="13.7265625" bestFit="1" customWidth="1"/>
    <col min="10" max="10" width="18.90625" bestFit="1" customWidth="1"/>
    <col min="11" max="11" width="117.36328125" bestFit="1" customWidth="1"/>
  </cols>
  <sheetData>
    <row r="1" spans="1:55" ht="15" thickBot="1" x14ac:dyDescent="0.4">
      <c r="A1" s="9"/>
    </row>
    <row r="2" spans="1:55" ht="15" thickTop="1" x14ac:dyDescent="0.35">
      <c r="O2" s="88" t="s">
        <v>0</v>
      </c>
      <c r="P2" s="89"/>
      <c r="Q2" s="89"/>
      <c r="R2" s="89"/>
      <c r="S2" s="89"/>
      <c r="T2" s="1"/>
      <c r="U2" s="1"/>
      <c r="V2" s="2"/>
      <c r="X2" s="7" t="s">
        <v>2</v>
      </c>
      <c r="Y2" s="1" t="s">
        <v>3</v>
      </c>
      <c r="Z2" s="1" t="s">
        <v>4</v>
      </c>
      <c r="AA2" s="8">
        <v>5</v>
      </c>
      <c r="AB2" s="1" t="s">
        <v>5</v>
      </c>
      <c r="AC2" s="8">
        <v>21000</v>
      </c>
      <c r="AD2" s="2">
        <v>105000</v>
      </c>
      <c r="AF2" s="84" t="s">
        <v>0</v>
      </c>
      <c r="AG2" s="85"/>
      <c r="AH2" s="85"/>
      <c r="AI2" s="85"/>
      <c r="AJ2" s="85"/>
      <c r="AK2" s="16"/>
      <c r="AL2" s="16"/>
      <c r="AM2" s="17"/>
      <c r="AO2" s="25" t="s">
        <v>65</v>
      </c>
      <c r="AP2" s="16" t="s">
        <v>66</v>
      </c>
      <c r="AQ2" s="16" t="s">
        <v>67</v>
      </c>
      <c r="AR2" s="26">
        <v>9</v>
      </c>
      <c r="AS2" s="16" t="s">
        <v>20</v>
      </c>
      <c r="AT2" s="26">
        <v>320</v>
      </c>
      <c r="AU2" s="17">
        <v>2880</v>
      </c>
      <c r="AW2" s="7" t="s">
        <v>2</v>
      </c>
      <c r="AX2" s="1" t="s">
        <v>3</v>
      </c>
      <c r="AY2" s="1" t="s">
        <v>4</v>
      </c>
      <c r="AZ2" s="8">
        <v>5</v>
      </c>
      <c r="BA2" s="1" t="s">
        <v>5</v>
      </c>
      <c r="BB2" s="8">
        <v>21000</v>
      </c>
      <c r="BC2" s="2">
        <v>105000</v>
      </c>
    </row>
    <row r="3" spans="1:55" ht="21" x14ac:dyDescent="0.5">
      <c r="B3" s="14" t="s">
        <v>608</v>
      </c>
      <c r="O3" s="86" t="s">
        <v>1</v>
      </c>
      <c r="P3" s="87"/>
      <c r="Q3" s="87"/>
      <c r="R3" s="87"/>
      <c r="S3" s="87"/>
      <c r="V3" s="4"/>
      <c r="X3" s="3" t="s">
        <v>217</v>
      </c>
      <c r="Y3" t="s">
        <v>218</v>
      </c>
      <c r="Z3" t="s">
        <v>4</v>
      </c>
      <c r="AA3" s="10">
        <v>0.3</v>
      </c>
      <c r="AB3" t="s">
        <v>9</v>
      </c>
      <c r="AC3" s="10">
        <v>55300</v>
      </c>
      <c r="AD3" s="4">
        <v>16590</v>
      </c>
      <c r="AF3" s="82" t="s">
        <v>1</v>
      </c>
      <c r="AG3" s="83"/>
      <c r="AH3" s="83"/>
      <c r="AI3" s="83"/>
      <c r="AJ3" s="83"/>
      <c r="AK3" s="18"/>
      <c r="AL3" s="18"/>
      <c r="AM3" s="19"/>
      <c r="AO3" s="20" t="s">
        <v>355</v>
      </c>
      <c r="AP3" s="18" t="s">
        <v>356</v>
      </c>
      <c r="AQ3" s="18" t="s">
        <v>67</v>
      </c>
      <c r="AR3" s="21">
        <v>0.1</v>
      </c>
      <c r="AS3" s="18" t="s">
        <v>160</v>
      </c>
      <c r="AT3" s="21">
        <v>4576.9231</v>
      </c>
      <c r="AU3" s="19">
        <v>457.69231000000002</v>
      </c>
      <c r="AW3" s="5" t="s">
        <v>217</v>
      </c>
      <c r="AX3" s="6" t="s">
        <v>218</v>
      </c>
      <c r="AY3" s="6" t="s">
        <v>4</v>
      </c>
      <c r="AZ3" s="10">
        <v>0.3</v>
      </c>
      <c r="BA3" s="6" t="s">
        <v>9</v>
      </c>
      <c r="BB3" s="10">
        <v>55300</v>
      </c>
      <c r="BC3" s="4">
        <v>16590</v>
      </c>
    </row>
    <row r="4" spans="1:55" ht="15" thickBot="1" x14ac:dyDescent="0.4">
      <c r="O4" s="3"/>
      <c r="V4" s="4"/>
      <c r="X4" s="3" t="s">
        <v>13</v>
      </c>
      <c r="Y4" t="s">
        <v>14</v>
      </c>
      <c r="Z4" t="s">
        <v>4</v>
      </c>
      <c r="AA4" s="10">
        <v>0.5</v>
      </c>
      <c r="AB4" t="s">
        <v>15</v>
      </c>
      <c r="AC4" s="10">
        <v>77700</v>
      </c>
      <c r="AD4" s="4">
        <v>38850</v>
      </c>
      <c r="AF4" s="20"/>
      <c r="AG4" s="18"/>
      <c r="AH4" s="18"/>
      <c r="AI4" s="18"/>
      <c r="AJ4" s="18"/>
      <c r="AK4" s="18"/>
      <c r="AL4" s="18"/>
      <c r="AM4" s="19"/>
      <c r="AO4" s="20" t="s">
        <v>232</v>
      </c>
      <c r="AP4" s="18" t="s">
        <v>233</v>
      </c>
      <c r="AQ4" s="18" t="s">
        <v>67</v>
      </c>
      <c r="AR4" s="21">
        <v>1.5</v>
      </c>
      <c r="AS4" s="18" t="s">
        <v>20</v>
      </c>
      <c r="AT4" s="21">
        <v>5875</v>
      </c>
      <c r="AU4" s="19">
        <v>8812.5</v>
      </c>
      <c r="AW4" s="5" t="s">
        <v>13</v>
      </c>
      <c r="AX4" s="6" t="s">
        <v>14</v>
      </c>
      <c r="AY4" s="6" t="s">
        <v>4</v>
      </c>
      <c r="AZ4" s="10">
        <v>0.5</v>
      </c>
      <c r="BA4" s="6" t="s">
        <v>15</v>
      </c>
      <c r="BB4" s="10">
        <v>77700</v>
      </c>
      <c r="BC4" s="4">
        <v>38850</v>
      </c>
    </row>
    <row r="5" spans="1:55" ht="15" thickTop="1" x14ac:dyDescent="0.35">
      <c r="A5" s="74" t="s">
        <v>200</v>
      </c>
      <c r="B5" s="75" t="s">
        <v>201</v>
      </c>
      <c r="C5" s="75" t="s">
        <v>202</v>
      </c>
      <c r="D5" s="75" t="s">
        <v>203</v>
      </c>
      <c r="E5" s="75" t="s">
        <v>204</v>
      </c>
      <c r="F5" s="73" t="s">
        <v>206</v>
      </c>
      <c r="G5" s="73" t="s">
        <v>470</v>
      </c>
      <c r="H5" s="73" t="s">
        <v>207</v>
      </c>
      <c r="I5" s="75" t="s">
        <v>208</v>
      </c>
      <c r="J5" s="75" t="s">
        <v>209</v>
      </c>
      <c r="K5" s="76" t="s">
        <v>862</v>
      </c>
      <c r="O5" s="86" t="s">
        <v>10</v>
      </c>
      <c r="P5" s="87" t="s">
        <v>11</v>
      </c>
      <c r="Q5" t="s">
        <v>609</v>
      </c>
      <c r="V5" s="4"/>
      <c r="X5" s="3" t="s">
        <v>18</v>
      </c>
      <c r="Y5" t="s">
        <v>19</v>
      </c>
      <c r="Z5" t="s">
        <v>4</v>
      </c>
      <c r="AA5" s="10">
        <v>0.5</v>
      </c>
      <c r="AB5" t="s">
        <v>20</v>
      </c>
      <c r="AC5" s="10">
        <v>151400</v>
      </c>
      <c r="AD5" s="4">
        <v>75700</v>
      </c>
      <c r="AF5" s="82" t="s">
        <v>10</v>
      </c>
      <c r="AG5" s="83" t="s">
        <v>11</v>
      </c>
      <c r="AH5" s="18" t="s">
        <v>870</v>
      </c>
      <c r="AI5" s="18"/>
      <c r="AJ5" s="18"/>
      <c r="AK5" s="18"/>
      <c r="AL5" s="18"/>
      <c r="AM5" s="19"/>
      <c r="AO5" s="20" t="s">
        <v>72</v>
      </c>
      <c r="AP5" s="18" t="s">
        <v>73</v>
      </c>
      <c r="AQ5" s="18" t="s">
        <v>67</v>
      </c>
      <c r="AR5" s="21">
        <v>1</v>
      </c>
      <c r="AS5" s="18" t="s">
        <v>74</v>
      </c>
      <c r="AT5" s="21">
        <v>2853.2609000000002</v>
      </c>
      <c r="AU5" s="19">
        <v>2853.2609000000002</v>
      </c>
      <c r="AW5" s="5" t="s">
        <v>18</v>
      </c>
      <c r="AX5" s="6" t="s">
        <v>19</v>
      </c>
      <c r="AY5" s="6" t="s">
        <v>4</v>
      </c>
      <c r="AZ5" s="10">
        <v>0.5</v>
      </c>
      <c r="BA5" s="6" t="s">
        <v>20</v>
      </c>
      <c r="BB5" s="10">
        <v>151400</v>
      </c>
      <c r="BC5" s="4">
        <v>75700</v>
      </c>
    </row>
    <row r="6" spans="1:55" x14ac:dyDescent="0.35">
      <c r="A6" s="38" t="str" cm="1">
        <f t="array" ref="A6:A104">_xlfn.UNIQUE(_xlfn._xlws.FILTER(AW2:AW307, AW2:AW307 &lt;&gt; ""))</f>
        <v>CECM00013</v>
      </c>
      <c r="B6" s="31" t="str">
        <f>_xlfn.XLOOKUP(A6, AW$2:AW$307, AX$2:AX$307, "", 0)</f>
        <v>DAIA 800 GR</v>
      </c>
      <c r="C6" s="31" t="str">
        <f>_xlfn.XLOOKUP(A6, AW$2:AW$307, AY$2:AY$307, "", 0)</f>
        <v>CLEANING CHEMICAL</v>
      </c>
      <c r="D6" s="39" t="str">
        <f>_xlfn.XLOOKUP(A6, AW$2:AW$307, BA$2:BA$307, "", 0)</f>
        <v>pack</v>
      </c>
      <c r="E6" s="40">
        <f>_xlfn.XLOOKUP(A6, AW$2:AW$307, BB$2:BB$307, "", 0)</f>
        <v>21000</v>
      </c>
      <c r="F6" s="48">
        <f>_xlfn.XLOOKUP(A6, X$2:X$307, AA$2:AA$307, "0", 0)</f>
        <v>5</v>
      </c>
      <c r="G6" s="48">
        <f>_xlfn.XLOOKUP(A6, AO$2:AO$307, AR$2:AR$307, "0", 0)</f>
        <v>7</v>
      </c>
      <c r="H6" s="48">
        <f>G6-F6</f>
        <v>2</v>
      </c>
      <c r="I6" s="47">
        <f>H6*E6</f>
        <v>42000</v>
      </c>
      <c r="J6" s="39" t="str">
        <f>CHOOSE(SIGN(G6 - F6) + 2, "Penurunan IU", "Tidak Ada Perubahan", "Kenaikan IU")</f>
        <v>Kenaikan IU</v>
      </c>
      <c r="K6" s="72" t="s">
        <v>1153</v>
      </c>
      <c r="O6" s="86" t="s">
        <v>16</v>
      </c>
      <c r="P6" s="87" t="s">
        <v>11</v>
      </c>
      <c r="Q6" t="s">
        <v>17</v>
      </c>
      <c r="V6" s="4"/>
      <c r="X6" s="3" t="s">
        <v>23</v>
      </c>
      <c r="Y6" t="s">
        <v>24</v>
      </c>
      <c r="Z6" t="s">
        <v>4</v>
      </c>
      <c r="AA6" s="10">
        <v>12</v>
      </c>
      <c r="AB6" t="s">
        <v>25</v>
      </c>
      <c r="AC6" s="10">
        <v>17760</v>
      </c>
      <c r="AD6" s="4">
        <v>213120</v>
      </c>
      <c r="AF6" s="82" t="s">
        <v>16</v>
      </c>
      <c r="AG6" s="83" t="s">
        <v>11</v>
      </c>
      <c r="AH6" s="18" t="s">
        <v>211</v>
      </c>
      <c r="AI6" s="18"/>
      <c r="AJ6" s="18"/>
      <c r="AK6" s="18"/>
      <c r="AL6" s="18"/>
      <c r="AM6" s="19"/>
      <c r="AO6" s="20" t="s">
        <v>77</v>
      </c>
      <c r="AP6" s="18" t="s">
        <v>78</v>
      </c>
      <c r="AQ6" s="18" t="s">
        <v>67</v>
      </c>
      <c r="AR6" s="21">
        <v>1</v>
      </c>
      <c r="AS6" s="18" t="s">
        <v>20</v>
      </c>
      <c r="AT6" s="21">
        <v>6500</v>
      </c>
      <c r="AU6" s="19">
        <v>6500</v>
      </c>
      <c r="AW6" s="5" t="s">
        <v>23</v>
      </c>
      <c r="AX6" s="6" t="s">
        <v>24</v>
      </c>
      <c r="AY6" s="6" t="s">
        <v>4</v>
      </c>
      <c r="AZ6" s="10">
        <v>12</v>
      </c>
      <c r="BA6" s="6" t="s">
        <v>25</v>
      </c>
      <c r="BB6" s="10">
        <v>17760</v>
      </c>
      <c r="BC6" s="4">
        <v>213120</v>
      </c>
    </row>
    <row r="7" spans="1:55" x14ac:dyDescent="0.35">
      <c r="A7" s="38" t="str">
        <v>CECM0005</v>
      </c>
      <c r="B7" s="31" t="str">
        <f t="shared" ref="B7:B70" si="0">_xlfn.XLOOKUP(A7, AW$2:AW$307, AX$2:AX$307, "", 0)</f>
        <v>XYZ GLASS CLEANER 5 LTR</v>
      </c>
      <c r="C7" s="31" t="str">
        <f t="shared" ref="C7:C70" si="1">_xlfn.XLOOKUP(A7, AW$2:AW$307, AY$2:AY$307, "", 0)</f>
        <v>CLEANING CHEMICAL</v>
      </c>
      <c r="D7" s="39" t="str">
        <f t="shared" ref="D7:D70" si="2">_xlfn.XLOOKUP(A7, AW$2:AW$307, BA$2:BA$307, "", 0)</f>
        <v>gln</v>
      </c>
      <c r="E7" s="40">
        <f t="shared" ref="E7:E70" si="3">_xlfn.XLOOKUP(A7, AW$2:AW$307, BB$2:BB$307, "", 0)</f>
        <v>55300</v>
      </c>
      <c r="F7" s="48">
        <f t="shared" ref="F7:F70" si="4">_xlfn.XLOOKUP(A7, X$2:X$307, AA$2:AA$307, "0", 0)</f>
        <v>0.3</v>
      </c>
      <c r="G7" s="48" t="str">
        <f t="shared" ref="G7:G70" si="5">_xlfn.XLOOKUP(A7, AO$2:AO$307, AR$2:AR$307, "0", 0)</f>
        <v>0</v>
      </c>
      <c r="H7" s="48">
        <f t="shared" ref="H7:H70" si="6">G7-F7</f>
        <v>-0.3</v>
      </c>
      <c r="I7" s="47">
        <f t="shared" ref="I7:I70" si="7">H7*E7</f>
        <v>-16590</v>
      </c>
      <c r="J7" s="39" t="str">
        <f t="shared" ref="J7:J70" si="8">CHOOSE(SIGN(G7 - F7) + 2, "Penurunan IU", "Tidak Ada Perubahan", "Kenaikan IU")</f>
        <v>Penurunan IU</v>
      </c>
      <c r="K7" s="72" t="s">
        <v>1154</v>
      </c>
      <c r="O7" s="86" t="s">
        <v>21</v>
      </c>
      <c r="P7" s="87" t="s">
        <v>11</v>
      </c>
      <c r="Q7" t="s">
        <v>610</v>
      </c>
      <c r="V7" s="4"/>
      <c r="X7" s="3" t="s">
        <v>28</v>
      </c>
      <c r="Y7" t="s">
        <v>29</v>
      </c>
      <c r="Z7" t="s">
        <v>4</v>
      </c>
      <c r="AA7" s="10">
        <v>2.5</v>
      </c>
      <c r="AB7" t="s">
        <v>30</v>
      </c>
      <c r="AC7" s="10">
        <v>19745.640500000001</v>
      </c>
      <c r="AD7" s="4">
        <v>49364.10125</v>
      </c>
      <c r="AF7" s="82" t="s">
        <v>21</v>
      </c>
      <c r="AG7" s="83" t="s">
        <v>11</v>
      </c>
      <c r="AH7" s="18" t="s">
        <v>610</v>
      </c>
      <c r="AI7" s="18"/>
      <c r="AJ7" s="18"/>
      <c r="AK7" s="18"/>
      <c r="AL7" s="18"/>
      <c r="AM7" s="19"/>
      <c r="AO7" s="20" t="s">
        <v>79</v>
      </c>
      <c r="AP7" s="18" t="s">
        <v>80</v>
      </c>
      <c r="AQ7" s="18" t="s">
        <v>67</v>
      </c>
      <c r="AR7" s="21">
        <v>2</v>
      </c>
      <c r="AS7" s="18" t="s">
        <v>20</v>
      </c>
      <c r="AT7" s="21">
        <v>15000</v>
      </c>
      <c r="AU7" s="19">
        <v>30000</v>
      </c>
      <c r="AW7" s="5" t="s">
        <v>28</v>
      </c>
      <c r="AX7" s="6" t="s">
        <v>29</v>
      </c>
      <c r="AY7" s="6" t="s">
        <v>4</v>
      </c>
      <c r="AZ7" s="10">
        <v>2.5</v>
      </c>
      <c r="BA7" s="6" t="s">
        <v>30</v>
      </c>
      <c r="BB7" s="10">
        <v>19745.640500000001</v>
      </c>
      <c r="BC7" s="4">
        <v>49364.10125</v>
      </c>
    </row>
    <row r="8" spans="1:55" x14ac:dyDescent="0.35">
      <c r="A8" s="38" t="str">
        <v>CECM0008</v>
      </c>
      <c r="B8" s="31" t="str">
        <f t="shared" si="0"/>
        <v>XYZ ANTI BACTERIAL HANDSOAP 5 L</v>
      </c>
      <c r="C8" s="31" t="str">
        <f t="shared" si="1"/>
        <v>CLEANING CHEMICAL</v>
      </c>
      <c r="D8" s="39" t="str">
        <f t="shared" si="2"/>
        <v>jerrycan</v>
      </c>
      <c r="E8" s="40">
        <f t="shared" si="3"/>
        <v>77700</v>
      </c>
      <c r="F8" s="48">
        <f t="shared" si="4"/>
        <v>0.5</v>
      </c>
      <c r="G8" s="48" t="str">
        <f t="shared" si="5"/>
        <v>0</v>
      </c>
      <c r="H8" s="48">
        <f t="shared" si="6"/>
        <v>-0.5</v>
      </c>
      <c r="I8" s="47">
        <f t="shared" si="7"/>
        <v>-38850</v>
      </c>
      <c r="J8" s="39" t="str">
        <f t="shared" si="8"/>
        <v>Penurunan IU</v>
      </c>
      <c r="K8" s="72" t="s">
        <v>1155</v>
      </c>
      <c r="O8" s="86" t="s">
        <v>26</v>
      </c>
      <c r="P8" s="87" t="s">
        <v>11</v>
      </c>
      <c r="Q8" t="s">
        <v>611</v>
      </c>
      <c r="V8" s="4"/>
      <c r="X8" s="3" t="s">
        <v>33</v>
      </c>
      <c r="Y8" t="s">
        <v>34</v>
      </c>
      <c r="Z8" t="s">
        <v>4</v>
      </c>
      <c r="AA8" s="10">
        <v>20.43</v>
      </c>
      <c r="AB8" t="s">
        <v>30</v>
      </c>
      <c r="AC8" s="10">
        <v>13000</v>
      </c>
      <c r="AD8" s="4">
        <v>265590</v>
      </c>
      <c r="AF8" s="82" t="s">
        <v>26</v>
      </c>
      <c r="AG8" s="83" t="s">
        <v>11</v>
      </c>
      <c r="AH8" s="18" t="s">
        <v>871</v>
      </c>
      <c r="AI8" s="18"/>
      <c r="AJ8" s="18"/>
      <c r="AK8" s="18"/>
      <c r="AL8" s="18"/>
      <c r="AM8" s="19"/>
      <c r="AO8" s="20" t="s">
        <v>236</v>
      </c>
      <c r="AP8" s="18" t="s">
        <v>237</v>
      </c>
      <c r="AQ8" s="18" t="s">
        <v>67</v>
      </c>
      <c r="AR8" s="21">
        <v>1</v>
      </c>
      <c r="AS8" s="18" t="s">
        <v>20</v>
      </c>
      <c r="AT8" s="21">
        <v>7442.4767000000002</v>
      </c>
      <c r="AU8" s="19">
        <v>7442.4767000000002</v>
      </c>
      <c r="AW8" s="5" t="s">
        <v>33</v>
      </c>
      <c r="AX8" s="6" t="s">
        <v>34</v>
      </c>
      <c r="AY8" s="6" t="s">
        <v>4</v>
      </c>
      <c r="AZ8" s="10">
        <v>20.43</v>
      </c>
      <c r="BA8" s="6" t="s">
        <v>30</v>
      </c>
      <c r="BB8" s="10">
        <v>13000</v>
      </c>
      <c r="BC8" s="4">
        <v>265590</v>
      </c>
    </row>
    <row r="9" spans="1:55" x14ac:dyDescent="0.35">
      <c r="A9" s="38" t="str">
        <v>CECM0009</v>
      </c>
      <c r="B9" s="31" t="str">
        <f t="shared" si="0"/>
        <v>HAND SANITIZER 5 L</v>
      </c>
      <c r="C9" s="31" t="str">
        <f t="shared" si="1"/>
        <v>CLEANING CHEMICAL</v>
      </c>
      <c r="D9" s="39" t="str">
        <f t="shared" si="2"/>
        <v>pcs</v>
      </c>
      <c r="E9" s="40">
        <f t="shared" si="3"/>
        <v>151400</v>
      </c>
      <c r="F9" s="48">
        <f t="shared" si="4"/>
        <v>0.5</v>
      </c>
      <c r="G9" s="48">
        <f t="shared" si="5"/>
        <v>0.5</v>
      </c>
      <c r="H9" s="48">
        <f t="shared" si="6"/>
        <v>0</v>
      </c>
      <c r="I9" s="47">
        <f t="shared" si="7"/>
        <v>0</v>
      </c>
      <c r="J9" s="39" t="str">
        <f t="shared" si="8"/>
        <v>Tidak Ada Perubahan</v>
      </c>
      <c r="K9" s="72" t="s">
        <v>1156</v>
      </c>
      <c r="O9" s="86" t="s">
        <v>31</v>
      </c>
      <c r="P9" s="87" t="s">
        <v>11</v>
      </c>
      <c r="Q9" t="s">
        <v>32</v>
      </c>
      <c r="V9" s="4"/>
      <c r="X9" s="3" t="s">
        <v>39</v>
      </c>
      <c r="Y9" t="s">
        <v>40</v>
      </c>
      <c r="Z9" t="s">
        <v>41</v>
      </c>
      <c r="AA9" s="10">
        <v>6</v>
      </c>
      <c r="AB9" t="s">
        <v>20</v>
      </c>
      <c r="AC9" s="10">
        <v>6800</v>
      </c>
      <c r="AD9" s="4">
        <v>40800</v>
      </c>
      <c r="AF9" s="82" t="s">
        <v>31</v>
      </c>
      <c r="AG9" s="83" t="s">
        <v>11</v>
      </c>
      <c r="AH9" s="18" t="s">
        <v>109</v>
      </c>
      <c r="AI9" s="18"/>
      <c r="AJ9" s="18"/>
      <c r="AK9" s="18"/>
      <c r="AL9" s="18"/>
      <c r="AM9" s="19"/>
      <c r="AO9" s="20" t="s">
        <v>357</v>
      </c>
      <c r="AP9" s="18" t="s">
        <v>358</v>
      </c>
      <c r="AQ9" s="18" t="s">
        <v>67</v>
      </c>
      <c r="AR9" s="21">
        <v>0.4</v>
      </c>
      <c r="AS9" s="18" t="s">
        <v>5</v>
      </c>
      <c r="AT9" s="21">
        <v>32500</v>
      </c>
      <c r="AU9" s="19">
        <v>13000</v>
      </c>
      <c r="AW9" s="5" t="s">
        <v>39</v>
      </c>
      <c r="AX9" s="6" t="s">
        <v>40</v>
      </c>
      <c r="AY9" s="6" t="s">
        <v>41</v>
      </c>
      <c r="AZ9" s="10">
        <v>6</v>
      </c>
      <c r="BA9" s="6" t="s">
        <v>20</v>
      </c>
      <c r="BB9" s="10">
        <v>6800</v>
      </c>
      <c r="BC9" s="4">
        <v>40800</v>
      </c>
    </row>
    <row r="10" spans="1:55" x14ac:dyDescent="0.35">
      <c r="A10" s="38" t="str">
        <v>CECM0012</v>
      </c>
      <c r="B10" s="31" t="str">
        <f t="shared" si="0"/>
        <v>NOBLA LIQUID 20 L</v>
      </c>
      <c r="C10" s="31" t="str">
        <f t="shared" si="1"/>
        <v>CLEANING CHEMICAL</v>
      </c>
      <c r="D10" s="39" t="str">
        <f t="shared" si="2"/>
        <v>ltr</v>
      </c>
      <c r="E10" s="40">
        <f t="shared" si="3"/>
        <v>17760</v>
      </c>
      <c r="F10" s="48">
        <f t="shared" si="4"/>
        <v>12</v>
      </c>
      <c r="G10" s="48">
        <f t="shared" si="5"/>
        <v>18</v>
      </c>
      <c r="H10" s="48">
        <f t="shared" si="6"/>
        <v>6</v>
      </c>
      <c r="I10" s="47">
        <f t="shared" si="7"/>
        <v>106560</v>
      </c>
      <c r="J10" s="39" t="str">
        <f t="shared" si="8"/>
        <v>Kenaikan IU</v>
      </c>
      <c r="K10" s="72" t="s">
        <v>1157</v>
      </c>
      <c r="O10" s="86" t="s">
        <v>35</v>
      </c>
      <c r="P10" s="87" t="s">
        <v>11</v>
      </c>
      <c r="Q10" t="s">
        <v>612</v>
      </c>
      <c r="V10" s="4"/>
      <c r="X10" s="3" t="s">
        <v>304</v>
      </c>
      <c r="Y10" t="s">
        <v>305</v>
      </c>
      <c r="Z10" t="s">
        <v>41</v>
      </c>
      <c r="AA10" s="10">
        <v>5</v>
      </c>
      <c r="AB10" t="s">
        <v>20</v>
      </c>
      <c r="AC10" s="10">
        <v>6800</v>
      </c>
      <c r="AD10" s="4">
        <v>34000</v>
      </c>
      <c r="AF10" s="82" t="s">
        <v>35</v>
      </c>
      <c r="AG10" s="83" t="s">
        <v>11</v>
      </c>
      <c r="AH10" s="18" t="s">
        <v>872</v>
      </c>
      <c r="AI10" s="18"/>
      <c r="AJ10" s="18"/>
      <c r="AK10" s="18"/>
      <c r="AL10" s="18"/>
      <c r="AM10" s="19"/>
      <c r="AO10" s="20" t="s">
        <v>624</v>
      </c>
      <c r="AP10" s="18" t="s">
        <v>625</v>
      </c>
      <c r="AQ10" s="18" t="s">
        <v>67</v>
      </c>
      <c r="AR10" s="21">
        <v>0.2</v>
      </c>
      <c r="AS10" s="18" t="s">
        <v>5</v>
      </c>
      <c r="AT10" s="21">
        <v>7545.4545000000007</v>
      </c>
      <c r="AU10" s="19">
        <v>1509.0908999999999</v>
      </c>
      <c r="AW10" s="5" t="s">
        <v>304</v>
      </c>
      <c r="AX10" s="6" t="s">
        <v>305</v>
      </c>
      <c r="AY10" s="6" t="s">
        <v>41</v>
      </c>
      <c r="AZ10" s="10">
        <v>5</v>
      </c>
      <c r="BA10" s="6" t="s">
        <v>20</v>
      </c>
      <c r="BB10" s="10">
        <v>6800</v>
      </c>
      <c r="BC10" s="4">
        <v>34000</v>
      </c>
    </row>
    <row r="11" spans="1:55" x14ac:dyDescent="0.35">
      <c r="A11" s="38" t="str">
        <v>CECM0014</v>
      </c>
      <c r="B11" s="31" t="str">
        <f t="shared" si="0"/>
        <v>XYZ KARBOL LEMONGRASS 5 L</v>
      </c>
      <c r="C11" s="31" t="str">
        <f t="shared" si="1"/>
        <v>CLEANING CHEMICAL</v>
      </c>
      <c r="D11" s="39" t="str">
        <f t="shared" si="2"/>
        <v>liter</v>
      </c>
      <c r="E11" s="40">
        <f t="shared" si="3"/>
        <v>19745.640500000001</v>
      </c>
      <c r="F11" s="48">
        <f t="shared" si="4"/>
        <v>2.5</v>
      </c>
      <c r="G11" s="48" t="str">
        <f t="shared" si="5"/>
        <v>0</v>
      </c>
      <c r="H11" s="48">
        <f t="shared" si="6"/>
        <v>-2.5</v>
      </c>
      <c r="I11" s="47">
        <f t="shared" si="7"/>
        <v>-49364.101250000007</v>
      </c>
      <c r="J11" s="39" t="str">
        <f t="shared" si="8"/>
        <v>Penurunan IU</v>
      </c>
      <c r="K11" s="72" t="s">
        <v>1158</v>
      </c>
      <c r="O11" s="3"/>
      <c r="V11" s="4"/>
      <c r="X11" s="3" t="s">
        <v>50</v>
      </c>
      <c r="Y11" t="s">
        <v>51</v>
      </c>
      <c r="Z11" t="s">
        <v>41</v>
      </c>
      <c r="AA11" s="10">
        <v>24</v>
      </c>
      <c r="AB11" t="s">
        <v>52</v>
      </c>
      <c r="AC11" s="10">
        <v>20500</v>
      </c>
      <c r="AD11" s="4">
        <v>492000</v>
      </c>
      <c r="AF11" s="20"/>
      <c r="AG11" s="18"/>
      <c r="AH11" s="18"/>
      <c r="AI11" s="18"/>
      <c r="AJ11" s="18"/>
      <c r="AK11" s="18"/>
      <c r="AL11" s="18"/>
      <c r="AM11" s="19"/>
      <c r="AO11" s="20" t="s">
        <v>83</v>
      </c>
      <c r="AP11" s="18" t="s">
        <v>84</v>
      </c>
      <c r="AQ11" s="18" t="s">
        <v>67</v>
      </c>
      <c r="AR11" s="21">
        <v>0.8</v>
      </c>
      <c r="AS11" s="18" t="s">
        <v>20</v>
      </c>
      <c r="AT11" s="21">
        <v>11803.571400000001</v>
      </c>
      <c r="AU11" s="19">
        <v>9442.8571200000006</v>
      </c>
      <c r="AW11" s="5" t="s">
        <v>50</v>
      </c>
      <c r="AX11" s="6" t="s">
        <v>51</v>
      </c>
      <c r="AY11" s="6" t="s">
        <v>41</v>
      </c>
      <c r="AZ11" s="10">
        <v>24</v>
      </c>
      <c r="BA11" s="6" t="s">
        <v>52</v>
      </c>
      <c r="BB11" s="10">
        <v>20500</v>
      </c>
      <c r="BC11" s="4">
        <v>492000</v>
      </c>
    </row>
    <row r="12" spans="1:55" x14ac:dyDescent="0.35">
      <c r="A12" s="38" t="str">
        <v>CECM0018</v>
      </c>
      <c r="B12" s="31" t="str">
        <f t="shared" si="0"/>
        <v>XYZ GENERAL CLEANER  (CUCI PIRING LIME)</v>
      </c>
      <c r="C12" s="31" t="str">
        <f t="shared" si="1"/>
        <v>CLEANING CHEMICAL</v>
      </c>
      <c r="D12" s="39" t="str">
        <f t="shared" si="2"/>
        <v>liter</v>
      </c>
      <c r="E12" s="40">
        <f t="shared" si="3"/>
        <v>13000</v>
      </c>
      <c r="F12" s="48">
        <f t="shared" si="4"/>
        <v>20.43</v>
      </c>
      <c r="G12" s="48">
        <f t="shared" si="5"/>
        <v>11.88</v>
      </c>
      <c r="H12" s="48">
        <f t="shared" si="6"/>
        <v>-8.5499999999999989</v>
      </c>
      <c r="I12" s="47">
        <f t="shared" si="7"/>
        <v>-111149.99999999999</v>
      </c>
      <c r="J12" s="39" t="str">
        <f t="shared" si="8"/>
        <v>Penurunan IU</v>
      </c>
      <c r="K12" s="72" t="s">
        <v>1159</v>
      </c>
      <c r="O12" s="3" t="s">
        <v>42</v>
      </c>
      <c r="P12" t="s">
        <v>43</v>
      </c>
      <c r="Q12" t="s">
        <v>44</v>
      </c>
      <c r="R12" t="s">
        <v>45</v>
      </c>
      <c r="S12" t="s">
        <v>46</v>
      </c>
      <c r="T12" t="s">
        <v>47</v>
      </c>
      <c r="U12" t="s">
        <v>48</v>
      </c>
      <c r="V12" s="4" t="s">
        <v>49</v>
      </c>
      <c r="X12" s="3" t="s">
        <v>405</v>
      </c>
      <c r="Y12" t="s">
        <v>406</v>
      </c>
      <c r="Z12" t="s">
        <v>41</v>
      </c>
      <c r="AA12" s="10">
        <v>1</v>
      </c>
      <c r="AB12" t="s">
        <v>20</v>
      </c>
      <c r="AC12" s="10">
        <v>7355.579999999999</v>
      </c>
      <c r="AD12" s="4">
        <v>7355.58</v>
      </c>
      <c r="AF12" s="20" t="s">
        <v>42</v>
      </c>
      <c r="AG12" s="18" t="s">
        <v>43</v>
      </c>
      <c r="AH12" s="18" t="s">
        <v>44</v>
      </c>
      <c r="AI12" s="18" t="s">
        <v>45</v>
      </c>
      <c r="AJ12" s="18" t="s">
        <v>46</v>
      </c>
      <c r="AK12" s="18" t="s">
        <v>47</v>
      </c>
      <c r="AL12" s="18" t="s">
        <v>48</v>
      </c>
      <c r="AM12" s="19" t="s">
        <v>49</v>
      </c>
      <c r="AO12" s="20" t="s">
        <v>242</v>
      </c>
      <c r="AP12" s="18" t="s">
        <v>243</v>
      </c>
      <c r="AQ12" s="18" t="s">
        <v>67</v>
      </c>
      <c r="AR12" s="21">
        <v>0.2</v>
      </c>
      <c r="AS12" s="18" t="s">
        <v>87</v>
      </c>
      <c r="AT12" s="21">
        <v>14500</v>
      </c>
      <c r="AU12" s="19">
        <v>2900</v>
      </c>
      <c r="AW12" s="5" t="s">
        <v>405</v>
      </c>
      <c r="AX12" s="6" t="s">
        <v>406</v>
      </c>
      <c r="AY12" s="6" t="s">
        <v>41</v>
      </c>
      <c r="AZ12" s="10">
        <v>1</v>
      </c>
      <c r="BA12" s="6" t="s">
        <v>20</v>
      </c>
      <c r="BB12" s="10">
        <v>7355.579999999999</v>
      </c>
      <c r="BC12" s="4">
        <v>7355.58</v>
      </c>
    </row>
    <row r="13" spans="1:55" x14ac:dyDescent="0.35">
      <c r="A13" s="38" t="str">
        <v>CETS0001</v>
      </c>
      <c r="B13" s="31" t="str">
        <f t="shared" si="0"/>
        <v>TOWEL ANJOLY BIRU-KECIL</v>
      </c>
      <c r="C13" s="31" t="str">
        <f t="shared" si="1"/>
        <v>CLEANING TOOLS AND SUPPLIES</v>
      </c>
      <c r="D13" s="39" t="str">
        <f t="shared" si="2"/>
        <v>pcs</v>
      </c>
      <c r="E13" s="40">
        <f t="shared" si="3"/>
        <v>6800</v>
      </c>
      <c r="F13" s="48">
        <f t="shared" si="4"/>
        <v>6</v>
      </c>
      <c r="G13" s="48" t="str">
        <f t="shared" si="5"/>
        <v>0</v>
      </c>
      <c r="H13" s="48">
        <f t="shared" si="6"/>
        <v>-6</v>
      </c>
      <c r="I13" s="47">
        <f t="shared" si="7"/>
        <v>-40800</v>
      </c>
      <c r="J13" s="39" t="str">
        <f t="shared" si="8"/>
        <v>Penurunan IU</v>
      </c>
      <c r="K13" s="72" t="s">
        <v>1160</v>
      </c>
      <c r="O13" s="3">
        <v>1</v>
      </c>
      <c r="P13" t="s">
        <v>2</v>
      </c>
      <c r="Q13" t="s">
        <v>3</v>
      </c>
      <c r="R13" t="s">
        <v>4</v>
      </c>
      <c r="S13" s="10">
        <v>5</v>
      </c>
      <c r="T13" t="s">
        <v>5</v>
      </c>
      <c r="U13" s="10">
        <v>21000</v>
      </c>
      <c r="V13" s="4">
        <v>105000</v>
      </c>
      <c r="X13" s="3" t="s">
        <v>306</v>
      </c>
      <c r="Y13" t="s">
        <v>307</v>
      </c>
      <c r="Z13" t="s">
        <v>41</v>
      </c>
      <c r="AA13" s="10">
        <v>4</v>
      </c>
      <c r="AB13" t="s">
        <v>20</v>
      </c>
      <c r="AC13" s="10">
        <v>6938.892499999999</v>
      </c>
      <c r="AD13" s="4">
        <v>27755.57</v>
      </c>
      <c r="AF13" s="20">
        <v>1</v>
      </c>
      <c r="AG13" s="18" t="s">
        <v>65</v>
      </c>
      <c r="AH13" s="18" t="s">
        <v>66</v>
      </c>
      <c r="AI13" s="18" t="s">
        <v>67</v>
      </c>
      <c r="AJ13" s="21">
        <v>9</v>
      </c>
      <c r="AK13" s="18" t="s">
        <v>20</v>
      </c>
      <c r="AL13" s="21">
        <v>320</v>
      </c>
      <c r="AM13" s="19">
        <v>2880</v>
      </c>
      <c r="AO13" s="20" t="s">
        <v>246</v>
      </c>
      <c r="AP13" s="18" t="s">
        <v>247</v>
      </c>
      <c r="AQ13" s="18" t="s">
        <v>67</v>
      </c>
      <c r="AR13" s="21">
        <v>3</v>
      </c>
      <c r="AS13" s="18" t="s">
        <v>5</v>
      </c>
      <c r="AT13" s="21">
        <v>2857.8571000000002</v>
      </c>
      <c r="AU13" s="19">
        <v>8573.5712999999996</v>
      </c>
      <c r="AW13" s="5" t="s">
        <v>306</v>
      </c>
      <c r="AX13" s="6" t="s">
        <v>307</v>
      </c>
      <c r="AY13" s="6" t="s">
        <v>41</v>
      </c>
      <c r="AZ13" s="10">
        <v>4</v>
      </c>
      <c r="BA13" s="6" t="s">
        <v>20</v>
      </c>
      <c r="BB13" s="10">
        <v>6938.892499999999</v>
      </c>
      <c r="BC13" s="4">
        <v>27755.57</v>
      </c>
    </row>
    <row r="14" spans="1:55" x14ac:dyDescent="0.35">
      <c r="A14" s="38" t="str">
        <v>CETS0002</v>
      </c>
      <c r="B14" s="31" t="str">
        <f t="shared" si="0"/>
        <v>TOWEL ANJOLY MERAH-KECIL</v>
      </c>
      <c r="C14" s="31" t="str">
        <f t="shared" si="1"/>
        <v>CLEANING TOOLS AND SUPPLIES</v>
      </c>
      <c r="D14" s="39" t="str">
        <f t="shared" si="2"/>
        <v>pcs</v>
      </c>
      <c r="E14" s="40">
        <f t="shared" si="3"/>
        <v>6800</v>
      </c>
      <c r="F14" s="48">
        <f t="shared" si="4"/>
        <v>5</v>
      </c>
      <c r="G14" s="48" t="str">
        <f t="shared" si="5"/>
        <v>0</v>
      </c>
      <c r="H14" s="48">
        <f t="shared" si="6"/>
        <v>-5</v>
      </c>
      <c r="I14" s="47">
        <f t="shared" si="7"/>
        <v>-34000</v>
      </c>
      <c r="J14" s="39" t="str">
        <f t="shared" si="8"/>
        <v>Penurunan IU</v>
      </c>
      <c r="K14" s="72" t="s">
        <v>1160</v>
      </c>
      <c r="O14" s="3">
        <v>2</v>
      </c>
      <c r="P14" t="s">
        <v>217</v>
      </c>
      <c r="Q14" t="s">
        <v>218</v>
      </c>
      <c r="R14" t="s">
        <v>4</v>
      </c>
      <c r="S14" s="10">
        <v>0.3</v>
      </c>
      <c r="T14" t="s">
        <v>9</v>
      </c>
      <c r="U14" s="10">
        <v>55300</v>
      </c>
      <c r="V14" s="4">
        <v>16590</v>
      </c>
      <c r="X14" s="3" t="s">
        <v>308</v>
      </c>
      <c r="Y14" t="s">
        <v>309</v>
      </c>
      <c r="Z14" t="s">
        <v>41</v>
      </c>
      <c r="AA14" s="10">
        <v>7</v>
      </c>
      <c r="AB14" t="s">
        <v>20</v>
      </c>
      <c r="AC14" s="10">
        <v>7077.79</v>
      </c>
      <c r="AD14" s="4">
        <v>49544.53</v>
      </c>
      <c r="AF14" s="20">
        <v>2</v>
      </c>
      <c r="AG14" s="18" t="s">
        <v>355</v>
      </c>
      <c r="AH14" s="18" t="s">
        <v>356</v>
      </c>
      <c r="AI14" s="18" t="s">
        <v>67</v>
      </c>
      <c r="AJ14" s="21">
        <v>0.1</v>
      </c>
      <c r="AK14" s="18" t="s">
        <v>160</v>
      </c>
      <c r="AL14" s="21">
        <v>4576.9231</v>
      </c>
      <c r="AM14" s="19">
        <v>457.69231000000002</v>
      </c>
      <c r="AO14" s="20" t="s">
        <v>327</v>
      </c>
      <c r="AP14" s="18" t="s">
        <v>328</v>
      </c>
      <c r="AQ14" s="18" t="s">
        <v>67</v>
      </c>
      <c r="AR14" s="21">
        <v>1</v>
      </c>
      <c r="AS14" s="18" t="s">
        <v>5</v>
      </c>
      <c r="AT14" s="21">
        <v>5783.3333000000011</v>
      </c>
      <c r="AU14" s="19">
        <v>5783.3333000000002</v>
      </c>
      <c r="AW14" s="5" t="s">
        <v>308</v>
      </c>
      <c r="AX14" s="6" t="s">
        <v>309</v>
      </c>
      <c r="AY14" s="6" t="s">
        <v>41</v>
      </c>
      <c r="AZ14" s="10">
        <v>7</v>
      </c>
      <c r="BA14" s="6" t="s">
        <v>20</v>
      </c>
      <c r="BB14" s="10">
        <v>7077.79</v>
      </c>
      <c r="BC14" s="4">
        <v>49544.53</v>
      </c>
    </row>
    <row r="15" spans="1:55" x14ac:dyDescent="0.35">
      <c r="A15" s="38" t="str">
        <v>CETS00028</v>
      </c>
      <c r="B15" s="31" t="str">
        <f t="shared" si="0"/>
        <v>GLUE PAD</v>
      </c>
      <c r="C15" s="31" t="str">
        <f t="shared" si="1"/>
        <v>CLEANING TOOLS AND SUPPLIES</v>
      </c>
      <c r="D15" s="39" t="str">
        <f t="shared" si="2"/>
        <v>lembar</v>
      </c>
      <c r="E15" s="40">
        <f t="shared" si="3"/>
        <v>20500</v>
      </c>
      <c r="F15" s="48">
        <f t="shared" si="4"/>
        <v>24</v>
      </c>
      <c r="G15" s="48">
        <f t="shared" si="5"/>
        <v>20</v>
      </c>
      <c r="H15" s="48">
        <f t="shared" si="6"/>
        <v>-4</v>
      </c>
      <c r="I15" s="47">
        <f t="shared" si="7"/>
        <v>-82000</v>
      </c>
      <c r="J15" s="39" t="str">
        <f t="shared" si="8"/>
        <v>Penurunan IU</v>
      </c>
      <c r="K15" s="72" t="s">
        <v>1160</v>
      </c>
      <c r="O15" s="3">
        <v>3</v>
      </c>
      <c r="P15" t="s">
        <v>13</v>
      </c>
      <c r="Q15" t="s">
        <v>14</v>
      </c>
      <c r="R15" t="s">
        <v>4</v>
      </c>
      <c r="S15" s="10">
        <v>0.5</v>
      </c>
      <c r="T15" t="s">
        <v>15</v>
      </c>
      <c r="U15" s="10">
        <v>77700</v>
      </c>
      <c r="V15" s="4">
        <v>38850</v>
      </c>
      <c r="X15" s="3" t="s">
        <v>53</v>
      </c>
      <c r="Y15" t="s">
        <v>54</v>
      </c>
      <c r="Z15" t="s">
        <v>41</v>
      </c>
      <c r="AA15" s="10">
        <v>15</v>
      </c>
      <c r="AB15" t="s">
        <v>20</v>
      </c>
      <c r="AC15" s="10">
        <v>3451.5345000000002</v>
      </c>
      <c r="AD15" s="4">
        <v>51773.017500000002</v>
      </c>
      <c r="AF15" s="20">
        <v>3</v>
      </c>
      <c r="AG15" s="18" t="s">
        <v>232</v>
      </c>
      <c r="AH15" s="18" t="s">
        <v>233</v>
      </c>
      <c r="AI15" s="18" t="s">
        <v>67</v>
      </c>
      <c r="AJ15" s="21">
        <v>1.5</v>
      </c>
      <c r="AK15" s="18" t="s">
        <v>20</v>
      </c>
      <c r="AL15" s="21">
        <v>5875</v>
      </c>
      <c r="AM15" s="19">
        <v>8812.5</v>
      </c>
      <c r="AO15" s="20" t="s">
        <v>90</v>
      </c>
      <c r="AP15" s="18" t="s">
        <v>91</v>
      </c>
      <c r="AQ15" s="18" t="s">
        <v>67</v>
      </c>
      <c r="AR15" s="21">
        <v>1</v>
      </c>
      <c r="AS15" s="18" t="s">
        <v>5</v>
      </c>
      <c r="AT15" s="21">
        <v>5900</v>
      </c>
      <c r="AU15" s="19">
        <v>5900</v>
      </c>
      <c r="AW15" s="5" t="s">
        <v>53</v>
      </c>
      <c r="AX15" s="6" t="s">
        <v>54</v>
      </c>
      <c r="AY15" s="6" t="s">
        <v>41</v>
      </c>
      <c r="AZ15" s="10">
        <v>15</v>
      </c>
      <c r="BA15" s="6" t="s">
        <v>20</v>
      </c>
      <c r="BB15" s="10">
        <v>3451.5345000000002</v>
      </c>
      <c r="BC15" s="4">
        <v>51773.017500000002</v>
      </c>
    </row>
    <row r="16" spans="1:55" x14ac:dyDescent="0.35">
      <c r="A16" s="38" t="str">
        <v>CETS0003</v>
      </c>
      <c r="B16" s="31" t="str">
        <f t="shared" si="0"/>
        <v>TOWEL ANJOLY COKLAT-KECIL</v>
      </c>
      <c r="C16" s="31" t="str">
        <f t="shared" si="1"/>
        <v>CLEANING TOOLS AND SUPPLIES</v>
      </c>
      <c r="D16" s="39" t="str">
        <f t="shared" si="2"/>
        <v>pcs</v>
      </c>
      <c r="E16" s="40">
        <f t="shared" si="3"/>
        <v>7355.579999999999</v>
      </c>
      <c r="F16" s="48">
        <f t="shared" si="4"/>
        <v>1</v>
      </c>
      <c r="G16" s="48" t="str">
        <f t="shared" si="5"/>
        <v>0</v>
      </c>
      <c r="H16" s="48">
        <f t="shared" si="6"/>
        <v>-1</v>
      </c>
      <c r="I16" s="47">
        <f t="shared" si="7"/>
        <v>-7355.579999999999</v>
      </c>
      <c r="J16" s="39" t="str">
        <f t="shared" si="8"/>
        <v>Penurunan IU</v>
      </c>
      <c r="K16" s="72" t="s">
        <v>1160</v>
      </c>
      <c r="O16" s="3">
        <v>4</v>
      </c>
      <c r="P16" t="s">
        <v>18</v>
      </c>
      <c r="Q16" t="s">
        <v>19</v>
      </c>
      <c r="R16" t="s">
        <v>4</v>
      </c>
      <c r="S16" s="10">
        <v>0.5</v>
      </c>
      <c r="T16" t="s">
        <v>20</v>
      </c>
      <c r="U16" s="10">
        <v>151400</v>
      </c>
      <c r="V16" s="4">
        <v>75700</v>
      </c>
      <c r="X16" s="3" t="s">
        <v>613</v>
      </c>
      <c r="Y16" t="s">
        <v>614</v>
      </c>
      <c r="Z16" t="s">
        <v>41</v>
      </c>
      <c r="AA16" s="10">
        <v>1</v>
      </c>
      <c r="AB16" t="s">
        <v>267</v>
      </c>
      <c r="AC16" s="10">
        <v>149000</v>
      </c>
      <c r="AD16" s="4">
        <v>149000</v>
      </c>
      <c r="AF16" s="20">
        <v>4</v>
      </c>
      <c r="AG16" s="18" t="s">
        <v>72</v>
      </c>
      <c r="AH16" s="18" t="s">
        <v>73</v>
      </c>
      <c r="AI16" s="18" t="s">
        <v>67</v>
      </c>
      <c r="AJ16" s="21">
        <v>1</v>
      </c>
      <c r="AK16" s="18" t="s">
        <v>74</v>
      </c>
      <c r="AL16" s="21">
        <v>2853.2609000000002</v>
      </c>
      <c r="AM16" s="19">
        <v>2853.2609000000002</v>
      </c>
      <c r="AO16" s="20" t="s">
        <v>92</v>
      </c>
      <c r="AP16" s="18" t="s">
        <v>93</v>
      </c>
      <c r="AQ16" s="18" t="s">
        <v>67</v>
      </c>
      <c r="AR16" s="21">
        <v>35</v>
      </c>
      <c r="AS16" s="18" t="s">
        <v>94</v>
      </c>
      <c r="AT16" s="21">
        <v>11801.787899999999</v>
      </c>
      <c r="AU16" s="19">
        <v>413062.57650000002</v>
      </c>
      <c r="AW16" s="5" t="s">
        <v>613</v>
      </c>
      <c r="AX16" s="6" t="s">
        <v>614</v>
      </c>
      <c r="AY16" s="6" t="s">
        <v>41</v>
      </c>
      <c r="AZ16" s="10">
        <v>1</v>
      </c>
      <c r="BA16" s="6" t="s">
        <v>267</v>
      </c>
      <c r="BB16" s="10">
        <v>149000</v>
      </c>
      <c r="BC16" s="4">
        <v>149000</v>
      </c>
    </row>
    <row r="17" spans="1:55" x14ac:dyDescent="0.35">
      <c r="A17" s="38" t="str">
        <v>CETS0004</v>
      </c>
      <c r="B17" s="31" t="str">
        <f t="shared" si="0"/>
        <v>TOWEL ANJOLY HITAM-KECIL</v>
      </c>
      <c r="C17" s="31" t="str">
        <f t="shared" si="1"/>
        <v>CLEANING TOOLS AND SUPPLIES</v>
      </c>
      <c r="D17" s="39" t="str">
        <f t="shared" si="2"/>
        <v>pcs</v>
      </c>
      <c r="E17" s="40">
        <f t="shared" si="3"/>
        <v>6938.892499999999</v>
      </c>
      <c r="F17" s="48">
        <f t="shared" si="4"/>
        <v>4</v>
      </c>
      <c r="G17" s="48">
        <f t="shared" si="5"/>
        <v>2</v>
      </c>
      <c r="H17" s="48">
        <f t="shared" si="6"/>
        <v>-2</v>
      </c>
      <c r="I17" s="47">
        <f t="shared" si="7"/>
        <v>-13877.784999999998</v>
      </c>
      <c r="J17" s="39" t="str">
        <f t="shared" si="8"/>
        <v>Penurunan IU</v>
      </c>
      <c r="K17" s="72" t="s">
        <v>1160</v>
      </c>
      <c r="O17" s="3">
        <v>5</v>
      </c>
      <c r="P17" t="s">
        <v>23</v>
      </c>
      <c r="Q17" t="s">
        <v>24</v>
      </c>
      <c r="R17" t="s">
        <v>4</v>
      </c>
      <c r="S17" s="10">
        <v>12</v>
      </c>
      <c r="T17" t="s">
        <v>25</v>
      </c>
      <c r="U17" s="10">
        <v>17760</v>
      </c>
      <c r="V17" s="4">
        <v>213120</v>
      </c>
      <c r="X17" s="3" t="s">
        <v>310</v>
      </c>
      <c r="Y17" t="s">
        <v>311</v>
      </c>
      <c r="Z17" t="s">
        <v>41</v>
      </c>
      <c r="AA17" s="10">
        <v>1</v>
      </c>
      <c r="AB17" t="s">
        <v>20</v>
      </c>
      <c r="AC17" s="10">
        <v>7799</v>
      </c>
      <c r="AD17" s="4">
        <v>7799</v>
      </c>
      <c r="AF17" s="20">
        <v>5</v>
      </c>
      <c r="AG17" s="18" t="s">
        <v>77</v>
      </c>
      <c r="AH17" s="18" t="s">
        <v>78</v>
      </c>
      <c r="AI17" s="18" t="s">
        <v>67</v>
      </c>
      <c r="AJ17" s="21">
        <v>1</v>
      </c>
      <c r="AK17" s="18" t="s">
        <v>20</v>
      </c>
      <c r="AL17" s="21">
        <v>6500</v>
      </c>
      <c r="AM17" s="19">
        <v>6500</v>
      </c>
      <c r="AO17" s="20" t="s">
        <v>518</v>
      </c>
      <c r="AP17" s="18" t="s">
        <v>519</v>
      </c>
      <c r="AQ17" s="18" t="s">
        <v>67</v>
      </c>
      <c r="AR17" s="21">
        <v>1</v>
      </c>
      <c r="AS17" s="18" t="s">
        <v>98</v>
      </c>
      <c r="AT17" s="21">
        <v>18000</v>
      </c>
      <c r="AU17" s="19">
        <v>18000</v>
      </c>
      <c r="AW17" s="5" t="s">
        <v>310</v>
      </c>
      <c r="AX17" s="6" t="s">
        <v>311</v>
      </c>
      <c r="AY17" s="6" t="s">
        <v>41</v>
      </c>
      <c r="AZ17" s="10">
        <v>1</v>
      </c>
      <c r="BA17" s="6" t="s">
        <v>20</v>
      </c>
      <c r="BB17" s="10">
        <v>7799</v>
      </c>
      <c r="BC17" s="4">
        <v>7799</v>
      </c>
    </row>
    <row r="18" spans="1:55" x14ac:dyDescent="0.35">
      <c r="A18" s="38" t="str">
        <v>CETS0005</v>
      </c>
      <c r="B18" s="31" t="str">
        <f t="shared" si="0"/>
        <v>TOWEL ANJOLY HIJAU -KECIL</v>
      </c>
      <c r="C18" s="31" t="str">
        <f t="shared" si="1"/>
        <v>CLEANING TOOLS AND SUPPLIES</v>
      </c>
      <c r="D18" s="39" t="str">
        <f t="shared" si="2"/>
        <v>pcs</v>
      </c>
      <c r="E18" s="40">
        <f t="shared" si="3"/>
        <v>7077.79</v>
      </c>
      <c r="F18" s="48">
        <f t="shared" si="4"/>
        <v>7</v>
      </c>
      <c r="G18" s="48" t="str">
        <f t="shared" si="5"/>
        <v>0</v>
      </c>
      <c r="H18" s="48">
        <f t="shared" si="6"/>
        <v>-7</v>
      </c>
      <c r="I18" s="47">
        <f t="shared" si="7"/>
        <v>-49544.53</v>
      </c>
      <c r="J18" s="39" t="str">
        <f t="shared" si="8"/>
        <v>Penurunan IU</v>
      </c>
      <c r="K18" s="72" t="s">
        <v>1160</v>
      </c>
      <c r="O18" s="3">
        <v>6</v>
      </c>
      <c r="P18" t="s">
        <v>28</v>
      </c>
      <c r="Q18" t="s">
        <v>29</v>
      </c>
      <c r="R18" t="s">
        <v>4</v>
      </c>
      <c r="S18" s="10">
        <v>2.5</v>
      </c>
      <c r="T18" t="s">
        <v>30</v>
      </c>
      <c r="U18" s="10">
        <v>19745.640500000001</v>
      </c>
      <c r="V18" s="4">
        <v>49364.10125</v>
      </c>
      <c r="X18" s="3" t="s">
        <v>57</v>
      </c>
      <c r="Y18" t="s">
        <v>58</v>
      </c>
      <c r="Z18" t="s">
        <v>41</v>
      </c>
      <c r="AA18" s="10">
        <v>7</v>
      </c>
      <c r="AB18" t="s">
        <v>5</v>
      </c>
      <c r="AC18" s="10">
        <v>7699.9401153846156</v>
      </c>
      <c r="AD18" s="4">
        <v>53899.580807999999</v>
      </c>
      <c r="AF18" s="20">
        <v>6</v>
      </c>
      <c r="AG18" s="18" t="s">
        <v>79</v>
      </c>
      <c r="AH18" s="18" t="s">
        <v>80</v>
      </c>
      <c r="AI18" s="18" t="s">
        <v>67</v>
      </c>
      <c r="AJ18" s="21">
        <v>2</v>
      </c>
      <c r="AK18" s="18" t="s">
        <v>20</v>
      </c>
      <c r="AL18" s="21">
        <v>15000</v>
      </c>
      <c r="AM18" s="19">
        <v>30000</v>
      </c>
      <c r="AO18" s="20" t="s">
        <v>254</v>
      </c>
      <c r="AP18" s="18" t="s">
        <v>255</v>
      </c>
      <c r="AQ18" s="18" t="s">
        <v>67</v>
      </c>
      <c r="AR18" s="21">
        <v>1.2</v>
      </c>
      <c r="AS18" s="18" t="s">
        <v>5</v>
      </c>
      <c r="AT18" s="21">
        <v>34633.599999999999</v>
      </c>
      <c r="AU18" s="19">
        <v>41560.32</v>
      </c>
      <c r="AW18" s="5" t="s">
        <v>57</v>
      </c>
      <c r="AX18" s="6" t="s">
        <v>58</v>
      </c>
      <c r="AY18" s="6" t="s">
        <v>41</v>
      </c>
      <c r="AZ18" s="10">
        <v>7</v>
      </c>
      <c r="BA18" s="6" t="s">
        <v>5</v>
      </c>
      <c r="BB18" s="10">
        <v>7699.9401153846156</v>
      </c>
      <c r="BC18" s="4">
        <v>53899.580807999999</v>
      </c>
    </row>
    <row r="19" spans="1:55" x14ac:dyDescent="0.35">
      <c r="A19" s="38" t="str">
        <v>CETS0006</v>
      </c>
      <c r="B19" s="31" t="str">
        <f t="shared" si="0"/>
        <v>SPONGE BUSA</v>
      </c>
      <c r="C19" s="31" t="str">
        <f t="shared" si="1"/>
        <v>CLEANING TOOLS AND SUPPLIES</v>
      </c>
      <c r="D19" s="39" t="str">
        <f t="shared" si="2"/>
        <v>pcs</v>
      </c>
      <c r="E19" s="40">
        <f t="shared" si="3"/>
        <v>3451.5345000000002</v>
      </c>
      <c r="F19" s="48">
        <f t="shared" si="4"/>
        <v>15</v>
      </c>
      <c r="G19" s="48">
        <f t="shared" si="5"/>
        <v>17</v>
      </c>
      <c r="H19" s="48">
        <f t="shared" si="6"/>
        <v>2</v>
      </c>
      <c r="I19" s="47">
        <f t="shared" si="7"/>
        <v>6903.0690000000004</v>
      </c>
      <c r="J19" s="39" t="str">
        <f t="shared" si="8"/>
        <v>Kenaikan IU</v>
      </c>
      <c r="K19" s="72" t="s">
        <v>1161</v>
      </c>
      <c r="O19" s="3">
        <v>7</v>
      </c>
      <c r="P19" t="s">
        <v>33</v>
      </c>
      <c r="Q19" t="s">
        <v>34</v>
      </c>
      <c r="R19" t="s">
        <v>4</v>
      </c>
      <c r="S19" s="10">
        <v>20.43</v>
      </c>
      <c r="T19" t="s">
        <v>30</v>
      </c>
      <c r="U19" s="10">
        <v>13000</v>
      </c>
      <c r="V19" s="4">
        <v>265590</v>
      </c>
      <c r="X19" s="3" t="s">
        <v>59</v>
      </c>
      <c r="Y19" t="s">
        <v>60</v>
      </c>
      <c r="Z19" t="s">
        <v>41</v>
      </c>
      <c r="AA19" s="10">
        <v>9</v>
      </c>
      <c r="AB19" t="s">
        <v>5</v>
      </c>
      <c r="AC19" s="10">
        <v>7700</v>
      </c>
      <c r="AD19" s="4">
        <v>69300</v>
      </c>
      <c r="AF19" s="20">
        <v>7</v>
      </c>
      <c r="AG19" s="18" t="s">
        <v>236</v>
      </c>
      <c r="AH19" s="18" t="s">
        <v>237</v>
      </c>
      <c r="AI19" s="18" t="s">
        <v>67</v>
      </c>
      <c r="AJ19" s="21">
        <v>1</v>
      </c>
      <c r="AK19" s="18" t="s">
        <v>20</v>
      </c>
      <c r="AL19" s="21">
        <v>7442.4767000000002</v>
      </c>
      <c r="AM19" s="19">
        <v>7442.4767000000002</v>
      </c>
      <c r="AO19" s="20" t="s">
        <v>628</v>
      </c>
      <c r="AP19" s="18" t="s">
        <v>629</v>
      </c>
      <c r="AQ19" s="18" t="s">
        <v>67</v>
      </c>
      <c r="AR19" s="21">
        <v>0.1</v>
      </c>
      <c r="AS19" s="18" t="s">
        <v>20</v>
      </c>
      <c r="AT19" s="21">
        <v>27637.931</v>
      </c>
      <c r="AU19" s="19">
        <v>2763.7930999999999</v>
      </c>
      <c r="AW19" s="5" t="s">
        <v>59</v>
      </c>
      <c r="AX19" s="6" t="s">
        <v>60</v>
      </c>
      <c r="AY19" s="6" t="s">
        <v>41</v>
      </c>
      <c r="AZ19" s="10">
        <v>9</v>
      </c>
      <c r="BA19" s="6" t="s">
        <v>5</v>
      </c>
      <c r="BB19" s="10">
        <v>7700</v>
      </c>
      <c r="BC19" s="4">
        <v>69300</v>
      </c>
    </row>
    <row r="20" spans="1:55" x14ac:dyDescent="0.35">
      <c r="A20" s="38" t="str">
        <v>CETS0017</v>
      </c>
      <c r="B20" s="31" t="str">
        <f t="shared" si="0"/>
        <v>DEERMA WATER SPRAY MOP 360/PEL SEMPROT LANTAI</v>
      </c>
      <c r="C20" s="31" t="str">
        <f t="shared" si="1"/>
        <v>CLEANING TOOLS AND SUPPLIES</v>
      </c>
      <c r="D20" s="39" t="str">
        <f t="shared" si="2"/>
        <v>unit</v>
      </c>
      <c r="E20" s="40">
        <f t="shared" si="3"/>
        <v>149000</v>
      </c>
      <c r="F20" s="48">
        <f t="shared" si="4"/>
        <v>1</v>
      </c>
      <c r="G20" s="48" t="str">
        <f t="shared" si="5"/>
        <v>0</v>
      </c>
      <c r="H20" s="48">
        <f t="shared" si="6"/>
        <v>-1</v>
      </c>
      <c r="I20" s="47">
        <f t="shared" si="7"/>
        <v>-149000</v>
      </c>
      <c r="J20" s="39" t="str">
        <f t="shared" si="8"/>
        <v>Penurunan IU</v>
      </c>
      <c r="K20" s="72" t="s">
        <v>1162</v>
      </c>
      <c r="O20" s="3">
        <v>8</v>
      </c>
      <c r="P20" t="s">
        <v>39</v>
      </c>
      <c r="Q20" t="s">
        <v>40</v>
      </c>
      <c r="R20" t="s">
        <v>41</v>
      </c>
      <c r="S20" s="10">
        <v>6</v>
      </c>
      <c r="T20" t="s">
        <v>20</v>
      </c>
      <c r="U20" s="10">
        <v>6800</v>
      </c>
      <c r="V20" s="4">
        <v>40800</v>
      </c>
      <c r="X20" s="3" t="s">
        <v>61</v>
      </c>
      <c r="Y20" t="s">
        <v>62</v>
      </c>
      <c r="Z20" t="s">
        <v>41</v>
      </c>
      <c r="AA20" s="10">
        <v>3</v>
      </c>
      <c r="AB20" t="s">
        <v>5</v>
      </c>
      <c r="AC20" s="10">
        <v>17416.5759</v>
      </c>
      <c r="AD20" s="4">
        <v>52249.727700000003</v>
      </c>
      <c r="AF20" s="20">
        <v>8</v>
      </c>
      <c r="AG20" s="18" t="s">
        <v>357</v>
      </c>
      <c r="AH20" s="18" t="s">
        <v>358</v>
      </c>
      <c r="AI20" s="18" t="s">
        <v>67</v>
      </c>
      <c r="AJ20" s="21">
        <v>0.4</v>
      </c>
      <c r="AK20" s="18" t="s">
        <v>5</v>
      </c>
      <c r="AL20" s="21">
        <v>32500</v>
      </c>
      <c r="AM20" s="19">
        <v>13000</v>
      </c>
      <c r="AO20" s="20" t="s">
        <v>107</v>
      </c>
      <c r="AP20" s="18" t="s">
        <v>108</v>
      </c>
      <c r="AQ20" s="18" t="s">
        <v>67</v>
      </c>
      <c r="AR20" s="21">
        <v>0.5</v>
      </c>
      <c r="AS20" s="18" t="s">
        <v>5</v>
      </c>
      <c r="AT20" s="21">
        <v>16250</v>
      </c>
      <c r="AU20" s="19">
        <v>8125</v>
      </c>
      <c r="AW20" s="5" t="s">
        <v>61</v>
      </c>
      <c r="AX20" s="6" t="s">
        <v>62</v>
      </c>
      <c r="AY20" s="6" t="s">
        <v>41</v>
      </c>
      <c r="AZ20" s="10">
        <v>3</v>
      </c>
      <c r="BA20" s="6" t="s">
        <v>5</v>
      </c>
      <c r="BB20" s="10">
        <v>17416.5759</v>
      </c>
      <c r="BC20" s="4">
        <v>52249.727700000003</v>
      </c>
    </row>
    <row r="21" spans="1:55" x14ac:dyDescent="0.35">
      <c r="A21" s="38" t="str">
        <v>CETS0021</v>
      </c>
      <c r="B21" s="31" t="str">
        <f t="shared" si="0"/>
        <v>LAP MICRO 40 X 40 320 GSM BIRU MUDA</v>
      </c>
      <c r="C21" s="31" t="str">
        <f t="shared" si="1"/>
        <v>CLEANING TOOLS AND SUPPLIES</v>
      </c>
      <c r="D21" s="39" t="str">
        <f t="shared" si="2"/>
        <v>pcs</v>
      </c>
      <c r="E21" s="40">
        <f t="shared" si="3"/>
        <v>7799</v>
      </c>
      <c r="F21" s="48">
        <f t="shared" si="4"/>
        <v>1</v>
      </c>
      <c r="G21" s="48" t="str">
        <f t="shared" si="5"/>
        <v>0</v>
      </c>
      <c r="H21" s="48">
        <f t="shared" si="6"/>
        <v>-1</v>
      </c>
      <c r="I21" s="47">
        <f t="shared" si="7"/>
        <v>-7799</v>
      </c>
      <c r="J21" s="39" t="str">
        <f t="shared" si="8"/>
        <v>Penurunan IU</v>
      </c>
      <c r="K21" s="72" t="s">
        <v>1160</v>
      </c>
      <c r="O21" s="3">
        <v>9</v>
      </c>
      <c r="P21" t="s">
        <v>304</v>
      </c>
      <c r="Q21" t="s">
        <v>305</v>
      </c>
      <c r="R21" t="s">
        <v>41</v>
      </c>
      <c r="S21" s="10">
        <v>5</v>
      </c>
      <c r="T21" t="s">
        <v>20</v>
      </c>
      <c r="U21" s="10">
        <v>6800</v>
      </c>
      <c r="V21" s="4">
        <v>34000</v>
      </c>
      <c r="X21" s="3" t="s">
        <v>312</v>
      </c>
      <c r="Y21" t="s">
        <v>313</v>
      </c>
      <c r="Z21" t="s">
        <v>41</v>
      </c>
      <c r="AA21" s="10">
        <v>1</v>
      </c>
      <c r="AB21" t="s">
        <v>20</v>
      </c>
      <c r="AC21" s="10">
        <v>77235</v>
      </c>
      <c r="AD21" s="4">
        <v>77235</v>
      </c>
      <c r="AF21" s="20">
        <v>9</v>
      </c>
      <c r="AG21" s="18" t="s">
        <v>624</v>
      </c>
      <c r="AH21" s="18" t="s">
        <v>625</v>
      </c>
      <c r="AI21" s="18" t="s">
        <v>67</v>
      </c>
      <c r="AJ21" s="21">
        <v>0.2</v>
      </c>
      <c r="AK21" s="18" t="s">
        <v>5</v>
      </c>
      <c r="AL21" s="21">
        <v>7545.4545000000007</v>
      </c>
      <c r="AM21" s="19">
        <v>1509.0908999999999</v>
      </c>
      <c r="AO21" s="20" t="s">
        <v>110</v>
      </c>
      <c r="AP21" s="18" t="s">
        <v>111</v>
      </c>
      <c r="AQ21" s="18" t="s">
        <v>67</v>
      </c>
      <c r="AR21" s="21">
        <v>0.5</v>
      </c>
      <c r="AS21" s="18" t="s">
        <v>94</v>
      </c>
      <c r="AT21" s="21">
        <v>11632.5</v>
      </c>
      <c r="AU21" s="19">
        <v>5816.25</v>
      </c>
      <c r="AW21" s="5" t="s">
        <v>312</v>
      </c>
      <c r="AX21" s="6" t="s">
        <v>313</v>
      </c>
      <c r="AY21" s="6" t="s">
        <v>41</v>
      </c>
      <c r="AZ21" s="10">
        <v>1</v>
      </c>
      <c r="BA21" s="6" t="s">
        <v>20</v>
      </c>
      <c r="BB21" s="10">
        <v>77235</v>
      </c>
      <c r="BC21" s="4">
        <v>77235</v>
      </c>
    </row>
    <row r="22" spans="1:55" x14ac:dyDescent="0.35">
      <c r="A22" s="38" t="str">
        <v>CETS0025</v>
      </c>
      <c r="B22" s="31" t="str">
        <f t="shared" si="0"/>
        <v>PLASTIK SAMPAH 60 x 100 (10 LEMBAR)</v>
      </c>
      <c r="C22" s="31" t="str">
        <f t="shared" si="1"/>
        <v>CLEANING TOOLS AND SUPPLIES</v>
      </c>
      <c r="D22" s="39" t="str">
        <f t="shared" si="2"/>
        <v>pack</v>
      </c>
      <c r="E22" s="40">
        <f t="shared" si="3"/>
        <v>7699.9401153846156</v>
      </c>
      <c r="F22" s="48">
        <f t="shared" si="4"/>
        <v>7</v>
      </c>
      <c r="G22" s="48">
        <f t="shared" si="5"/>
        <v>8</v>
      </c>
      <c r="H22" s="48">
        <f t="shared" si="6"/>
        <v>1</v>
      </c>
      <c r="I22" s="47">
        <f t="shared" si="7"/>
        <v>7699.9401153846156</v>
      </c>
      <c r="J22" s="39" t="str">
        <f t="shared" si="8"/>
        <v>Kenaikan IU</v>
      </c>
      <c r="K22" s="72" t="s">
        <v>1163</v>
      </c>
      <c r="O22" s="3">
        <v>10</v>
      </c>
      <c r="P22" t="s">
        <v>50</v>
      </c>
      <c r="Q22" t="s">
        <v>51</v>
      </c>
      <c r="R22" t="s">
        <v>41</v>
      </c>
      <c r="S22" s="10">
        <v>24</v>
      </c>
      <c r="T22" t="s">
        <v>52</v>
      </c>
      <c r="U22" s="10">
        <v>20500</v>
      </c>
      <c r="V22" s="4">
        <v>492000</v>
      </c>
      <c r="X22" s="3" t="s">
        <v>63</v>
      </c>
      <c r="Y22" t="s">
        <v>64</v>
      </c>
      <c r="Z22" t="s">
        <v>41</v>
      </c>
      <c r="AA22">
        <v>1</v>
      </c>
      <c r="AB22" t="s">
        <v>20</v>
      </c>
      <c r="AC22">
        <v>19956.25</v>
      </c>
      <c r="AD22" s="4">
        <v>19956.25</v>
      </c>
      <c r="AF22" s="20">
        <v>10</v>
      </c>
      <c r="AG22" s="18" t="s">
        <v>83</v>
      </c>
      <c r="AH22" s="18" t="s">
        <v>84</v>
      </c>
      <c r="AI22" s="18" t="s">
        <v>67</v>
      </c>
      <c r="AJ22" s="21">
        <v>0.8</v>
      </c>
      <c r="AK22" s="18" t="s">
        <v>20</v>
      </c>
      <c r="AL22" s="21">
        <v>11803.571400000001</v>
      </c>
      <c r="AM22" s="19">
        <v>9442.8571200000006</v>
      </c>
      <c r="AO22" s="20" t="s">
        <v>630</v>
      </c>
      <c r="AP22" s="18" t="s">
        <v>631</v>
      </c>
      <c r="AQ22" s="18" t="s">
        <v>67</v>
      </c>
      <c r="AR22" s="21">
        <v>3</v>
      </c>
      <c r="AS22" s="18" t="s">
        <v>20</v>
      </c>
      <c r="AT22" s="21">
        <v>2060.5555555555561</v>
      </c>
      <c r="AU22" s="19">
        <v>6181.6666670000004</v>
      </c>
      <c r="AW22" s="5" t="s">
        <v>63</v>
      </c>
      <c r="AX22" s="6" t="s">
        <v>64</v>
      </c>
      <c r="AY22" s="6" t="s">
        <v>41</v>
      </c>
      <c r="AZ22" s="6">
        <v>1</v>
      </c>
      <c r="BA22" s="6" t="s">
        <v>20</v>
      </c>
      <c r="BB22" s="6">
        <v>19956.25</v>
      </c>
      <c r="BC22" s="4">
        <v>19956.25</v>
      </c>
    </row>
    <row r="23" spans="1:55" x14ac:dyDescent="0.35">
      <c r="A23" s="38" t="str">
        <v>CETS0026</v>
      </c>
      <c r="B23" s="31" t="str">
        <f t="shared" si="0"/>
        <v>PLASTIK SAMPAH 90 x 120 (5 LEMBAR)</v>
      </c>
      <c r="C23" s="31" t="str">
        <f t="shared" si="1"/>
        <v>CLEANING TOOLS AND SUPPLIES</v>
      </c>
      <c r="D23" s="39" t="str">
        <f t="shared" si="2"/>
        <v>pack</v>
      </c>
      <c r="E23" s="40">
        <f t="shared" si="3"/>
        <v>7700</v>
      </c>
      <c r="F23" s="48">
        <f t="shared" si="4"/>
        <v>9</v>
      </c>
      <c r="G23" s="48">
        <f t="shared" si="5"/>
        <v>11</v>
      </c>
      <c r="H23" s="48">
        <f t="shared" si="6"/>
        <v>2</v>
      </c>
      <c r="I23" s="47">
        <f t="shared" si="7"/>
        <v>15400</v>
      </c>
      <c r="J23" s="39" t="str">
        <f t="shared" si="8"/>
        <v>Kenaikan IU</v>
      </c>
      <c r="K23" s="72" t="s">
        <v>1163</v>
      </c>
      <c r="O23" s="3">
        <v>11</v>
      </c>
      <c r="P23" t="s">
        <v>405</v>
      </c>
      <c r="Q23" t="s">
        <v>406</v>
      </c>
      <c r="R23" t="s">
        <v>41</v>
      </c>
      <c r="S23" s="10">
        <v>1</v>
      </c>
      <c r="T23" t="s">
        <v>20</v>
      </c>
      <c r="U23" s="10">
        <v>7355.579999999999</v>
      </c>
      <c r="V23" s="4">
        <v>7355.58</v>
      </c>
      <c r="X23" s="3" t="s">
        <v>115</v>
      </c>
      <c r="Y23" t="s">
        <v>116</v>
      </c>
      <c r="Z23" t="s">
        <v>117</v>
      </c>
      <c r="AA23" s="10">
        <v>986</v>
      </c>
      <c r="AB23" t="s">
        <v>52</v>
      </c>
      <c r="AC23" s="10">
        <v>628.51250000000005</v>
      </c>
      <c r="AD23" s="4">
        <v>619713.32499999995</v>
      </c>
      <c r="AF23" s="20">
        <v>11</v>
      </c>
      <c r="AG23" s="18" t="s">
        <v>242</v>
      </c>
      <c r="AH23" s="18" t="s">
        <v>243</v>
      </c>
      <c r="AI23" s="18" t="s">
        <v>67</v>
      </c>
      <c r="AJ23" s="21">
        <v>0.2</v>
      </c>
      <c r="AK23" s="18" t="s">
        <v>87</v>
      </c>
      <c r="AL23" s="21">
        <v>14500</v>
      </c>
      <c r="AM23" s="19">
        <v>2900</v>
      </c>
      <c r="AO23" s="20" t="s">
        <v>364</v>
      </c>
      <c r="AP23" s="18" t="s">
        <v>365</v>
      </c>
      <c r="AQ23" s="18" t="s">
        <v>67</v>
      </c>
      <c r="AR23" s="21">
        <v>0.8</v>
      </c>
      <c r="AS23" s="18" t="s">
        <v>52</v>
      </c>
      <c r="AT23" s="21">
        <v>18208.2749</v>
      </c>
      <c r="AU23" s="19">
        <v>14566.619919999999</v>
      </c>
      <c r="AW23" s="5" t="s">
        <v>115</v>
      </c>
      <c r="AX23" s="6" t="s">
        <v>116</v>
      </c>
      <c r="AY23" s="6" t="s">
        <v>117</v>
      </c>
      <c r="AZ23" s="10">
        <v>986</v>
      </c>
      <c r="BA23" s="6" t="s">
        <v>52</v>
      </c>
      <c r="BB23" s="10">
        <v>628.51250000000005</v>
      </c>
      <c r="BC23" s="4">
        <v>619713.32499999995</v>
      </c>
    </row>
    <row r="24" spans="1:55" x14ac:dyDescent="0.35">
      <c r="A24" s="38" t="str">
        <v>CETS0027</v>
      </c>
      <c r="B24" s="31" t="str">
        <f t="shared" si="0"/>
        <v>PLASTIK KRESEK HITAM 35 (Utk Tong Sampah)</v>
      </c>
      <c r="C24" s="31" t="str">
        <f t="shared" si="1"/>
        <v>CLEANING TOOLS AND SUPPLIES</v>
      </c>
      <c r="D24" s="39" t="str">
        <f t="shared" si="2"/>
        <v>pack</v>
      </c>
      <c r="E24" s="40">
        <f t="shared" si="3"/>
        <v>17416.5759</v>
      </c>
      <c r="F24" s="48">
        <f t="shared" si="4"/>
        <v>3</v>
      </c>
      <c r="G24" s="48">
        <f t="shared" si="5"/>
        <v>2</v>
      </c>
      <c r="H24" s="48">
        <f t="shared" si="6"/>
        <v>-1</v>
      </c>
      <c r="I24" s="47">
        <f t="shared" si="7"/>
        <v>-17416.5759</v>
      </c>
      <c r="J24" s="39" t="str">
        <f t="shared" si="8"/>
        <v>Penurunan IU</v>
      </c>
      <c r="K24" s="72" t="s">
        <v>1164</v>
      </c>
      <c r="O24" s="3">
        <v>12</v>
      </c>
      <c r="P24" t="s">
        <v>306</v>
      </c>
      <c r="Q24" t="s">
        <v>307</v>
      </c>
      <c r="R24" t="s">
        <v>41</v>
      </c>
      <c r="S24" s="10">
        <v>4</v>
      </c>
      <c r="T24" t="s">
        <v>20</v>
      </c>
      <c r="U24" s="10">
        <v>6938.892499999999</v>
      </c>
      <c r="V24" s="4">
        <v>27755.57</v>
      </c>
      <c r="X24" s="3" t="s">
        <v>615</v>
      </c>
      <c r="Y24" t="s">
        <v>616</v>
      </c>
      <c r="Z24" t="s">
        <v>117</v>
      </c>
      <c r="AA24" s="10">
        <v>1</v>
      </c>
      <c r="AB24" t="s">
        <v>20</v>
      </c>
      <c r="AC24" s="10">
        <v>3929.5</v>
      </c>
      <c r="AD24" s="4">
        <v>3929.5</v>
      </c>
      <c r="AF24" s="20">
        <v>12</v>
      </c>
      <c r="AG24" s="18" t="s">
        <v>246</v>
      </c>
      <c r="AH24" s="18" t="s">
        <v>247</v>
      </c>
      <c r="AI24" s="18" t="s">
        <v>67</v>
      </c>
      <c r="AJ24" s="21">
        <v>3</v>
      </c>
      <c r="AK24" s="18" t="s">
        <v>5</v>
      </c>
      <c r="AL24" s="21">
        <v>2857.8571000000002</v>
      </c>
      <c r="AM24" s="19">
        <v>8573.5712999999996</v>
      </c>
      <c r="AO24" s="20" t="s">
        <v>526</v>
      </c>
      <c r="AP24" s="18" t="s">
        <v>527</v>
      </c>
      <c r="AQ24" s="18" t="s">
        <v>67</v>
      </c>
      <c r="AR24" s="21">
        <v>2</v>
      </c>
      <c r="AS24" s="18" t="s">
        <v>52</v>
      </c>
      <c r="AT24" s="21">
        <v>9986.2440000000006</v>
      </c>
      <c r="AU24" s="19">
        <v>19972.488000000001</v>
      </c>
      <c r="AW24" s="5" t="s">
        <v>615</v>
      </c>
      <c r="AX24" s="6" t="s">
        <v>616</v>
      </c>
      <c r="AY24" s="6" t="s">
        <v>117</v>
      </c>
      <c r="AZ24" s="10">
        <v>1</v>
      </c>
      <c r="BA24" s="6" t="s">
        <v>20</v>
      </c>
      <c r="BB24" s="10">
        <v>3929.5</v>
      </c>
      <c r="BC24" s="4">
        <v>3929.5</v>
      </c>
    </row>
    <row r="25" spans="1:55" x14ac:dyDescent="0.35">
      <c r="A25" s="38" t="str">
        <v>CETS0037</v>
      </c>
      <c r="B25" s="31" t="str">
        <f t="shared" si="0"/>
        <v>PEL SUMBU NAG 702</v>
      </c>
      <c r="C25" s="31" t="str">
        <f t="shared" si="1"/>
        <v>CLEANING TOOLS AND SUPPLIES</v>
      </c>
      <c r="D25" s="39" t="str">
        <f t="shared" si="2"/>
        <v>pcs</v>
      </c>
      <c r="E25" s="40">
        <f t="shared" si="3"/>
        <v>77235</v>
      </c>
      <c r="F25" s="48">
        <f t="shared" si="4"/>
        <v>1</v>
      </c>
      <c r="G25" s="48" t="str">
        <f t="shared" si="5"/>
        <v>0</v>
      </c>
      <c r="H25" s="48">
        <f t="shared" si="6"/>
        <v>-1</v>
      </c>
      <c r="I25" s="47">
        <f t="shared" si="7"/>
        <v>-77235</v>
      </c>
      <c r="J25" s="39" t="str">
        <f t="shared" si="8"/>
        <v>Penurunan IU</v>
      </c>
      <c r="K25" s="72" t="s">
        <v>1162</v>
      </c>
      <c r="O25" s="3">
        <v>13</v>
      </c>
      <c r="P25" t="s">
        <v>308</v>
      </c>
      <c r="Q25" t="s">
        <v>309</v>
      </c>
      <c r="R25" t="s">
        <v>41</v>
      </c>
      <c r="S25" s="10">
        <v>7</v>
      </c>
      <c r="T25" t="s">
        <v>20</v>
      </c>
      <c r="U25" s="10">
        <v>7077.79</v>
      </c>
      <c r="V25" s="4">
        <v>49544.53</v>
      </c>
      <c r="X25" s="3" t="s">
        <v>318</v>
      </c>
      <c r="Y25" t="s">
        <v>319</v>
      </c>
      <c r="Z25" t="s">
        <v>117</v>
      </c>
      <c r="AA25" s="10">
        <v>50</v>
      </c>
      <c r="AB25" t="s">
        <v>20</v>
      </c>
      <c r="AC25" s="10">
        <v>800</v>
      </c>
      <c r="AD25" s="4">
        <v>40000</v>
      </c>
      <c r="AF25" s="20">
        <v>13</v>
      </c>
      <c r="AG25" s="18" t="s">
        <v>327</v>
      </c>
      <c r="AH25" s="18" t="s">
        <v>328</v>
      </c>
      <c r="AI25" s="18" t="s">
        <v>67</v>
      </c>
      <c r="AJ25" s="21">
        <v>1</v>
      </c>
      <c r="AK25" s="18" t="s">
        <v>5</v>
      </c>
      <c r="AL25" s="21">
        <v>5783.3333000000011</v>
      </c>
      <c r="AM25" s="19">
        <v>5783.3333000000002</v>
      </c>
      <c r="AO25" s="20" t="s">
        <v>587</v>
      </c>
      <c r="AP25" s="18" t="s">
        <v>588</v>
      </c>
      <c r="AQ25" s="18" t="s">
        <v>67</v>
      </c>
      <c r="AR25" s="18">
        <v>2</v>
      </c>
      <c r="AS25" s="18" t="s">
        <v>5</v>
      </c>
      <c r="AT25" s="18">
        <v>6250</v>
      </c>
      <c r="AU25" s="19">
        <v>12500</v>
      </c>
      <c r="AW25" s="5" t="s">
        <v>318</v>
      </c>
      <c r="AX25" s="6" t="s">
        <v>319</v>
      </c>
      <c r="AY25" s="6" t="s">
        <v>117</v>
      </c>
      <c r="AZ25" s="10">
        <v>50</v>
      </c>
      <c r="BA25" s="6" t="s">
        <v>20</v>
      </c>
      <c r="BB25" s="10">
        <v>800</v>
      </c>
      <c r="BC25" s="4">
        <v>40000</v>
      </c>
    </row>
    <row r="26" spans="1:55" x14ac:dyDescent="0.35">
      <c r="A26" s="38" t="str">
        <v>CETS0043</v>
      </c>
      <c r="B26" s="31" t="str">
        <f t="shared" si="0"/>
        <v>BOTOL PUMP HANDSOAP DAN HAND SANITIZER</v>
      </c>
      <c r="C26" s="31" t="str">
        <f t="shared" si="1"/>
        <v>CLEANING TOOLS AND SUPPLIES</v>
      </c>
      <c r="D26" s="39" t="str">
        <f t="shared" si="2"/>
        <v>pcs</v>
      </c>
      <c r="E26" s="40">
        <f t="shared" si="3"/>
        <v>19956.25</v>
      </c>
      <c r="F26" s="48">
        <f t="shared" si="4"/>
        <v>1</v>
      </c>
      <c r="G26" s="48" t="str">
        <f t="shared" si="5"/>
        <v>0</v>
      </c>
      <c r="H26" s="48">
        <f t="shared" si="6"/>
        <v>-1</v>
      </c>
      <c r="I26" s="47">
        <f t="shared" si="7"/>
        <v>-19956.25</v>
      </c>
      <c r="J26" s="39" t="str">
        <f t="shared" si="8"/>
        <v>Penurunan IU</v>
      </c>
      <c r="K26" s="72" t="s">
        <v>1162</v>
      </c>
      <c r="O26" s="3">
        <v>14</v>
      </c>
      <c r="P26" t="s">
        <v>53</v>
      </c>
      <c r="Q26" t="s">
        <v>54</v>
      </c>
      <c r="R26" t="s">
        <v>41</v>
      </c>
      <c r="S26" s="10">
        <v>15</v>
      </c>
      <c r="T26" t="s">
        <v>20</v>
      </c>
      <c r="U26" s="10">
        <v>3451.5345000000002</v>
      </c>
      <c r="V26" s="4">
        <v>51773.017500000002</v>
      </c>
      <c r="X26" s="3" t="s">
        <v>617</v>
      </c>
      <c r="Y26" t="s">
        <v>618</v>
      </c>
      <c r="Z26" t="s">
        <v>120</v>
      </c>
      <c r="AA26" s="10">
        <v>1</v>
      </c>
      <c r="AB26" t="s">
        <v>20</v>
      </c>
      <c r="AC26" s="10">
        <v>200000</v>
      </c>
      <c r="AD26" s="4">
        <v>200000</v>
      </c>
      <c r="AF26" s="20">
        <v>14</v>
      </c>
      <c r="AG26" s="18" t="s">
        <v>90</v>
      </c>
      <c r="AH26" s="18" t="s">
        <v>91</v>
      </c>
      <c r="AI26" s="18" t="s">
        <v>67</v>
      </c>
      <c r="AJ26" s="21">
        <v>1</v>
      </c>
      <c r="AK26" s="18" t="s">
        <v>5</v>
      </c>
      <c r="AL26" s="21">
        <v>5900</v>
      </c>
      <c r="AM26" s="19">
        <v>5900</v>
      </c>
      <c r="AO26" s="20" t="s">
        <v>876</v>
      </c>
      <c r="AP26" s="18" t="s">
        <v>877</v>
      </c>
      <c r="AQ26" s="18" t="s">
        <v>165</v>
      </c>
      <c r="AR26" s="21">
        <v>2</v>
      </c>
      <c r="AS26" s="18" t="s">
        <v>20</v>
      </c>
      <c r="AT26" s="21">
        <v>29023.340000000004</v>
      </c>
      <c r="AU26" s="19">
        <v>58046.68</v>
      </c>
      <c r="AW26" s="5" t="s">
        <v>617</v>
      </c>
      <c r="AX26" s="6" t="s">
        <v>618</v>
      </c>
      <c r="AY26" s="6" t="s">
        <v>120</v>
      </c>
      <c r="AZ26" s="10">
        <v>1</v>
      </c>
      <c r="BA26" s="6" t="s">
        <v>20</v>
      </c>
      <c r="BB26" s="10">
        <v>200000</v>
      </c>
      <c r="BC26" s="4">
        <v>200000</v>
      </c>
    </row>
    <row r="27" spans="1:55" x14ac:dyDescent="0.35">
      <c r="A27" s="38" t="str">
        <v>MKT00032</v>
      </c>
      <c r="B27" s="31" t="str">
        <f t="shared" si="0"/>
        <v>FLYER A5</v>
      </c>
      <c r="C27" s="31" t="str">
        <f t="shared" si="1"/>
        <v>MARKETING</v>
      </c>
      <c r="D27" s="39" t="str">
        <f t="shared" si="2"/>
        <v>lembar</v>
      </c>
      <c r="E27" s="40">
        <f t="shared" si="3"/>
        <v>628.51250000000005</v>
      </c>
      <c r="F27" s="48">
        <f t="shared" si="4"/>
        <v>986</v>
      </c>
      <c r="G27" s="48">
        <f t="shared" si="5"/>
        <v>929</v>
      </c>
      <c r="H27" s="48">
        <f t="shared" si="6"/>
        <v>-57</v>
      </c>
      <c r="I27" s="47">
        <f t="shared" si="7"/>
        <v>-35825.212500000001</v>
      </c>
      <c r="J27" s="39" t="str">
        <f t="shared" si="8"/>
        <v>Penurunan IU</v>
      </c>
      <c r="K27" s="72" t="s">
        <v>1165</v>
      </c>
      <c r="O27" s="3">
        <v>15</v>
      </c>
      <c r="P27" t="s">
        <v>613</v>
      </c>
      <c r="Q27" t="s">
        <v>614</v>
      </c>
      <c r="R27" t="s">
        <v>41</v>
      </c>
      <c r="S27" s="10">
        <v>1</v>
      </c>
      <c r="T27" t="s">
        <v>267</v>
      </c>
      <c r="U27" s="10">
        <v>149000</v>
      </c>
      <c r="V27" s="4">
        <v>149000</v>
      </c>
      <c r="X27" s="3" t="s">
        <v>576</v>
      </c>
      <c r="Y27" t="s">
        <v>577</v>
      </c>
      <c r="Z27" t="s">
        <v>120</v>
      </c>
      <c r="AA27" s="10">
        <v>1</v>
      </c>
      <c r="AB27" t="s">
        <v>20</v>
      </c>
      <c r="AC27" s="10">
        <v>85000</v>
      </c>
      <c r="AD27" s="4">
        <v>85000</v>
      </c>
      <c r="AF27" s="20">
        <v>15</v>
      </c>
      <c r="AG27" s="18" t="s">
        <v>92</v>
      </c>
      <c r="AH27" s="18" t="s">
        <v>93</v>
      </c>
      <c r="AI27" s="18" t="s">
        <v>67</v>
      </c>
      <c r="AJ27" s="21">
        <v>35</v>
      </c>
      <c r="AK27" s="18" t="s">
        <v>94</v>
      </c>
      <c r="AL27" s="21">
        <v>11801.787899999999</v>
      </c>
      <c r="AM27" s="19">
        <v>413062.57650000002</v>
      </c>
      <c r="AO27" s="20" t="s">
        <v>427</v>
      </c>
      <c r="AP27" s="18" t="s">
        <v>428</v>
      </c>
      <c r="AQ27" s="18" t="s">
        <v>165</v>
      </c>
      <c r="AR27" s="21">
        <v>1</v>
      </c>
      <c r="AS27" s="18" t="s">
        <v>20</v>
      </c>
      <c r="AT27" s="21">
        <v>32500</v>
      </c>
      <c r="AU27" s="19">
        <v>32500</v>
      </c>
      <c r="AW27" s="5" t="s">
        <v>576</v>
      </c>
      <c r="AX27" s="6" t="s">
        <v>577</v>
      </c>
      <c r="AY27" s="6" t="s">
        <v>120</v>
      </c>
      <c r="AZ27" s="10">
        <v>1</v>
      </c>
      <c r="BA27" s="6" t="s">
        <v>20</v>
      </c>
      <c r="BB27" s="10">
        <v>85000</v>
      </c>
      <c r="BC27" s="4">
        <v>85000</v>
      </c>
    </row>
    <row r="28" spans="1:55" x14ac:dyDescent="0.35">
      <c r="A28" s="38" t="str">
        <v>MKT00039</v>
      </c>
      <c r="B28" s="31" t="str">
        <f t="shared" si="0"/>
        <v>TULISAN CARDLESS</v>
      </c>
      <c r="C28" s="31" t="str">
        <f t="shared" si="1"/>
        <v>MARKETING</v>
      </c>
      <c r="D28" s="39" t="str">
        <f t="shared" si="2"/>
        <v>pcs</v>
      </c>
      <c r="E28" s="40">
        <f t="shared" si="3"/>
        <v>3929.5</v>
      </c>
      <c r="F28" s="48">
        <f t="shared" si="4"/>
        <v>1</v>
      </c>
      <c r="G28" s="48" t="str">
        <f t="shared" si="5"/>
        <v>0</v>
      </c>
      <c r="H28" s="48">
        <f t="shared" si="6"/>
        <v>-1</v>
      </c>
      <c r="I28" s="47">
        <f t="shared" si="7"/>
        <v>-3929.5</v>
      </c>
      <c r="J28" s="39" t="str">
        <f t="shared" si="8"/>
        <v>Penurunan IU</v>
      </c>
      <c r="K28" s="72" t="s">
        <v>1166</v>
      </c>
      <c r="O28" s="3">
        <v>16</v>
      </c>
      <c r="P28" t="s">
        <v>310</v>
      </c>
      <c r="Q28" t="s">
        <v>311</v>
      </c>
      <c r="R28" t="s">
        <v>41</v>
      </c>
      <c r="S28" s="10">
        <v>1</v>
      </c>
      <c r="T28" t="s">
        <v>20</v>
      </c>
      <c r="U28" s="10">
        <v>7799</v>
      </c>
      <c r="V28" s="4">
        <v>7799</v>
      </c>
      <c r="X28" s="3" t="s">
        <v>462</v>
      </c>
      <c r="Y28" t="s">
        <v>463</v>
      </c>
      <c r="Z28" t="s">
        <v>120</v>
      </c>
      <c r="AA28" s="10">
        <v>1</v>
      </c>
      <c r="AB28" t="s">
        <v>20</v>
      </c>
      <c r="AC28" s="10">
        <v>160000</v>
      </c>
      <c r="AD28" s="4">
        <v>160000</v>
      </c>
      <c r="AF28" s="20">
        <v>16</v>
      </c>
      <c r="AG28" s="18" t="s">
        <v>518</v>
      </c>
      <c r="AH28" s="18" t="s">
        <v>519</v>
      </c>
      <c r="AI28" s="18" t="s">
        <v>67</v>
      </c>
      <c r="AJ28" s="21">
        <v>1</v>
      </c>
      <c r="AK28" s="18" t="s">
        <v>98</v>
      </c>
      <c r="AL28" s="21">
        <v>18000</v>
      </c>
      <c r="AM28" s="19">
        <v>18000</v>
      </c>
      <c r="AO28" s="20" t="s">
        <v>286</v>
      </c>
      <c r="AP28" s="18" t="s">
        <v>287</v>
      </c>
      <c r="AQ28" s="18" t="s">
        <v>165</v>
      </c>
      <c r="AR28" s="21">
        <v>1</v>
      </c>
      <c r="AS28" s="18" t="s">
        <v>20</v>
      </c>
      <c r="AT28" s="21">
        <v>43552.173900000002</v>
      </c>
      <c r="AU28" s="19">
        <v>43552.173900000002</v>
      </c>
      <c r="AW28" s="5" t="s">
        <v>462</v>
      </c>
      <c r="AX28" s="6" t="s">
        <v>463</v>
      </c>
      <c r="AY28" s="6" t="s">
        <v>120</v>
      </c>
      <c r="AZ28" s="10">
        <v>1</v>
      </c>
      <c r="BA28" s="6" t="s">
        <v>20</v>
      </c>
      <c r="BB28" s="10">
        <v>160000</v>
      </c>
      <c r="BC28" s="4">
        <v>160000</v>
      </c>
    </row>
    <row r="29" spans="1:55" x14ac:dyDescent="0.35">
      <c r="A29" s="38" t="str">
        <v>MKT00051</v>
      </c>
      <c r="B29" s="31" t="str">
        <f t="shared" si="0"/>
        <v>VOUCHER FREE RAPOKKI CHADOL</v>
      </c>
      <c r="C29" s="31" t="str">
        <f t="shared" si="1"/>
        <v>MARKETING</v>
      </c>
      <c r="D29" s="39" t="str">
        <f t="shared" si="2"/>
        <v>pcs</v>
      </c>
      <c r="E29" s="40">
        <f t="shared" si="3"/>
        <v>800</v>
      </c>
      <c r="F29" s="48">
        <f t="shared" si="4"/>
        <v>50</v>
      </c>
      <c r="G29" s="48" t="str">
        <f t="shared" si="5"/>
        <v>0</v>
      </c>
      <c r="H29" s="48">
        <f t="shared" si="6"/>
        <v>-50</v>
      </c>
      <c r="I29" s="47">
        <f t="shared" si="7"/>
        <v>-40000</v>
      </c>
      <c r="J29" s="39" t="str">
        <f t="shared" si="8"/>
        <v>Penurunan IU</v>
      </c>
      <c r="K29" s="72" t="s">
        <v>1167</v>
      </c>
      <c r="O29" s="3">
        <v>17</v>
      </c>
      <c r="P29" t="s">
        <v>57</v>
      </c>
      <c r="Q29" t="s">
        <v>58</v>
      </c>
      <c r="R29" t="s">
        <v>41</v>
      </c>
      <c r="S29" s="10">
        <v>7</v>
      </c>
      <c r="T29" t="s">
        <v>5</v>
      </c>
      <c r="U29" s="10">
        <v>7699.9401153846156</v>
      </c>
      <c r="V29" s="4">
        <v>53899.580807999999</v>
      </c>
      <c r="X29" s="3" t="s">
        <v>121</v>
      </c>
      <c r="Y29" t="s">
        <v>122</v>
      </c>
      <c r="Z29" t="s">
        <v>123</v>
      </c>
      <c r="AA29" s="10">
        <v>9</v>
      </c>
      <c r="AB29" t="s">
        <v>5</v>
      </c>
      <c r="AC29" s="10">
        <v>5000</v>
      </c>
      <c r="AD29" s="4">
        <v>45000</v>
      </c>
      <c r="AF29" s="20">
        <v>17</v>
      </c>
      <c r="AG29" s="18" t="s">
        <v>254</v>
      </c>
      <c r="AH29" s="18" t="s">
        <v>255</v>
      </c>
      <c r="AI29" s="18" t="s">
        <v>67</v>
      </c>
      <c r="AJ29" s="21">
        <v>1.2</v>
      </c>
      <c r="AK29" s="18" t="s">
        <v>5</v>
      </c>
      <c r="AL29" s="21">
        <v>34633.599999999999</v>
      </c>
      <c r="AM29" s="19">
        <v>41560.32</v>
      </c>
      <c r="AO29" s="20" t="s">
        <v>878</v>
      </c>
      <c r="AP29" s="18" t="s">
        <v>879</v>
      </c>
      <c r="AQ29" s="18" t="s">
        <v>165</v>
      </c>
      <c r="AR29" s="21">
        <v>1</v>
      </c>
      <c r="AS29" s="18" t="s">
        <v>20</v>
      </c>
      <c r="AT29" s="21">
        <v>38430</v>
      </c>
      <c r="AU29" s="19">
        <v>38430</v>
      </c>
      <c r="AW29" s="5" t="s">
        <v>121</v>
      </c>
      <c r="AX29" s="6" t="s">
        <v>122</v>
      </c>
      <c r="AY29" s="6" t="s">
        <v>123</v>
      </c>
      <c r="AZ29" s="10">
        <v>9</v>
      </c>
      <c r="BA29" s="6" t="s">
        <v>5</v>
      </c>
      <c r="BB29" s="10">
        <v>5000</v>
      </c>
      <c r="BC29" s="4">
        <v>45000</v>
      </c>
    </row>
    <row r="30" spans="1:55" x14ac:dyDescent="0.35">
      <c r="A30" s="38" t="str">
        <v>MRP00025</v>
      </c>
      <c r="B30" s="31" t="str">
        <f t="shared" si="0"/>
        <v>FILTER AIR GAC 20 INCH</v>
      </c>
      <c r="C30" s="31" t="str">
        <f t="shared" si="1"/>
        <v>IT GA AND MRP STOCK</v>
      </c>
      <c r="D30" s="39" t="str">
        <f t="shared" si="2"/>
        <v>pcs</v>
      </c>
      <c r="E30" s="40">
        <f t="shared" si="3"/>
        <v>200000</v>
      </c>
      <c r="F30" s="48">
        <f t="shared" si="4"/>
        <v>1</v>
      </c>
      <c r="G30" s="48" t="str">
        <f t="shared" si="5"/>
        <v>0</v>
      </c>
      <c r="H30" s="48">
        <f t="shared" si="6"/>
        <v>-1</v>
      </c>
      <c r="I30" s="47">
        <f t="shared" si="7"/>
        <v>-200000</v>
      </c>
      <c r="J30" s="39" t="str">
        <f t="shared" si="8"/>
        <v>Penurunan IU</v>
      </c>
      <c r="K30" s="72" t="s">
        <v>1168</v>
      </c>
      <c r="O30" s="3">
        <v>18</v>
      </c>
      <c r="P30" t="s">
        <v>59</v>
      </c>
      <c r="Q30" t="s">
        <v>60</v>
      </c>
      <c r="R30" t="s">
        <v>41</v>
      </c>
      <c r="S30" s="10">
        <v>9</v>
      </c>
      <c r="T30" t="s">
        <v>5</v>
      </c>
      <c r="U30" s="10">
        <v>7700</v>
      </c>
      <c r="V30" s="4">
        <v>69300</v>
      </c>
      <c r="X30" s="3" t="s">
        <v>124</v>
      </c>
      <c r="Y30" t="s">
        <v>125</v>
      </c>
      <c r="Z30" t="s">
        <v>123</v>
      </c>
      <c r="AA30" s="10">
        <v>24</v>
      </c>
      <c r="AB30" t="s">
        <v>5</v>
      </c>
      <c r="AC30" s="10">
        <v>5497.8689135135137</v>
      </c>
      <c r="AD30" s="4">
        <v>131948.853924</v>
      </c>
      <c r="AF30" s="20">
        <v>18</v>
      </c>
      <c r="AG30" s="18" t="s">
        <v>628</v>
      </c>
      <c r="AH30" s="18" t="s">
        <v>629</v>
      </c>
      <c r="AI30" s="18" t="s">
        <v>67</v>
      </c>
      <c r="AJ30" s="21">
        <v>0.1</v>
      </c>
      <c r="AK30" s="18" t="s">
        <v>20</v>
      </c>
      <c r="AL30" s="21">
        <v>27637.931</v>
      </c>
      <c r="AM30" s="19">
        <v>2763.7930999999999</v>
      </c>
      <c r="AO30" s="20" t="s">
        <v>184</v>
      </c>
      <c r="AP30" s="18" t="s">
        <v>185</v>
      </c>
      <c r="AQ30" s="18" t="s">
        <v>182</v>
      </c>
      <c r="AR30" s="21">
        <v>14</v>
      </c>
      <c r="AS30" s="18" t="s">
        <v>20</v>
      </c>
      <c r="AT30" s="21">
        <v>962.55</v>
      </c>
      <c r="AU30" s="19">
        <v>13475.7</v>
      </c>
      <c r="AW30" s="5" t="s">
        <v>124</v>
      </c>
      <c r="AX30" s="6" t="s">
        <v>125</v>
      </c>
      <c r="AY30" s="6" t="s">
        <v>123</v>
      </c>
      <c r="AZ30" s="10">
        <v>24</v>
      </c>
      <c r="BA30" s="6" t="s">
        <v>5</v>
      </c>
      <c r="BB30" s="10">
        <v>5497.8689135135137</v>
      </c>
      <c r="BC30" s="4">
        <v>131948.853924</v>
      </c>
    </row>
    <row r="31" spans="1:55" x14ac:dyDescent="0.35">
      <c r="A31" s="38" t="str">
        <v>MRP00026</v>
      </c>
      <c r="B31" s="31" t="str">
        <f t="shared" si="0"/>
        <v>FILTER AIR SEDIMEN NANO 5 MIKRON</v>
      </c>
      <c r="C31" s="31" t="str">
        <f t="shared" si="1"/>
        <v>IT GA AND MRP STOCK</v>
      </c>
      <c r="D31" s="39" t="str">
        <f t="shared" si="2"/>
        <v>pcs</v>
      </c>
      <c r="E31" s="40">
        <f t="shared" si="3"/>
        <v>85000</v>
      </c>
      <c r="F31" s="48">
        <f t="shared" si="4"/>
        <v>1</v>
      </c>
      <c r="G31" s="48" t="str">
        <f t="shared" si="5"/>
        <v>0</v>
      </c>
      <c r="H31" s="48">
        <f t="shared" si="6"/>
        <v>-1</v>
      </c>
      <c r="I31" s="47">
        <f t="shared" si="7"/>
        <v>-85000</v>
      </c>
      <c r="J31" s="39" t="str">
        <f t="shared" si="8"/>
        <v>Penurunan IU</v>
      </c>
      <c r="K31" s="72" t="s">
        <v>1168</v>
      </c>
      <c r="O31" s="3">
        <v>19</v>
      </c>
      <c r="P31" t="s">
        <v>61</v>
      </c>
      <c r="Q31" t="s">
        <v>62</v>
      </c>
      <c r="R31" t="s">
        <v>41</v>
      </c>
      <c r="S31" s="10">
        <v>3</v>
      </c>
      <c r="T31" t="s">
        <v>5</v>
      </c>
      <c r="U31" s="10">
        <v>17416.5759</v>
      </c>
      <c r="V31" s="4">
        <v>52249.727700000003</v>
      </c>
      <c r="X31" s="3" t="s">
        <v>126</v>
      </c>
      <c r="Y31" t="s">
        <v>127</v>
      </c>
      <c r="Z31" t="s">
        <v>123</v>
      </c>
      <c r="AA31" s="10">
        <v>25</v>
      </c>
      <c r="AB31" t="s">
        <v>5</v>
      </c>
      <c r="AC31" s="10">
        <v>6741.3846666666659</v>
      </c>
      <c r="AD31" s="4">
        <v>168534.61666699999</v>
      </c>
      <c r="AF31" s="20">
        <v>19</v>
      </c>
      <c r="AG31" s="18" t="s">
        <v>107</v>
      </c>
      <c r="AH31" s="18" t="s">
        <v>108</v>
      </c>
      <c r="AI31" s="18" t="s">
        <v>67</v>
      </c>
      <c r="AJ31" s="21">
        <v>0.5</v>
      </c>
      <c r="AK31" s="18" t="s">
        <v>5</v>
      </c>
      <c r="AL31" s="21">
        <v>16250</v>
      </c>
      <c r="AM31" s="19">
        <v>8125</v>
      </c>
      <c r="AO31" s="20" t="s">
        <v>442</v>
      </c>
      <c r="AP31" s="18" t="s">
        <v>443</v>
      </c>
      <c r="AQ31" s="18" t="s">
        <v>192</v>
      </c>
      <c r="AR31" s="21">
        <v>2</v>
      </c>
      <c r="AS31" s="18" t="s">
        <v>20</v>
      </c>
      <c r="AT31" s="21">
        <v>18480</v>
      </c>
      <c r="AU31" s="19">
        <v>36960</v>
      </c>
      <c r="AW31" s="5" t="s">
        <v>126</v>
      </c>
      <c r="AX31" s="6" t="s">
        <v>127</v>
      </c>
      <c r="AY31" s="6" t="s">
        <v>123</v>
      </c>
      <c r="AZ31" s="10">
        <v>25</v>
      </c>
      <c r="BA31" s="6" t="s">
        <v>5</v>
      </c>
      <c r="BB31" s="10">
        <v>6741.3846666666659</v>
      </c>
      <c r="BC31" s="4">
        <v>168534.61666699999</v>
      </c>
    </row>
    <row r="32" spans="1:55" x14ac:dyDescent="0.35">
      <c r="A32" s="38" t="str">
        <v>MRP00027</v>
      </c>
      <c r="B32" s="31" t="str">
        <f t="shared" si="0"/>
        <v>FILTER AIR CTO 20 INCH</v>
      </c>
      <c r="C32" s="31" t="str">
        <f t="shared" si="1"/>
        <v>IT GA AND MRP STOCK</v>
      </c>
      <c r="D32" s="39" t="str">
        <f t="shared" si="2"/>
        <v>pcs</v>
      </c>
      <c r="E32" s="40">
        <f t="shared" si="3"/>
        <v>160000</v>
      </c>
      <c r="F32" s="48">
        <f t="shared" si="4"/>
        <v>1</v>
      </c>
      <c r="G32" s="48" t="str">
        <f t="shared" si="5"/>
        <v>0</v>
      </c>
      <c r="H32" s="48">
        <f t="shared" si="6"/>
        <v>-1</v>
      </c>
      <c r="I32" s="47">
        <f t="shared" si="7"/>
        <v>-160000</v>
      </c>
      <c r="J32" s="39" t="str">
        <f t="shared" si="8"/>
        <v>Penurunan IU</v>
      </c>
      <c r="K32" s="72" t="s">
        <v>1168</v>
      </c>
      <c r="O32" s="3">
        <v>20</v>
      </c>
      <c r="P32" t="s">
        <v>312</v>
      </c>
      <c r="Q32" t="s">
        <v>313</v>
      </c>
      <c r="R32" t="s">
        <v>41</v>
      </c>
      <c r="S32" s="10">
        <v>1</v>
      </c>
      <c r="T32" t="s">
        <v>20</v>
      </c>
      <c r="U32" s="10">
        <v>77235</v>
      </c>
      <c r="V32" s="4">
        <v>77235</v>
      </c>
      <c r="X32" s="3" t="s">
        <v>128</v>
      </c>
      <c r="Y32" t="s">
        <v>129</v>
      </c>
      <c r="Z32" t="s">
        <v>123</v>
      </c>
      <c r="AA32" s="10">
        <v>2</v>
      </c>
      <c r="AB32" t="s">
        <v>74</v>
      </c>
      <c r="AC32" s="10">
        <v>142068.6164</v>
      </c>
      <c r="AD32" s="4">
        <v>284137.2328</v>
      </c>
      <c r="AF32" s="20">
        <v>20</v>
      </c>
      <c r="AG32" s="18" t="s">
        <v>110</v>
      </c>
      <c r="AH32" s="18" t="s">
        <v>111</v>
      </c>
      <c r="AI32" s="18" t="s">
        <v>67</v>
      </c>
      <c r="AJ32" s="21">
        <v>0.5</v>
      </c>
      <c r="AK32" s="18" t="s">
        <v>94</v>
      </c>
      <c r="AL32" s="21">
        <v>11632.5</v>
      </c>
      <c r="AM32" s="19">
        <v>5816.25</v>
      </c>
      <c r="AO32" s="20" t="s">
        <v>333</v>
      </c>
      <c r="AP32" s="18" t="s">
        <v>334</v>
      </c>
      <c r="AQ32" s="18" t="s">
        <v>192</v>
      </c>
      <c r="AR32" s="18">
        <v>12</v>
      </c>
      <c r="AS32" s="18" t="s">
        <v>20</v>
      </c>
      <c r="AT32" s="18">
        <v>3666.67</v>
      </c>
      <c r="AU32" s="19">
        <v>44000.04</v>
      </c>
      <c r="AW32" s="5" t="s">
        <v>128</v>
      </c>
      <c r="AX32" s="6" t="s">
        <v>129</v>
      </c>
      <c r="AY32" s="6" t="s">
        <v>123</v>
      </c>
      <c r="AZ32" s="10">
        <v>2</v>
      </c>
      <c r="BA32" s="6" t="s">
        <v>74</v>
      </c>
      <c r="BB32" s="10">
        <v>142068.6164</v>
      </c>
      <c r="BC32" s="4">
        <v>284137.2328</v>
      </c>
    </row>
    <row r="33" spans="1:55" x14ac:dyDescent="0.35">
      <c r="A33" s="38" t="str">
        <v>NCG00018</v>
      </c>
      <c r="B33" s="31" t="str">
        <f t="shared" si="0"/>
        <v>SARUNG TANGAN PELASTIK</v>
      </c>
      <c r="C33" s="31" t="str">
        <f t="shared" si="1"/>
        <v>NCG</v>
      </c>
      <c r="D33" s="39" t="str">
        <f t="shared" si="2"/>
        <v>pack</v>
      </c>
      <c r="E33" s="40">
        <f t="shared" si="3"/>
        <v>5000</v>
      </c>
      <c r="F33" s="48">
        <f t="shared" si="4"/>
        <v>9</v>
      </c>
      <c r="G33" s="48">
        <f t="shared" si="5"/>
        <v>4</v>
      </c>
      <c r="H33" s="48">
        <f t="shared" si="6"/>
        <v>-5</v>
      </c>
      <c r="I33" s="47">
        <f t="shared" si="7"/>
        <v>-25000</v>
      </c>
      <c r="J33" s="39" t="str">
        <f t="shared" si="8"/>
        <v>Penurunan IU</v>
      </c>
      <c r="K33" s="72" t="s">
        <v>1169</v>
      </c>
      <c r="O33" s="3">
        <v>21</v>
      </c>
      <c r="P33" t="s">
        <v>63</v>
      </c>
      <c r="Q33" t="s">
        <v>64</v>
      </c>
      <c r="R33" t="s">
        <v>41</v>
      </c>
      <c r="S33">
        <v>1</v>
      </c>
      <c r="T33" t="s">
        <v>20</v>
      </c>
      <c r="U33">
        <v>19956.25</v>
      </c>
      <c r="V33" s="4">
        <v>19956.25</v>
      </c>
      <c r="X33" s="3" t="s">
        <v>130</v>
      </c>
      <c r="Y33" t="s">
        <v>131</v>
      </c>
      <c r="Z33" t="s">
        <v>123</v>
      </c>
      <c r="AA33" s="10">
        <v>44</v>
      </c>
      <c r="AB33" t="s">
        <v>5</v>
      </c>
      <c r="AC33" s="10">
        <v>6355.1678076923081</v>
      </c>
      <c r="AD33" s="4">
        <v>279627.38353799999</v>
      </c>
      <c r="AF33" s="20">
        <v>21</v>
      </c>
      <c r="AG33" s="18" t="s">
        <v>630</v>
      </c>
      <c r="AH33" s="18" t="s">
        <v>631</v>
      </c>
      <c r="AI33" s="18" t="s">
        <v>67</v>
      </c>
      <c r="AJ33" s="21">
        <v>3</v>
      </c>
      <c r="AK33" s="18" t="s">
        <v>20</v>
      </c>
      <c r="AL33" s="21">
        <v>2060.5555555555561</v>
      </c>
      <c r="AM33" s="19">
        <v>6181.6666670000004</v>
      </c>
      <c r="AO33" s="20" t="s">
        <v>460</v>
      </c>
      <c r="AP33" s="18" t="s">
        <v>461</v>
      </c>
      <c r="AQ33" s="18" t="s">
        <v>117</v>
      </c>
      <c r="AR33" s="21">
        <v>1</v>
      </c>
      <c r="AS33" s="18" t="s">
        <v>20</v>
      </c>
      <c r="AT33" s="21">
        <v>152985.55220000001</v>
      </c>
      <c r="AU33" s="19">
        <v>152985.55220000001</v>
      </c>
      <c r="AW33" s="5" t="s">
        <v>130</v>
      </c>
      <c r="AX33" s="6" t="s">
        <v>131</v>
      </c>
      <c r="AY33" s="6" t="s">
        <v>123</v>
      </c>
      <c r="AZ33" s="10">
        <v>44</v>
      </c>
      <c r="BA33" s="6" t="s">
        <v>5</v>
      </c>
      <c r="BB33" s="10">
        <v>6355.1678076923081</v>
      </c>
      <c r="BC33" s="4">
        <v>279627.38353799999</v>
      </c>
    </row>
    <row r="34" spans="1:55" ht="15" thickBot="1" x14ac:dyDescent="0.4">
      <c r="A34" s="38" t="str">
        <v>NCGK0001</v>
      </c>
      <c r="B34" s="31" t="str">
        <f t="shared" si="0"/>
        <v>PLASTIK PE 2 KG 20 x 35 (Kitchen)</v>
      </c>
      <c r="C34" s="31" t="str">
        <f t="shared" si="1"/>
        <v>NCG</v>
      </c>
      <c r="D34" s="39" t="str">
        <f t="shared" si="2"/>
        <v>pack</v>
      </c>
      <c r="E34" s="40">
        <f t="shared" si="3"/>
        <v>5497.8689135135137</v>
      </c>
      <c r="F34" s="48">
        <f t="shared" si="4"/>
        <v>24</v>
      </c>
      <c r="G34" s="48">
        <f t="shared" si="5"/>
        <v>20</v>
      </c>
      <c r="H34" s="48">
        <f t="shared" si="6"/>
        <v>-4</v>
      </c>
      <c r="I34" s="47">
        <f t="shared" si="7"/>
        <v>-21991.475654054055</v>
      </c>
      <c r="J34" s="39" t="str">
        <f t="shared" si="8"/>
        <v>Penurunan IU</v>
      </c>
      <c r="K34" s="72" t="s">
        <v>1170</v>
      </c>
      <c r="O34" s="11" t="s">
        <v>223</v>
      </c>
      <c r="P34" s="12" t="s">
        <v>223</v>
      </c>
      <c r="Q34" s="12" t="s">
        <v>223</v>
      </c>
      <c r="R34" s="12" t="s">
        <v>223</v>
      </c>
      <c r="S34" s="12" t="s">
        <v>223</v>
      </c>
      <c r="T34" s="12" t="s">
        <v>223</v>
      </c>
      <c r="U34" s="12" t="s">
        <v>224</v>
      </c>
      <c r="V34" s="13">
        <v>1896882.3572580002</v>
      </c>
      <c r="X34" s="3" t="s">
        <v>132</v>
      </c>
      <c r="Y34" t="s">
        <v>133</v>
      </c>
      <c r="Z34" t="s">
        <v>123</v>
      </c>
      <c r="AA34" s="10">
        <v>46</v>
      </c>
      <c r="AB34" t="s">
        <v>134</v>
      </c>
      <c r="AC34" s="10">
        <v>12980.537438915771</v>
      </c>
      <c r="AD34" s="4">
        <v>597104.72219</v>
      </c>
      <c r="AF34" s="20">
        <v>22</v>
      </c>
      <c r="AG34" s="18" t="s">
        <v>364</v>
      </c>
      <c r="AH34" s="18" t="s">
        <v>365</v>
      </c>
      <c r="AI34" s="18" t="s">
        <v>67</v>
      </c>
      <c r="AJ34" s="21">
        <v>0.8</v>
      </c>
      <c r="AK34" s="18" t="s">
        <v>52</v>
      </c>
      <c r="AL34" s="21">
        <v>18208.2749</v>
      </c>
      <c r="AM34" s="19">
        <v>14566.619919999999</v>
      </c>
      <c r="AO34" s="20" t="s">
        <v>115</v>
      </c>
      <c r="AP34" s="18" t="s">
        <v>116</v>
      </c>
      <c r="AQ34" s="18" t="s">
        <v>117</v>
      </c>
      <c r="AR34" s="21">
        <v>929</v>
      </c>
      <c r="AS34" s="18" t="s">
        <v>52</v>
      </c>
      <c r="AT34" s="21">
        <v>600.42139999999995</v>
      </c>
      <c r="AU34" s="19">
        <v>557791.48060000001</v>
      </c>
      <c r="AW34" s="5" t="s">
        <v>132</v>
      </c>
      <c r="AX34" s="6" t="s">
        <v>133</v>
      </c>
      <c r="AY34" s="6" t="s">
        <v>123</v>
      </c>
      <c r="AZ34" s="10">
        <v>46</v>
      </c>
      <c r="BA34" s="6" t="s">
        <v>134</v>
      </c>
      <c r="BB34" s="10">
        <v>12980.537438915771</v>
      </c>
      <c r="BC34" s="4">
        <v>597104.72219</v>
      </c>
    </row>
    <row r="35" spans="1:55" ht="15.5" thickTop="1" thickBot="1" x14ac:dyDescent="0.4">
      <c r="A35" s="38" t="str">
        <v>NCGK0003</v>
      </c>
      <c r="B35" s="31" t="str">
        <f t="shared" si="0"/>
        <v>PLASTIK PE 1 KG 15 x 30</v>
      </c>
      <c r="C35" s="31" t="str">
        <f t="shared" si="1"/>
        <v>NCG</v>
      </c>
      <c r="D35" s="39" t="str">
        <f t="shared" si="2"/>
        <v>pack</v>
      </c>
      <c r="E35" s="40">
        <f t="shared" si="3"/>
        <v>6741.3846666666659</v>
      </c>
      <c r="F35" s="48">
        <f t="shared" si="4"/>
        <v>25</v>
      </c>
      <c r="G35" s="48">
        <f t="shared" si="5"/>
        <v>26</v>
      </c>
      <c r="H35" s="48">
        <f t="shared" si="6"/>
        <v>1</v>
      </c>
      <c r="I35" s="47">
        <f t="shared" si="7"/>
        <v>6741.3846666666659</v>
      </c>
      <c r="J35" s="39" t="str">
        <f t="shared" si="8"/>
        <v>Kenaikan IU</v>
      </c>
      <c r="K35" s="72" t="s">
        <v>1171</v>
      </c>
      <c r="X35" s="3" t="s">
        <v>135</v>
      </c>
      <c r="Y35" t="s">
        <v>136</v>
      </c>
      <c r="Z35" t="s">
        <v>123</v>
      </c>
      <c r="AA35" s="10">
        <v>27</v>
      </c>
      <c r="AB35" t="s">
        <v>5</v>
      </c>
      <c r="AC35" s="10">
        <v>5671.6923999999999</v>
      </c>
      <c r="AD35" s="4">
        <v>153135.6948</v>
      </c>
      <c r="AF35" s="20">
        <v>23</v>
      </c>
      <c r="AG35" s="18" t="s">
        <v>526</v>
      </c>
      <c r="AH35" s="18" t="s">
        <v>527</v>
      </c>
      <c r="AI35" s="18" t="s">
        <v>67</v>
      </c>
      <c r="AJ35" s="21">
        <v>2</v>
      </c>
      <c r="AK35" s="18" t="s">
        <v>52</v>
      </c>
      <c r="AL35" s="21">
        <v>9986.2440000000006</v>
      </c>
      <c r="AM35" s="19">
        <v>19972.488000000001</v>
      </c>
      <c r="AO35" s="20" t="s">
        <v>883</v>
      </c>
      <c r="AP35" s="18" t="s">
        <v>884</v>
      </c>
      <c r="AQ35" s="18" t="s">
        <v>117</v>
      </c>
      <c r="AR35" s="21">
        <v>1</v>
      </c>
      <c r="AS35" s="18" t="s">
        <v>20</v>
      </c>
      <c r="AT35" s="21">
        <v>1120000</v>
      </c>
      <c r="AU35" s="19">
        <v>1120000</v>
      </c>
      <c r="AW35" s="5" t="s">
        <v>135</v>
      </c>
      <c r="AX35" s="6" t="s">
        <v>136</v>
      </c>
      <c r="AY35" s="6" t="s">
        <v>123</v>
      </c>
      <c r="AZ35" s="10">
        <v>27</v>
      </c>
      <c r="BA35" s="6" t="s">
        <v>5</v>
      </c>
      <c r="BB35" s="10">
        <v>5671.6923999999999</v>
      </c>
      <c r="BC35" s="4">
        <v>153135.6948</v>
      </c>
    </row>
    <row r="36" spans="1:55" ht="15" thickTop="1" x14ac:dyDescent="0.35">
      <c r="A36" s="38" t="str">
        <v>NCGK0005</v>
      </c>
      <c r="B36" s="31" t="str">
        <f t="shared" si="0"/>
        <v>CLING WRAP 45 x 50 @ 6 ROLL</v>
      </c>
      <c r="C36" s="31" t="str">
        <f t="shared" si="1"/>
        <v>NCG</v>
      </c>
      <c r="D36" s="39" t="str">
        <f t="shared" si="2"/>
        <v>roll</v>
      </c>
      <c r="E36" s="40">
        <f t="shared" si="3"/>
        <v>142068.6164</v>
      </c>
      <c r="F36" s="48">
        <f t="shared" si="4"/>
        <v>2</v>
      </c>
      <c r="G36" s="48">
        <f t="shared" si="5"/>
        <v>2</v>
      </c>
      <c r="H36" s="48">
        <f t="shared" si="6"/>
        <v>0</v>
      </c>
      <c r="I36" s="47">
        <f t="shared" si="7"/>
        <v>0</v>
      </c>
      <c r="J36" s="39" t="str">
        <f t="shared" si="8"/>
        <v>Tidak Ada Perubahan</v>
      </c>
      <c r="K36" s="72" t="s">
        <v>1172</v>
      </c>
      <c r="O36" s="88" t="s">
        <v>0</v>
      </c>
      <c r="P36" s="89"/>
      <c r="Q36" s="89"/>
      <c r="R36" s="89"/>
      <c r="S36" s="89"/>
      <c r="T36" s="1"/>
      <c r="U36" s="1"/>
      <c r="V36" s="2"/>
      <c r="X36" s="3" t="s">
        <v>137</v>
      </c>
      <c r="Y36" t="s">
        <v>138</v>
      </c>
      <c r="Z36" t="s">
        <v>123</v>
      </c>
      <c r="AA36" s="10">
        <v>26</v>
      </c>
      <c r="AB36" t="s">
        <v>5</v>
      </c>
      <c r="AC36" s="10">
        <v>16062.781231250001</v>
      </c>
      <c r="AD36" s="4">
        <v>417632.31201300002</v>
      </c>
      <c r="AF36" s="20">
        <v>24</v>
      </c>
      <c r="AG36" s="18" t="s">
        <v>587</v>
      </c>
      <c r="AH36" s="18" t="s">
        <v>588</v>
      </c>
      <c r="AI36" s="18" t="s">
        <v>67</v>
      </c>
      <c r="AJ36" s="18">
        <v>2</v>
      </c>
      <c r="AK36" s="18" t="s">
        <v>5</v>
      </c>
      <c r="AL36" s="18">
        <v>6250</v>
      </c>
      <c r="AM36" s="19">
        <v>12500</v>
      </c>
      <c r="AO36" s="20" t="s">
        <v>578</v>
      </c>
      <c r="AP36" s="18" t="s">
        <v>579</v>
      </c>
      <c r="AQ36" s="18" t="s">
        <v>120</v>
      </c>
      <c r="AR36" s="21">
        <v>2</v>
      </c>
      <c r="AS36" s="18" t="s">
        <v>20</v>
      </c>
      <c r="AT36" s="21">
        <v>219308.33333333334</v>
      </c>
      <c r="AU36" s="19">
        <v>438616.66666699998</v>
      </c>
      <c r="AW36" s="5" t="s">
        <v>137</v>
      </c>
      <c r="AX36" s="6" t="s">
        <v>138</v>
      </c>
      <c r="AY36" s="6" t="s">
        <v>123</v>
      </c>
      <c r="AZ36" s="10">
        <v>26</v>
      </c>
      <c r="BA36" s="6" t="s">
        <v>5</v>
      </c>
      <c r="BB36" s="10">
        <v>16062.781231250001</v>
      </c>
      <c r="BC36" s="4">
        <v>417632.31201300002</v>
      </c>
    </row>
    <row r="37" spans="1:55" ht="15" thickBot="1" x14ac:dyDescent="0.4">
      <c r="A37" s="38" t="str">
        <v>NCGK0006</v>
      </c>
      <c r="B37" s="31" t="str">
        <f t="shared" si="0"/>
        <v>TISSUE SEE-U HANDTOWELS @ 20 PACK</v>
      </c>
      <c r="C37" s="31" t="str">
        <f t="shared" si="1"/>
        <v>NCG</v>
      </c>
      <c r="D37" s="39" t="str">
        <f t="shared" si="2"/>
        <v>pack</v>
      </c>
      <c r="E37" s="40">
        <f t="shared" si="3"/>
        <v>6355.1678076923081</v>
      </c>
      <c r="F37" s="48">
        <f t="shared" si="4"/>
        <v>44</v>
      </c>
      <c r="G37" s="48">
        <f t="shared" si="5"/>
        <v>37</v>
      </c>
      <c r="H37" s="48">
        <f t="shared" si="6"/>
        <v>-7</v>
      </c>
      <c r="I37" s="47">
        <f t="shared" si="7"/>
        <v>-44486.174653846159</v>
      </c>
      <c r="J37" s="39" t="str">
        <f t="shared" si="8"/>
        <v>Penurunan IU</v>
      </c>
      <c r="K37" s="72" t="s">
        <v>1173</v>
      </c>
      <c r="O37" s="86" t="s">
        <v>1</v>
      </c>
      <c r="P37" s="87"/>
      <c r="Q37" s="87"/>
      <c r="R37" s="87"/>
      <c r="S37" s="87"/>
      <c r="V37" s="4"/>
      <c r="X37" s="3" t="s">
        <v>141</v>
      </c>
      <c r="Y37" t="s">
        <v>142</v>
      </c>
      <c r="Z37" t="s">
        <v>123</v>
      </c>
      <c r="AA37" s="10">
        <v>11</v>
      </c>
      <c r="AB37" t="s">
        <v>5</v>
      </c>
      <c r="AC37" s="10">
        <v>41904.8194</v>
      </c>
      <c r="AD37" s="4">
        <v>460953.0134</v>
      </c>
      <c r="AF37" s="22" t="s">
        <v>223</v>
      </c>
      <c r="AG37" s="23" t="s">
        <v>223</v>
      </c>
      <c r="AH37" s="23" t="s">
        <v>223</v>
      </c>
      <c r="AI37" s="23" t="s">
        <v>223</v>
      </c>
      <c r="AJ37" s="23" t="s">
        <v>223</v>
      </c>
      <c r="AK37" s="23" t="s">
        <v>223</v>
      </c>
      <c r="AL37" s="23" t="s">
        <v>224</v>
      </c>
      <c r="AM37" s="24">
        <v>648603.49671700003</v>
      </c>
      <c r="AO37" s="20" t="s">
        <v>121</v>
      </c>
      <c r="AP37" s="18" t="s">
        <v>122</v>
      </c>
      <c r="AQ37" s="18" t="s">
        <v>123</v>
      </c>
      <c r="AR37" s="21">
        <v>4</v>
      </c>
      <c r="AS37" s="18" t="s">
        <v>5</v>
      </c>
      <c r="AT37" s="21">
        <v>5000</v>
      </c>
      <c r="AU37" s="19">
        <v>20000</v>
      </c>
      <c r="AW37" s="5" t="s">
        <v>141</v>
      </c>
      <c r="AX37" s="6" t="s">
        <v>142</v>
      </c>
      <c r="AY37" s="6" t="s">
        <v>123</v>
      </c>
      <c r="AZ37" s="10">
        <v>11</v>
      </c>
      <c r="BA37" s="6" t="s">
        <v>5</v>
      </c>
      <c r="BB37" s="10">
        <v>41904.8194</v>
      </c>
      <c r="BC37" s="4">
        <v>460953.0134</v>
      </c>
    </row>
    <row r="38" spans="1:55" x14ac:dyDescent="0.35">
      <c r="A38" s="38" t="str">
        <v>NCGK0007</v>
      </c>
      <c r="B38" s="31" t="str">
        <f t="shared" si="0"/>
        <v>GAS BUTANE PORTABLE PURITY 230G @24 CAN</v>
      </c>
      <c r="C38" s="31" t="str">
        <f t="shared" si="1"/>
        <v>NCG</v>
      </c>
      <c r="D38" s="39" t="str">
        <f t="shared" si="2"/>
        <v>can</v>
      </c>
      <c r="E38" s="40">
        <f t="shared" si="3"/>
        <v>12980.537438915771</v>
      </c>
      <c r="F38" s="48">
        <f t="shared" si="4"/>
        <v>46</v>
      </c>
      <c r="G38" s="48">
        <f t="shared" si="5"/>
        <v>24</v>
      </c>
      <c r="H38" s="48">
        <f t="shared" si="6"/>
        <v>-22</v>
      </c>
      <c r="I38" s="47">
        <f t="shared" si="7"/>
        <v>-285571.823656147</v>
      </c>
      <c r="J38" s="39" t="str">
        <f t="shared" si="8"/>
        <v>Penurunan IU</v>
      </c>
      <c r="K38" s="72" t="s">
        <v>1174</v>
      </c>
      <c r="O38" s="3"/>
      <c r="V38" s="4"/>
      <c r="X38" s="3" t="s">
        <v>145</v>
      </c>
      <c r="Y38" t="s">
        <v>146</v>
      </c>
      <c r="Z38" t="s">
        <v>123</v>
      </c>
      <c r="AA38" s="10">
        <v>95</v>
      </c>
      <c r="AB38" t="s">
        <v>5</v>
      </c>
      <c r="AC38" s="10">
        <v>4604.1441320000004</v>
      </c>
      <c r="AD38" s="4">
        <v>437393.69254000002</v>
      </c>
      <c r="AO38" s="20" t="s">
        <v>124</v>
      </c>
      <c r="AP38" s="18" t="s">
        <v>125</v>
      </c>
      <c r="AQ38" s="18" t="s">
        <v>123</v>
      </c>
      <c r="AR38" s="21">
        <v>20</v>
      </c>
      <c r="AS38" s="18" t="s">
        <v>5</v>
      </c>
      <c r="AT38" s="21">
        <v>5628.853790909091</v>
      </c>
      <c r="AU38" s="19">
        <v>112577.075818</v>
      </c>
      <c r="AW38" s="5" t="s">
        <v>145</v>
      </c>
      <c r="AX38" s="6" t="s">
        <v>146</v>
      </c>
      <c r="AY38" s="6" t="s">
        <v>123</v>
      </c>
      <c r="AZ38" s="10">
        <v>95</v>
      </c>
      <c r="BA38" s="6" t="s">
        <v>5</v>
      </c>
      <c r="BB38" s="10">
        <v>4604.1441320000004</v>
      </c>
      <c r="BC38" s="4">
        <v>437393.69254000002</v>
      </c>
    </row>
    <row r="39" spans="1:55" ht="15" thickBot="1" x14ac:dyDescent="0.4">
      <c r="A39" s="38" t="str">
        <v>NCGK0008</v>
      </c>
      <c r="B39" s="31" t="str">
        <f t="shared" si="0"/>
        <v>PLASTIK PE 1/4 KG 10x20</v>
      </c>
      <c r="C39" s="31" t="str">
        <f t="shared" si="1"/>
        <v>NCG</v>
      </c>
      <c r="D39" s="39" t="str">
        <f t="shared" si="2"/>
        <v>pack</v>
      </c>
      <c r="E39" s="40">
        <f t="shared" si="3"/>
        <v>5671.6923999999999</v>
      </c>
      <c r="F39" s="48">
        <f t="shared" si="4"/>
        <v>27</v>
      </c>
      <c r="G39" s="48">
        <f t="shared" si="5"/>
        <v>31</v>
      </c>
      <c r="H39" s="48">
        <f t="shared" si="6"/>
        <v>4</v>
      </c>
      <c r="I39" s="47">
        <f t="shared" si="7"/>
        <v>22686.7696</v>
      </c>
      <c r="J39" s="39" t="str">
        <f t="shared" si="8"/>
        <v>Kenaikan IU</v>
      </c>
      <c r="K39" s="72" t="s">
        <v>1175</v>
      </c>
      <c r="O39" s="86" t="s">
        <v>10</v>
      </c>
      <c r="P39" s="87" t="s">
        <v>11</v>
      </c>
      <c r="Q39" t="s">
        <v>619</v>
      </c>
      <c r="V39" s="4"/>
      <c r="X39" s="3" t="s">
        <v>147</v>
      </c>
      <c r="Y39" t="s">
        <v>148</v>
      </c>
      <c r="Z39" t="s">
        <v>123</v>
      </c>
      <c r="AA39" s="10">
        <v>2</v>
      </c>
      <c r="AB39" t="s">
        <v>5</v>
      </c>
      <c r="AC39" s="10">
        <v>15000</v>
      </c>
      <c r="AD39" s="4">
        <v>30000</v>
      </c>
      <c r="AO39" s="20" t="s">
        <v>126</v>
      </c>
      <c r="AP39" s="18" t="s">
        <v>127</v>
      </c>
      <c r="AQ39" s="18" t="s">
        <v>123</v>
      </c>
      <c r="AR39" s="21">
        <v>26</v>
      </c>
      <c r="AS39" s="18" t="s">
        <v>5</v>
      </c>
      <c r="AT39" s="21">
        <v>6847.2627571428566</v>
      </c>
      <c r="AU39" s="19">
        <v>178028.83168599999</v>
      </c>
      <c r="AW39" s="5" t="s">
        <v>147</v>
      </c>
      <c r="AX39" s="6" t="s">
        <v>148</v>
      </c>
      <c r="AY39" s="6" t="s">
        <v>123</v>
      </c>
      <c r="AZ39" s="10">
        <v>2</v>
      </c>
      <c r="BA39" s="6" t="s">
        <v>5</v>
      </c>
      <c r="BB39" s="10">
        <v>15000</v>
      </c>
      <c r="BC39" s="4">
        <v>30000</v>
      </c>
    </row>
    <row r="40" spans="1:55" x14ac:dyDescent="0.35">
      <c r="A40" s="38" t="str">
        <v>NCGK0009</v>
      </c>
      <c r="B40" s="31" t="str">
        <f t="shared" si="0"/>
        <v>PLASTIK PE 10 KG 40 x 60</v>
      </c>
      <c r="C40" s="31" t="str">
        <f t="shared" si="1"/>
        <v>NCG</v>
      </c>
      <c r="D40" s="39" t="str">
        <f t="shared" si="2"/>
        <v>pack</v>
      </c>
      <c r="E40" s="40">
        <f t="shared" si="3"/>
        <v>16062.781231250001</v>
      </c>
      <c r="F40" s="48">
        <f t="shared" si="4"/>
        <v>26</v>
      </c>
      <c r="G40" s="48">
        <f t="shared" si="5"/>
        <v>27</v>
      </c>
      <c r="H40" s="48">
        <f t="shared" si="6"/>
        <v>1</v>
      </c>
      <c r="I40" s="47">
        <f t="shared" si="7"/>
        <v>16062.781231250001</v>
      </c>
      <c r="J40" s="39" t="str">
        <f t="shared" si="8"/>
        <v>Kenaikan IU</v>
      </c>
      <c r="K40" s="72" t="s">
        <v>1175</v>
      </c>
      <c r="O40" s="86" t="s">
        <v>16</v>
      </c>
      <c r="P40" s="87" t="s">
        <v>11</v>
      </c>
      <c r="Q40" t="s">
        <v>17</v>
      </c>
      <c r="V40" s="4"/>
      <c r="X40" s="3" t="s">
        <v>268</v>
      </c>
      <c r="Y40" t="s">
        <v>269</v>
      </c>
      <c r="Z40" t="s">
        <v>151</v>
      </c>
      <c r="AA40" s="10">
        <v>1</v>
      </c>
      <c r="AB40" t="s">
        <v>87</v>
      </c>
      <c r="AC40" s="10">
        <v>5500</v>
      </c>
      <c r="AD40" s="4">
        <v>5500</v>
      </c>
      <c r="AF40" s="84" t="s">
        <v>0</v>
      </c>
      <c r="AG40" s="85"/>
      <c r="AH40" s="85"/>
      <c r="AI40" s="85"/>
      <c r="AJ40" s="85"/>
      <c r="AK40" s="16"/>
      <c r="AL40" s="16"/>
      <c r="AM40" s="17"/>
      <c r="AO40" s="20" t="s">
        <v>128</v>
      </c>
      <c r="AP40" s="18" t="s">
        <v>129</v>
      </c>
      <c r="AQ40" s="18" t="s">
        <v>123</v>
      </c>
      <c r="AR40" s="21">
        <v>2</v>
      </c>
      <c r="AS40" s="18" t="s">
        <v>74</v>
      </c>
      <c r="AT40" s="21">
        <v>142068.6164</v>
      </c>
      <c r="AU40" s="19">
        <v>284137.2328</v>
      </c>
      <c r="AW40" s="5" t="s">
        <v>268</v>
      </c>
      <c r="AX40" s="6" t="s">
        <v>269</v>
      </c>
      <c r="AY40" s="6" t="s">
        <v>151</v>
      </c>
      <c r="AZ40" s="10">
        <v>1</v>
      </c>
      <c r="BA40" s="6" t="s">
        <v>87</v>
      </c>
      <c r="BB40" s="10">
        <v>5500</v>
      </c>
      <c r="BC40" s="4">
        <v>5500</v>
      </c>
    </row>
    <row r="41" spans="1:55" x14ac:dyDescent="0.35">
      <c r="A41" s="38" t="str">
        <v>NCGK0012</v>
      </c>
      <c r="B41" s="31" t="str">
        <f t="shared" si="0"/>
        <v>HAND GLOVES NITRILE SIZE L</v>
      </c>
      <c r="C41" s="31" t="str">
        <f t="shared" si="1"/>
        <v>NCG</v>
      </c>
      <c r="D41" s="39" t="str">
        <f t="shared" si="2"/>
        <v>pack</v>
      </c>
      <c r="E41" s="40">
        <f t="shared" si="3"/>
        <v>41904.8194</v>
      </c>
      <c r="F41" s="48">
        <f t="shared" si="4"/>
        <v>11</v>
      </c>
      <c r="G41" s="48">
        <f t="shared" si="5"/>
        <v>11</v>
      </c>
      <c r="H41" s="48">
        <f t="shared" si="6"/>
        <v>0</v>
      </c>
      <c r="I41" s="47">
        <f t="shared" si="7"/>
        <v>0</v>
      </c>
      <c r="J41" s="39" t="str">
        <f t="shared" si="8"/>
        <v>Tidak Ada Perubahan</v>
      </c>
      <c r="K41" s="72" t="s">
        <v>1176</v>
      </c>
      <c r="O41" s="86" t="s">
        <v>21</v>
      </c>
      <c r="P41" s="87" t="s">
        <v>11</v>
      </c>
      <c r="Q41" t="s">
        <v>610</v>
      </c>
      <c r="V41" s="4"/>
      <c r="X41" s="3" t="s">
        <v>620</v>
      </c>
      <c r="Y41" t="s">
        <v>621</v>
      </c>
      <c r="Z41" t="s">
        <v>151</v>
      </c>
      <c r="AA41" s="10">
        <v>1</v>
      </c>
      <c r="AB41" t="s">
        <v>20</v>
      </c>
      <c r="AC41" s="10">
        <v>76468</v>
      </c>
      <c r="AD41" s="4">
        <v>76468</v>
      </c>
      <c r="AF41" s="82" t="s">
        <v>1</v>
      </c>
      <c r="AG41" s="83"/>
      <c r="AH41" s="83"/>
      <c r="AI41" s="83"/>
      <c r="AJ41" s="83"/>
      <c r="AK41" s="18"/>
      <c r="AL41" s="18"/>
      <c r="AM41" s="19"/>
      <c r="AO41" s="20" t="s">
        <v>130</v>
      </c>
      <c r="AP41" s="18" t="s">
        <v>131</v>
      </c>
      <c r="AQ41" s="18" t="s">
        <v>123</v>
      </c>
      <c r="AR41" s="21">
        <v>37</v>
      </c>
      <c r="AS41" s="18" t="s">
        <v>5</v>
      </c>
      <c r="AT41" s="21">
        <v>6355.4429513513523</v>
      </c>
      <c r="AU41" s="19">
        <v>235151.38920000001</v>
      </c>
      <c r="AW41" s="5" t="s">
        <v>620</v>
      </c>
      <c r="AX41" s="6" t="s">
        <v>621</v>
      </c>
      <c r="AY41" s="6" t="s">
        <v>151</v>
      </c>
      <c r="AZ41" s="10">
        <v>1</v>
      </c>
      <c r="BA41" s="6" t="s">
        <v>20</v>
      </c>
      <c r="BB41" s="10">
        <v>76468</v>
      </c>
      <c r="BC41" s="4">
        <v>76468</v>
      </c>
    </row>
    <row r="42" spans="1:55" x14ac:dyDescent="0.35">
      <c r="A42" s="38" t="str">
        <v>NCGS0001</v>
      </c>
      <c r="B42" s="31" t="str">
        <f t="shared" si="0"/>
        <v>TISSUE COCKTAIL NAPKIN 11x11 (48 PACK)</v>
      </c>
      <c r="C42" s="31" t="str">
        <f t="shared" si="1"/>
        <v>NCG</v>
      </c>
      <c r="D42" s="39" t="str">
        <f t="shared" si="2"/>
        <v>pack</v>
      </c>
      <c r="E42" s="40">
        <f t="shared" si="3"/>
        <v>4604.1441320000004</v>
      </c>
      <c r="F42" s="48">
        <f t="shared" si="4"/>
        <v>95</v>
      </c>
      <c r="G42" s="48">
        <f t="shared" si="5"/>
        <v>116</v>
      </c>
      <c r="H42" s="48">
        <f t="shared" si="6"/>
        <v>21</v>
      </c>
      <c r="I42" s="47">
        <f t="shared" si="7"/>
        <v>96687.026772000012</v>
      </c>
      <c r="J42" s="39" t="str">
        <f t="shared" si="8"/>
        <v>Kenaikan IU</v>
      </c>
      <c r="K42" s="72" t="s">
        <v>1177</v>
      </c>
      <c r="O42" s="86" t="s">
        <v>26</v>
      </c>
      <c r="P42" s="87" t="s">
        <v>11</v>
      </c>
      <c r="Q42" t="s">
        <v>622</v>
      </c>
      <c r="V42" s="4"/>
      <c r="X42" s="3" t="s">
        <v>154</v>
      </c>
      <c r="Y42" t="s">
        <v>155</v>
      </c>
      <c r="Z42" t="s">
        <v>151</v>
      </c>
      <c r="AA42" s="10">
        <v>120</v>
      </c>
      <c r="AB42" t="s">
        <v>20</v>
      </c>
      <c r="AC42" s="10">
        <v>928.43697499999996</v>
      </c>
      <c r="AD42" s="4">
        <v>111412.43700000001</v>
      </c>
      <c r="AF42" s="20"/>
      <c r="AG42" s="18"/>
      <c r="AH42" s="18"/>
      <c r="AI42" s="18"/>
      <c r="AJ42" s="18"/>
      <c r="AK42" s="18"/>
      <c r="AL42" s="18"/>
      <c r="AM42" s="19"/>
      <c r="AO42" s="20" t="s">
        <v>132</v>
      </c>
      <c r="AP42" s="18" t="s">
        <v>133</v>
      </c>
      <c r="AQ42" s="18" t="s">
        <v>123</v>
      </c>
      <c r="AR42" s="21">
        <v>24</v>
      </c>
      <c r="AS42" s="18" t="s">
        <v>134</v>
      </c>
      <c r="AT42" s="21">
        <v>12980.537438915771</v>
      </c>
      <c r="AU42" s="19">
        <v>311532.89853399998</v>
      </c>
      <c r="AW42" s="5" t="s">
        <v>154</v>
      </c>
      <c r="AX42" s="6" t="s">
        <v>155</v>
      </c>
      <c r="AY42" s="6" t="s">
        <v>151</v>
      </c>
      <c r="AZ42" s="10">
        <v>120</v>
      </c>
      <c r="BA42" s="6" t="s">
        <v>20</v>
      </c>
      <c r="BB42" s="10">
        <v>928.43697499999996</v>
      </c>
      <c r="BC42" s="4">
        <v>111412.43700000001</v>
      </c>
    </row>
    <row r="43" spans="1:55" x14ac:dyDescent="0.35">
      <c r="A43" s="38" t="str">
        <v>NCGS0002</v>
      </c>
      <c r="B43" s="31" t="str">
        <f t="shared" si="0"/>
        <v>TUSUK GIGI ION @ 500 PCS</v>
      </c>
      <c r="C43" s="31" t="str">
        <f t="shared" si="1"/>
        <v>NCG</v>
      </c>
      <c r="D43" s="39" t="str">
        <f t="shared" si="2"/>
        <v>pack</v>
      </c>
      <c r="E43" s="40">
        <f t="shared" si="3"/>
        <v>15000</v>
      </c>
      <c r="F43" s="48">
        <f t="shared" si="4"/>
        <v>2</v>
      </c>
      <c r="G43" s="48">
        <f t="shared" si="5"/>
        <v>3</v>
      </c>
      <c r="H43" s="48">
        <f t="shared" si="6"/>
        <v>1</v>
      </c>
      <c r="I43" s="47">
        <f t="shared" si="7"/>
        <v>15000</v>
      </c>
      <c r="J43" s="39" t="str">
        <f t="shared" si="8"/>
        <v>Kenaikan IU</v>
      </c>
      <c r="K43" s="72" t="s">
        <v>1177</v>
      </c>
      <c r="O43" s="86" t="s">
        <v>31</v>
      </c>
      <c r="P43" s="87" t="s">
        <v>11</v>
      </c>
      <c r="Q43" t="s">
        <v>186</v>
      </c>
      <c r="V43" s="4"/>
      <c r="X43" s="3" t="s">
        <v>423</v>
      </c>
      <c r="Y43" t="s">
        <v>424</v>
      </c>
      <c r="Z43" t="s">
        <v>151</v>
      </c>
      <c r="AA43" s="10">
        <v>2</v>
      </c>
      <c r="AB43" t="s">
        <v>20</v>
      </c>
      <c r="AC43" s="10">
        <v>4950</v>
      </c>
      <c r="AD43" s="4">
        <v>9900</v>
      </c>
      <c r="AF43" s="82" t="s">
        <v>10</v>
      </c>
      <c r="AG43" s="83" t="s">
        <v>11</v>
      </c>
      <c r="AH43" s="18" t="s">
        <v>873</v>
      </c>
      <c r="AI43" s="18"/>
      <c r="AJ43" s="18"/>
      <c r="AK43" s="18"/>
      <c r="AL43" s="18"/>
      <c r="AM43" s="19"/>
      <c r="AO43" s="20" t="s">
        <v>135</v>
      </c>
      <c r="AP43" s="18" t="s">
        <v>136</v>
      </c>
      <c r="AQ43" s="18" t="s">
        <v>123</v>
      </c>
      <c r="AR43" s="21">
        <v>31</v>
      </c>
      <c r="AS43" s="18" t="s">
        <v>5</v>
      </c>
      <c r="AT43" s="21">
        <v>5726.846147368421</v>
      </c>
      <c r="AU43" s="19">
        <v>177532.230568</v>
      </c>
      <c r="AW43" s="5" t="s">
        <v>423</v>
      </c>
      <c r="AX43" s="6" t="s">
        <v>424</v>
      </c>
      <c r="AY43" s="6" t="s">
        <v>151</v>
      </c>
      <c r="AZ43" s="10">
        <v>2</v>
      </c>
      <c r="BA43" s="6" t="s">
        <v>20</v>
      </c>
      <c r="BB43" s="10">
        <v>4950</v>
      </c>
      <c r="BC43" s="4">
        <v>9900</v>
      </c>
    </row>
    <row r="44" spans="1:55" x14ac:dyDescent="0.35">
      <c r="A44" s="38" t="str">
        <v>OTH00060</v>
      </c>
      <c r="B44" s="31" t="str">
        <f t="shared" si="0"/>
        <v>BODREX</v>
      </c>
      <c r="C44" s="31" t="str">
        <f t="shared" si="1"/>
        <v>OTHERS</v>
      </c>
      <c r="D44" s="39" t="str">
        <f t="shared" si="2"/>
        <v>str</v>
      </c>
      <c r="E44" s="40">
        <f t="shared" si="3"/>
        <v>5500</v>
      </c>
      <c r="F44" s="48">
        <f t="shared" si="4"/>
        <v>1</v>
      </c>
      <c r="G44" s="48">
        <f t="shared" si="5"/>
        <v>0.3</v>
      </c>
      <c r="H44" s="48">
        <f t="shared" si="6"/>
        <v>-0.7</v>
      </c>
      <c r="I44" s="47">
        <f t="shared" si="7"/>
        <v>-3849.9999999999995</v>
      </c>
      <c r="J44" s="39" t="str">
        <f t="shared" si="8"/>
        <v>Penurunan IU</v>
      </c>
      <c r="K44" s="72" t="s">
        <v>1178</v>
      </c>
      <c r="O44" s="86" t="s">
        <v>35</v>
      </c>
      <c r="P44" s="87" t="s">
        <v>11</v>
      </c>
      <c r="Q44" t="s">
        <v>623</v>
      </c>
      <c r="V44" s="4"/>
      <c r="X44" s="3" t="s">
        <v>274</v>
      </c>
      <c r="Y44" t="s">
        <v>275</v>
      </c>
      <c r="Z44" t="s">
        <v>151</v>
      </c>
      <c r="AA44" s="10">
        <v>1</v>
      </c>
      <c r="AB44" t="s">
        <v>160</v>
      </c>
      <c r="AC44" s="10">
        <v>21200</v>
      </c>
      <c r="AD44" s="4">
        <v>21200</v>
      </c>
      <c r="AF44" s="82" t="s">
        <v>16</v>
      </c>
      <c r="AG44" s="83" t="s">
        <v>11</v>
      </c>
      <c r="AH44" s="18" t="s">
        <v>211</v>
      </c>
      <c r="AI44" s="18"/>
      <c r="AJ44" s="18"/>
      <c r="AK44" s="18"/>
      <c r="AL44" s="18"/>
      <c r="AM44" s="19"/>
      <c r="AO44" s="20" t="s">
        <v>137</v>
      </c>
      <c r="AP44" s="18" t="s">
        <v>138</v>
      </c>
      <c r="AQ44" s="18" t="s">
        <v>123</v>
      </c>
      <c r="AR44" s="21">
        <v>27</v>
      </c>
      <c r="AS44" s="18" t="s">
        <v>5</v>
      </c>
      <c r="AT44" s="21">
        <v>16093.904642105264</v>
      </c>
      <c r="AU44" s="19">
        <v>434535.42533699999</v>
      </c>
      <c r="AW44" s="5" t="s">
        <v>274</v>
      </c>
      <c r="AX44" s="6" t="s">
        <v>275</v>
      </c>
      <c r="AY44" s="6" t="s">
        <v>151</v>
      </c>
      <c r="AZ44" s="10">
        <v>1</v>
      </c>
      <c r="BA44" s="6" t="s">
        <v>160</v>
      </c>
      <c r="BB44" s="10">
        <v>21200</v>
      </c>
      <c r="BC44" s="4">
        <v>21200</v>
      </c>
    </row>
    <row r="45" spans="1:55" x14ac:dyDescent="0.35">
      <c r="A45" s="38" t="str">
        <v>OTH00062</v>
      </c>
      <c r="B45" s="31" t="str">
        <f t="shared" si="0"/>
        <v>RAKET NYAMUK</v>
      </c>
      <c r="C45" s="31" t="str">
        <f t="shared" si="1"/>
        <v>OTHERS</v>
      </c>
      <c r="D45" s="39" t="str">
        <f t="shared" si="2"/>
        <v>pcs</v>
      </c>
      <c r="E45" s="40">
        <f t="shared" si="3"/>
        <v>76468</v>
      </c>
      <c r="F45" s="48">
        <f t="shared" si="4"/>
        <v>1</v>
      </c>
      <c r="G45" s="48" t="str">
        <f t="shared" si="5"/>
        <v>0</v>
      </c>
      <c r="H45" s="48">
        <f t="shared" si="6"/>
        <v>-1</v>
      </c>
      <c r="I45" s="47">
        <f t="shared" si="7"/>
        <v>-76468</v>
      </c>
      <c r="J45" s="39" t="str">
        <f t="shared" si="8"/>
        <v>Penurunan IU</v>
      </c>
      <c r="K45" s="72" t="s">
        <v>1179</v>
      </c>
      <c r="O45" s="3"/>
      <c r="V45" s="4"/>
      <c r="X45" s="3" t="s">
        <v>161</v>
      </c>
      <c r="Y45" t="s">
        <v>162</v>
      </c>
      <c r="Z45" t="s">
        <v>151</v>
      </c>
      <c r="AA45">
        <v>23</v>
      </c>
      <c r="AB45" t="s">
        <v>5</v>
      </c>
      <c r="AC45">
        <v>250</v>
      </c>
      <c r="AD45" s="4">
        <v>5750</v>
      </c>
      <c r="AF45" s="82" t="s">
        <v>21</v>
      </c>
      <c r="AG45" s="83" t="s">
        <v>11</v>
      </c>
      <c r="AH45" s="18" t="s">
        <v>610</v>
      </c>
      <c r="AI45" s="18"/>
      <c r="AJ45" s="18"/>
      <c r="AK45" s="18"/>
      <c r="AL45" s="18"/>
      <c r="AM45" s="19"/>
      <c r="AO45" s="20" t="s">
        <v>141</v>
      </c>
      <c r="AP45" s="18" t="s">
        <v>142</v>
      </c>
      <c r="AQ45" s="18" t="s">
        <v>123</v>
      </c>
      <c r="AR45" s="21">
        <v>11</v>
      </c>
      <c r="AS45" s="18" t="s">
        <v>5</v>
      </c>
      <c r="AT45" s="21">
        <v>42358.305025000001</v>
      </c>
      <c r="AU45" s="19">
        <v>465941.35527499998</v>
      </c>
      <c r="AW45" s="5" t="s">
        <v>161</v>
      </c>
      <c r="AX45" s="6" t="s">
        <v>162</v>
      </c>
      <c r="AY45" s="6" t="s">
        <v>151</v>
      </c>
      <c r="AZ45" s="6">
        <v>23</v>
      </c>
      <c r="BA45" s="6" t="s">
        <v>5</v>
      </c>
      <c r="BB45" s="6">
        <v>250</v>
      </c>
      <c r="BC45" s="4">
        <v>5750</v>
      </c>
    </row>
    <row r="46" spans="1:55" x14ac:dyDescent="0.35">
      <c r="A46" s="38" t="str">
        <v>OTH00064</v>
      </c>
      <c r="B46" s="31" t="str">
        <f t="shared" si="0"/>
        <v>LILIN MEJA / TEALIGHT</v>
      </c>
      <c r="C46" s="31" t="str">
        <f t="shared" si="1"/>
        <v>OTHERS</v>
      </c>
      <c r="D46" s="39" t="str">
        <f t="shared" si="2"/>
        <v>pcs</v>
      </c>
      <c r="E46" s="40">
        <f t="shared" si="3"/>
        <v>928.43697499999996</v>
      </c>
      <c r="F46" s="48">
        <f t="shared" si="4"/>
        <v>120</v>
      </c>
      <c r="G46" s="48">
        <f t="shared" si="5"/>
        <v>120</v>
      </c>
      <c r="H46" s="48">
        <f t="shared" si="6"/>
        <v>0</v>
      </c>
      <c r="I46" s="47">
        <f t="shared" si="7"/>
        <v>0</v>
      </c>
      <c r="J46" s="39" t="str">
        <f t="shared" si="8"/>
        <v>Tidak Ada Perubahan</v>
      </c>
      <c r="K46" s="72" t="s">
        <v>1180</v>
      </c>
      <c r="O46" s="3" t="s">
        <v>42</v>
      </c>
      <c r="P46" t="s">
        <v>43</v>
      </c>
      <c r="Q46" t="s">
        <v>44</v>
      </c>
      <c r="R46" t="s">
        <v>45</v>
      </c>
      <c r="S46" t="s">
        <v>46</v>
      </c>
      <c r="T46" t="s">
        <v>47</v>
      </c>
      <c r="U46" t="s">
        <v>48</v>
      </c>
      <c r="V46" s="4" t="s">
        <v>49</v>
      </c>
      <c r="X46" s="3" t="s">
        <v>65</v>
      </c>
      <c r="Y46" t="s">
        <v>66</v>
      </c>
      <c r="Z46" t="s">
        <v>67</v>
      </c>
      <c r="AA46" s="10">
        <v>15</v>
      </c>
      <c r="AB46" t="s">
        <v>20</v>
      </c>
      <c r="AC46" s="10">
        <v>320</v>
      </c>
      <c r="AD46" s="4">
        <v>4800</v>
      </c>
      <c r="AF46" s="82" t="s">
        <v>26</v>
      </c>
      <c r="AG46" s="83" t="s">
        <v>11</v>
      </c>
      <c r="AH46" s="18" t="s">
        <v>874</v>
      </c>
      <c r="AI46" s="18"/>
      <c r="AJ46" s="18"/>
      <c r="AK46" s="18"/>
      <c r="AL46" s="18"/>
      <c r="AM46" s="19"/>
      <c r="AO46" s="20" t="s">
        <v>145</v>
      </c>
      <c r="AP46" s="18" t="s">
        <v>146</v>
      </c>
      <c r="AQ46" s="18" t="s">
        <v>123</v>
      </c>
      <c r="AR46" s="21">
        <v>116</v>
      </c>
      <c r="AS46" s="18" t="s">
        <v>5</v>
      </c>
      <c r="AT46" s="21">
        <v>4604.1441999999997</v>
      </c>
      <c r="AU46" s="19">
        <v>534080.72719999996</v>
      </c>
      <c r="AW46" s="5" t="s">
        <v>65</v>
      </c>
      <c r="AX46" s="6" t="s">
        <v>66</v>
      </c>
      <c r="AY46" s="6" t="s">
        <v>67</v>
      </c>
      <c r="AZ46" s="10">
        <v>15</v>
      </c>
      <c r="BA46" s="6" t="s">
        <v>20</v>
      </c>
      <c r="BB46" s="10">
        <v>320</v>
      </c>
      <c r="BC46" s="4">
        <v>4800</v>
      </c>
    </row>
    <row r="47" spans="1:55" x14ac:dyDescent="0.35">
      <c r="A47" s="38" t="str">
        <v>OTH00098</v>
      </c>
      <c r="B47" s="31" t="str">
        <f t="shared" si="0"/>
        <v>TEMPAT LILIN KRISTAL BENING</v>
      </c>
      <c r="C47" s="31" t="str">
        <f t="shared" si="1"/>
        <v>OTHERS</v>
      </c>
      <c r="D47" s="39" t="str">
        <f t="shared" si="2"/>
        <v>pcs</v>
      </c>
      <c r="E47" s="40">
        <f t="shared" si="3"/>
        <v>4950</v>
      </c>
      <c r="F47" s="48">
        <f t="shared" si="4"/>
        <v>2</v>
      </c>
      <c r="G47" s="48">
        <f t="shared" si="5"/>
        <v>2</v>
      </c>
      <c r="H47" s="48">
        <f t="shared" si="6"/>
        <v>0</v>
      </c>
      <c r="I47" s="47">
        <f t="shared" si="7"/>
        <v>0</v>
      </c>
      <c r="J47" s="39" t="str">
        <f t="shared" si="8"/>
        <v>Tidak Ada Perubahan</v>
      </c>
      <c r="K47" s="72" t="s">
        <v>1181</v>
      </c>
      <c r="O47" s="3">
        <v>1</v>
      </c>
      <c r="P47" t="s">
        <v>115</v>
      </c>
      <c r="Q47" t="s">
        <v>116</v>
      </c>
      <c r="R47" t="s">
        <v>117</v>
      </c>
      <c r="S47" s="10">
        <v>986</v>
      </c>
      <c r="T47" t="s">
        <v>52</v>
      </c>
      <c r="U47" s="10">
        <v>628.51250000000005</v>
      </c>
      <c r="V47" s="4">
        <v>619713.32499999995</v>
      </c>
      <c r="X47" s="3" t="s">
        <v>230</v>
      </c>
      <c r="Y47" t="s">
        <v>231</v>
      </c>
      <c r="Z47" t="s">
        <v>67</v>
      </c>
      <c r="AA47" s="10">
        <v>1</v>
      </c>
      <c r="AB47" t="s">
        <v>5</v>
      </c>
      <c r="AC47" s="10">
        <v>13654.1667</v>
      </c>
      <c r="AD47" s="4">
        <v>13654.1667</v>
      </c>
      <c r="AF47" s="82" t="s">
        <v>31</v>
      </c>
      <c r="AG47" s="83" t="s">
        <v>11</v>
      </c>
      <c r="AH47" s="18" t="s">
        <v>198</v>
      </c>
      <c r="AI47" s="18"/>
      <c r="AJ47" s="18"/>
      <c r="AK47" s="18"/>
      <c r="AL47" s="18"/>
      <c r="AM47" s="19"/>
      <c r="AO47" s="20" t="s">
        <v>147</v>
      </c>
      <c r="AP47" s="18" t="s">
        <v>148</v>
      </c>
      <c r="AQ47" s="18" t="s">
        <v>123</v>
      </c>
      <c r="AR47" s="21">
        <v>3</v>
      </c>
      <c r="AS47" s="18" t="s">
        <v>5</v>
      </c>
      <c r="AT47" s="21">
        <v>15000</v>
      </c>
      <c r="AU47" s="19">
        <v>45000</v>
      </c>
      <c r="AW47" s="5" t="s">
        <v>230</v>
      </c>
      <c r="AX47" s="6" t="s">
        <v>231</v>
      </c>
      <c r="AY47" s="6" t="s">
        <v>67</v>
      </c>
      <c r="AZ47" s="10">
        <v>1</v>
      </c>
      <c r="BA47" s="6" t="s">
        <v>5</v>
      </c>
      <c r="BB47" s="10">
        <v>13654.1667</v>
      </c>
      <c r="BC47" s="4">
        <v>13654.1667</v>
      </c>
    </row>
    <row r="48" spans="1:55" x14ac:dyDescent="0.35">
      <c r="A48" s="38" t="str">
        <v>OTH00105</v>
      </c>
      <c r="B48" s="31" t="str">
        <f t="shared" si="0"/>
        <v>MASKER MEDIS</v>
      </c>
      <c r="C48" s="31" t="str">
        <f t="shared" si="1"/>
        <v>OTHERS</v>
      </c>
      <c r="D48" s="39" t="str">
        <f t="shared" si="2"/>
        <v>box</v>
      </c>
      <c r="E48" s="40">
        <f t="shared" si="3"/>
        <v>21200</v>
      </c>
      <c r="F48" s="48">
        <f t="shared" si="4"/>
        <v>1</v>
      </c>
      <c r="G48" s="48" t="str">
        <f t="shared" si="5"/>
        <v>0</v>
      </c>
      <c r="H48" s="48">
        <f t="shared" si="6"/>
        <v>-1</v>
      </c>
      <c r="I48" s="47">
        <f t="shared" si="7"/>
        <v>-21200</v>
      </c>
      <c r="J48" s="39" t="str">
        <f t="shared" si="8"/>
        <v>Penurunan IU</v>
      </c>
      <c r="K48" s="72" t="s">
        <v>1182</v>
      </c>
      <c r="O48" s="3">
        <v>2</v>
      </c>
      <c r="P48" t="s">
        <v>615</v>
      </c>
      <c r="Q48" t="s">
        <v>616</v>
      </c>
      <c r="R48" t="s">
        <v>117</v>
      </c>
      <c r="S48" s="10">
        <v>1</v>
      </c>
      <c r="T48" t="s">
        <v>20</v>
      </c>
      <c r="U48" s="10">
        <v>3929.5</v>
      </c>
      <c r="V48" s="4">
        <v>3929.5</v>
      </c>
      <c r="X48" s="3" t="s">
        <v>509</v>
      </c>
      <c r="Y48" t="s">
        <v>510</v>
      </c>
      <c r="Z48" t="s">
        <v>67</v>
      </c>
      <c r="AA48" s="10">
        <v>1</v>
      </c>
      <c r="AB48" t="s">
        <v>5</v>
      </c>
      <c r="AC48" s="10">
        <v>6250</v>
      </c>
      <c r="AD48" s="4">
        <v>6250</v>
      </c>
      <c r="AF48" s="82" t="s">
        <v>35</v>
      </c>
      <c r="AG48" s="83" t="s">
        <v>11</v>
      </c>
      <c r="AH48" s="18" t="s">
        <v>875</v>
      </c>
      <c r="AI48" s="18"/>
      <c r="AJ48" s="18"/>
      <c r="AK48" s="18"/>
      <c r="AL48" s="18"/>
      <c r="AM48" s="19"/>
      <c r="AO48" s="20" t="s">
        <v>418</v>
      </c>
      <c r="AP48" s="18" t="s">
        <v>419</v>
      </c>
      <c r="AQ48" s="18" t="s">
        <v>151</v>
      </c>
      <c r="AR48" s="21">
        <v>1</v>
      </c>
      <c r="AS48" s="18" t="s">
        <v>420</v>
      </c>
      <c r="AT48" s="21">
        <v>5333.34</v>
      </c>
      <c r="AU48" s="19">
        <v>5333.34</v>
      </c>
      <c r="AW48" s="5" t="s">
        <v>509</v>
      </c>
      <c r="AX48" s="6" t="s">
        <v>510</v>
      </c>
      <c r="AY48" s="6" t="s">
        <v>67</v>
      </c>
      <c r="AZ48" s="10">
        <v>1</v>
      </c>
      <c r="BA48" s="6" t="s">
        <v>5</v>
      </c>
      <c r="BB48" s="10">
        <v>6250</v>
      </c>
      <c r="BC48" s="4">
        <v>6250</v>
      </c>
    </row>
    <row r="49" spans="1:55" x14ac:dyDescent="0.35">
      <c r="A49" s="38" t="str">
        <v>OTH00151</v>
      </c>
      <c r="B49" s="31" t="str">
        <f t="shared" si="0"/>
        <v>LILIN ULANG TAHUN</v>
      </c>
      <c r="C49" s="31" t="str">
        <f t="shared" si="1"/>
        <v>OTHERS</v>
      </c>
      <c r="D49" s="39" t="str">
        <f t="shared" si="2"/>
        <v>pack</v>
      </c>
      <c r="E49" s="40">
        <f t="shared" si="3"/>
        <v>250</v>
      </c>
      <c r="F49" s="48">
        <f t="shared" si="4"/>
        <v>23</v>
      </c>
      <c r="G49" s="48" t="str">
        <f t="shared" si="5"/>
        <v>0</v>
      </c>
      <c r="H49" s="48">
        <f t="shared" si="6"/>
        <v>-23</v>
      </c>
      <c r="I49" s="47">
        <f t="shared" si="7"/>
        <v>-5750</v>
      </c>
      <c r="J49" s="39" t="str">
        <f t="shared" si="8"/>
        <v>Penurunan IU</v>
      </c>
      <c r="K49" s="72" t="s">
        <v>1183</v>
      </c>
      <c r="O49" s="3">
        <v>3</v>
      </c>
      <c r="P49" t="s">
        <v>318</v>
      </c>
      <c r="Q49" t="s">
        <v>319</v>
      </c>
      <c r="R49" t="s">
        <v>117</v>
      </c>
      <c r="S49" s="10">
        <v>50</v>
      </c>
      <c r="T49" t="s">
        <v>20</v>
      </c>
      <c r="U49" s="10">
        <v>800</v>
      </c>
      <c r="V49" s="4">
        <v>40000</v>
      </c>
      <c r="X49" s="3" t="s">
        <v>72</v>
      </c>
      <c r="Y49" t="s">
        <v>73</v>
      </c>
      <c r="Z49" t="s">
        <v>67</v>
      </c>
      <c r="AA49" s="10">
        <v>6</v>
      </c>
      <c r="AB49" t="s">
        <v>74</v>
      </c>
      <c r="AC49" s="10">
        <v>3000</v>
      </c>
      <c r="AD49" s="4">
        <v>18000</v>
      </c>
      <c r="AF49" s="20"/>
      <c r="AG49" s="18"/>
      <c r="AH49" s="18"/>
      <c r="AI49" s="18"/>
      <c r="AJ49" s="18"/>
      <c r="AK49" s="18"/>
      <c r="AL49" s="18"/>
      <c r="AM49" s="19"/>
      <c r="AO49" s="20" t="s">
        <v>268</v>
      </c>
      <c r="AP49" s="18" t="s">
        <v>269</v>
      </c>
      <c r="AQ49" s="18" t="s">
        <v>151</v>
      </c>
      <c r="AR49" s="21">
        <v>0.3</v>
      </c>
      <c r="AS49" s="18" t="s">
        <v>87</v>
      </c>
      <c r="AT49" s="21">
        <v>4500</v>
      </c>
      <c r="AU49" s="19">
        <v>1350</v>
      </c>
      <c r="AW49" s="5" t="s">
        <v>72</v>
      </c>
      <c r="AX49" s="6" t="s">
        <v>73</v>
      </c>
      <c r="AY49" s="6" t="s">
        <v>67</v>
      </c>
      <c r="AZ49" s="10">
        <v>6</v>
      </c>
      <c r="BA49" s="6" t="s">
        <v>74</v>
      </c>
      <c r="BB49" s="10">
        <v>3000</v>
      </c>
      <c r="BC49" s="4">
        <v>18000</v>
      </c>
    </row>
    <row r="50" spans="1:55" x14ac:dyDescent="0.35">
      <c r="A50" s="38" t="str">
        <v>STA00003</v>
      </c>
      <c r="B50" s="31" t="str">
        <f t="shared" si="0"/>
        <v>AMPLOP COKLAT</v>
      </c>
      <c r="C50" s="31" t="str">
        <f t="shared" si="1"/>
        <v>STATIONARY AND OFFICE SUPPLIES</v>
      </c>
      <c r="D50" s="39" t="str">
        <f t="shared" si="2"/>
        <v>pcs</v>
      </c>
      <c r="E50" s="40">
        <f t="shared" si="3"/>
        <v>320</v>
      </c>
      <c r="F50" s="48">
        <f t="shared" si="4"/>
        <v>15</v>
      </c>
      <c r="G50" s="48">
        <f t="shared" si="5"/>
        <v>9</v>
      </c>
      <c r="H50" s="48">
        <f t="shared" si="6"/>
        <v>-6</v>
      </c>
      <c r="I50" s="47">
        <f t="shared" si="7"/>
        <v>-1920</v>
      </c>
      <c r="J50" s="39" t="str">
        <f t="shared" si="8"/>
        <v>Penurunan IU</v>
      </c>
      <c r="K50" s="72" t="s">
        <v>1184</v>
      </c>
      <c r="O50" s="3">
        <v>4</v>
      </c>
      <c r="P50" t="s">
        <v>617</v>
      </c>
      <c r="Q50" t="s">
        <v>618</v>
      </c>
      <c r="R50" t="s">
        <v>120</v>
      </c>
      <c r="S50" s="10">
        <v>1</v>
      </c>
      <c r="T50" t="s">
        <v>20</v>
      </c>
      <c r="U50" s="10">
        <v>200000</v>
      </c>
      <c r="V50" s="4">
        <v>200000</v>
      </c>
      <c r="X50" s="3" t="s">
        <v>79</v>
      </c>
      <c r="Y50" t="s">
        <v>80</v>
      </c>
      <c r="Z50" t="s">
        <v>67</v>
      </c>
      <c r="AA50" s="10">
        <v>1</v>
      </c>
      <c r="AB50" t="s">
        <v>20</v>
      </c>
      <c r="AC50" s="10">
        <v>15000</v>
      </c>
      <c r="AD50" s="4">
        <v>15000</v>
      </c>
      <c r="AF50" s="20" t="s">
        <v>42</v>
      </c>
      <c r="AG50" s="18" t="s">
        <v>43</v>
      </c>
      <c r="AH50" s="18" t="s">
        <v>44</v>
      </c>
      <c r="AI50" s="18" t="s">
        <v>45</v>
      </c>
      <c r="AJ50" s="18" t="s">
        <v>46</v>
      </c>
      <c r="AK50" s="18" t="s">
        <v>47</v>
      </c>
      <c r="AL50" s="18" t="s">
        <v>48</v>
      </c>
      <c r="AM50" s="19" t="s">
        <v>49</v>
      </c>
      <c r="AO50" s="20" t="s">
        <v>154</v>
      </c>
      <c r="AP50" s="18" t="s">
        <v>155</v>
      </c>
      <c r="AQ50" s="18" t="s">
        <v>151</v>
      </c>
      <c r="AR50" s="21">
        <v>120</v>
      </c>
      <c r="AS50" s="18" t="s">
        <v>20</v>
      </c>
      <c r="AT50" s="21">
        <v>955.78056666666703</v>
      </c>
      <c r="AU50" s="19">
        <v>114693.66800000001</v>
      </c>
      <c r="AW50" s="5" t="s">
        <v>79</v>
      </c>
      <c r="AX50" s="6" t="s">
        <v>80</v>
      </c>
      <c r="AY50" s="6" t="s">
        <v>67</v>
      </c>
      <c r="AZ50" s="10">
        <v>1</v>
      </c>
      <c r="BA50" s="6" t="s">
        <v>20</v>
      </c>
      <c r="BB50" s="10">
        <v>15000</v>
      </c>
      <c r="BC50" s="4">
        <v>15000</v>
      </c>
    </row>
    <row r="51" spans="1:55" x14ac:dyDescent="0.35">
      <c r="A51" s="38" t="str">
        <v>STA00020</v>
      </c>
      <c r="B51" s="31" t="str">
        <f t="shared" si="0"/>
        <v>BATERAI AA</v>
      </c>
      <c r="C51" s="31" t="str">
        <f t="shared" si="1"/>
        <v>STATIONARY AND OFFICE SUPPLIES</v>
      </c>
      <c r="D51" s="39" t="str">
        <f t="shared" si="2"/>
        <v>pack</v>
      </c>
      <c r="E51" s="40">
        <f t="shared" si="3"/>
        <v>13654.1667</v>
      </c>
      <c r="F51" s="48">
        <f t="shared" si="4"/>
        <v>1</v>
      </c>
      <c r="G51" s="48" t="str">
        <f t="shared" si="5"/>
        <v>0</v>
      </c>
      <c r="H51" s="48">
        <f t="shared" si="6"/>
        <v>-1</v>
      </c>
      <c r="I51" s="47">
        <f t="shared" si="7"/>
        <v>-13654.1667</v>
      </c>
      <c r="J51" s="39" t="str">
        <f t="shared" si="8"/>
        <v>Penurunan IU</v>
      </c>
      <c r="K51" s="72" t="s">
        <v>1184</v>
      </c>
      <c r="O51" s="3">
        <v>5</v>
      </c>
      <c r="P51" t="s">
        <v>576</v>
      </c>
      <c r="Q51" t="s">
        <v>577</v>
      </c>
      <c r="R51" t="s">
        <v>120</v>
      </c>
      <c r="S51" s="10">
        <v>1</v>
      </c>
      <c r="T51" t="s">
        <v>20</v>
      </c>
      <c r="U51" s="10">
        <v>85000</v>
      </c>
      <c r="V51" s="4">
        <v>85000</v>
      </c>
      <c r="X51" s="3" t="s">
        <v>236</v>
      </c>
      <c r="Y51" t="s">
        <v>237</v>
      </c>
      <c r="Z51" t="s">
        <v>67</v>
      </c>
      <c r="AA51" s="10">
        <v>1</v>
      </c>
      <c r="AB51" t="s">
        <v>20</v>
      </c>
      <c r="AC51" s="10">
        <v>7500</v>
      </c>
      <c r="AD51" s="4">
        <v>7500</v>
      </c>
      <c r="AF51" s="20">
        <v>1</v>
      </c>
      <c r="AG51" s="18" t="s">
        <v>876</v>
      </c>
      <c r="AH51" s="18" t="s">
        <v>877</v>
      </c>
      <c r="AI51" s="18" t="s">
        <v>165</v>
      </c>
      <c r="AJ51" s="21">
        <v>2</v>
      </c>
      <c r="AK51" s="18" t="s">
        <v>20</v>
      </c>
      <c r="AL51" s="21">
        <v>29023.340000000004</v>
      </c>
      <c r="AM51" s="19">
        <v>58046.68</v>
      </c>
      <c r="AO51" s="20" t="s">
        <v>156</v>
      </c>
      <c r="AP51" s="18" t="s">
        <v>157</v>
      </c>
      <c r="AQ51" s="18" t="s">
        <v>151</v>
      </c>
      <c r="AR51" s="21">
        <v>10</v>
      </c>
      <c r="AS51" s="18" t="s">
        <v>20</v>
      </c>
      <c r="AT51" s="21">
        <v>2704.0281</v>
      </c>
      <c r="AU51" s="19">
        <v>27040.280999999999</v>
      </c>
      <c r="AW51" s="5" t="s">
        <v>236</v>
      </c>
      <c r="AX51" s="6" t="s">
        <v>237</v>
      </c>
      <c r="AY51" s="6" t="s">
        <v>67</v>
      </c>
      <c r="AZ51" s="10">
        <v>1</v>
      </c>
      <c r="BA51" s="6" t="s">
        <v>20</v>
      </c>
      <c r="BB51" s="10">
        <v>7500</v>
      </c>
      <c r="BC51" s="4">
        <v>7500</v>
      </c>
    </row>
    <row r="52" spans="1:55" x14ac:dyDescent="0.35">
      <c r="A52" s="38" t="str">
        <v>STA00024</v>
      </c>
      <c r="B52" s="31" t="str">
        <f t="shared" si="0"/>
        <v>TOM&amp;JERRY 112</v>
      </c>
      <c r="C52" s="31" t="str">
        <f t="shared" si="1"/>
        <v>STATIONARY AND OFFICE SUPPLIES</v>
      </c>
      <c r="D52" s="39" t="str">
        <f t="shared" si="2"/>
        <v>pack</v>
      </c>
      <c r="E52" s="40">
        <f t="shared" si="3"/>
        <v>6250</v>
      </c>
      <c r="F52" s="48">
        <f t="shared" si="4"/>
        <v>1</v>
      </c>
      <c r="G52" s="48" t="str">
        <f t="shared" si="5"/>
        <v>0</v>
      </c>
      <c r="H52" s="48">
        <f t="shared" si="6"/>
        <v>-1</v>
      </c>
      <c r="I52" s="47">
        <f t="shared" si="7"/>
        <v>-6250</v>
      </c>
      <c r="J52" s="39" t="str">
        <f t="shared" si="8"/>
        <v>Penurunan IU</v>
      </c>
      <c r="K52" s="72" t="s">
        <v>1184</v>
      </c>
      <c r="O52" s="3">
        <v>6</v>
      </c>
      <c r="P52" t="s">
        <v>462</v>
      </c>
      <c r="Q52" t="s">
        <v>463</v>
      </c>
      <c r="R52" t="s">
        <v>120</v>
      </c>
      <c r="S52" s="10">
        <v>1</v>
      </c>
      <c r="T52" t="s">
        <v>20</v>
      </c>
      <c r="U52" s="10">
        <v>160000</v>
      </c>
      <c r="V52" s="4">
        <v>160000</v>
      </c>
      <c r="X52" s="3" t="s">
        <v>81</v>
      </c>
      <c r="Y52" t="s">
        <v>82</v>
      </c>
      <c r="Z52" t="s">
        <v>67</v>
      </c>
      <c r="AA52" s="10">
        <v>2</v>
      </c>
      <c r="AB52" t="s">
        <v>20</v>
      </c>
      <c r="AC52" s="10">
        <v>9750</v>
      </c>
      <c r="AD52" s="4">
        <v>19500</v>
      </c>
      <c r="AF52" s="20">
        <v>2</v>
      </c>
      <c r="AG52" s="18" t="s">
        <v>427</v>
      </c>
      <c r="AH52" s="18" t="s">
        <v>428</v>
      </c>
      <c r="AI52" s="18" t="s">
        <v>165</v>
      </c>
      <c r="AJ52" s="21">
        <v>1</v>
      </c>
      <c r="AK52" s="18" t="s">
        <v>20</v>
      </c>
      <c r="AL52" s="21">
        <v>32500</v>
      </c>
      <c r="AM52" s="19">
        <v>32500</v>
      </c>
      <c r="AO52" s="20" t="s">
        <v>272</v>
      </c>
      <c r="AP52" s="18" t="s">
        <v>273</v>
      </c>
      <c r="AQ52" s="18" t="s">
        <v>151</v>
      </c>
      <c r="AR52" s="21">
        <v>1</v>
      </c>
      <c r="AS52" s="18" t="s">
        <v>5</v>
      </c>
      <c r="AT52" s="21">
        <v>5041.9375</v>
      </c>
      <c r="AU52" s="19">
        <v>5041.9375</v>
      </c>
      <c r="AW52" s="5" t="s">
        <v>81</v>
      </c>
      <c r="AX52" s="6" t="s">
        <v>82</v>
      </c>
      <c r="AY52" s="6" t="s">
        <v>67</v>
      </c>
      <c r="AZ52" s="10">
        <v>2</v>
      </c>
      <c r="BA52" s="6" t="s">
        <v>20</v>
      </c>
      <c r="BB52" s="10">
        <v>9750</v>
      </c>
      <c r="BC52" s="4">
        <v>19500</v>
      </c>
    </row>
    <row r="53" spans="1:55" x14ac:dyDescent="0.35">
      <c r="A53" s="38" t="str">
        <v>STA00028</v>
      </c>
      <c r="B53" s="31" t="str">
        <f t="shared" si="0"/>
        <v>SOLATIP KECIL 12 MM</v>
      </c>
      <c r="C53" s="31" t="str">
        <f t="shared" si="1"/>
        <v>STATIONARY AND OFFICE SUPPLIES</v>
      </c>
      <c r="D53" s="39" t="str">
        <f t="shared" si="2"/>
        <v>roll</v>
      </c>
      <c r="E53" s="40">
        <f t="shared" si="3"/>
        <v>3000</v>
      </c>
      <c r="F53" s="48">
        <f t="shared" si="4"/>
        <v>6</v>
      </c>
      <c r="G53" s="48">
        <f t="shared" si="5"/>
        <v>1</v>
      </c>
      <c r="H53" s="48">
        <f t="shared" si="6"/>
        <v>-5</v>
      </c>
      <c r="I53" s="47">
        <f t="shared" si="7"/>
        <v>-15000</v>
      </c>
      <c r="J53" s="39" t="str">
        <f t="shared" si="8"/>
        <v>Penurunan IU</v>
      </c>
      <c r="K53" s="72" t="s">
        <v>1184</v>
      </c>
      <c r="O53" s="3">
        <v>7</v>
      </c>
      <c r="P53" t="s">
        <v>121</v>
      </c>
      <c r="Q53" t="s">
        <v>122</v>
      </c>
      <c r="R53" t="s">
        <v>123</v>
      </c>
      <c r="S53" s="10">
        <v>9</v>
      </c>
      <c r="T53" t="s">
        <v>5</v>
      </c>
      <c r="U53" s="10">
        <v>5000</v>
      </c>
      <c r="V53" s="4">
        <v>45000</v>
      </c>
      <c r="X53" s="3" t="s">
        <v>357</v>
      </c>
      <c r="Y53" t="s">
        <v>358</v>
      </c>
      <c r="Z53" t="s">
        <v>67</v>
      </c>
      <c r="AA53" s="10">
        <v>0.5</v>
      </c>
      <c r="AB53" t="s">
        <v>5</v>
      </c>
      <c r="AC53" s="10">
        <v>32500</v>
      </c>
      <c r="AD53" s="4">
        <v>16250</v>
      </c>
      <c r="AF53" s="20">
        <v>3</v>
      </c>
      <c r="AG53" s="18" t="s">
        <v>286</v>
      </c>
      <c r="AH53" s="18" t="s">
        <v>287</v>
      </c>
      <c r="AI53" s="18" t="s">
        <v>165</v>
      </c>
      <c r="AJ53" s="21">
        <v>1</v>
      </c>
      <c r="AK53" s="18" t="s">
        <v>20</v>
      </c>
      <c r="AL53" s="21">
        <v>43552.173900000002</v>
      </c>
      <c r="AM53" s="19">
        <v>43552.173900000002</v>
      </c>
      <c r="AO53" s="20" t="s">
        <v>423</v>
      </c>
      <c r="AP53" s="18" t="s">
        <v>424</v>
      </c>
      <c r="AQ53" s="18" t="s">
        <v>151</v>
      </c>
      <c r="AR53" s="21">
        <v>2</v>
      </c>
      <c r="AS53" s="18" t="s">
        <v>20</v>
      </c>
      <c r="AT53" s="21">
        <v>4950</v>
      </c>
      <c r="AU53" s="19">
        <v>9900</v>
      </c>
      <c r="AW53" s="5" t="s">
        <v>357</v>
      </c>
      <c r="AX53" s="6" t="s">
        <v>358</v>
      </c>
      <c r="AY53" s="6" t="s">
        <v>67</v>
      </c>
      <c r="AZ53" s="10">
        <v>0.5</v>
      </c>
      <c r="BA53" s="6" t="s">
        <v>5</v>
      </c>
      <c r="BB53" s="10">
        <v>32500</v>
      </c>
      <c r="BC53" s="4">
        <v>16250</v>
      </c>
    </row>
    <row r="54" spans="1:55" x14ac:dyDescent="0.35">
      <c r="A54" s="38" t="str">
        <v>STA00033</v>
      </c>
      <c r="B54" s="31" t="str">
        <f t="shared" si="0"/>
        <v>SPIDOL HACCP</v>
      </c>
      <c r="C54" s="31" t="str">
        <f t="shared" si="1"/>
        <v>STATIONARY AND OFFICE SUPPLIES</v>
      </c>
      <c r="D54" s="39" t="str">
        <f t="shared" si="2"/>
        <v>pcs</v>
      </c>
      <c r="E54" s="40">
        <f t="shared" si="3"/>
        <v>15000</v>
      </c>
      <c r="F54" s="48">
        <f t="shared" si="4"/>
        <v>1</v>
      </c>
      <c r="G54" s="48">
        <f t="shared" si="5"/>
        <v>2</v>
      </c>
      <c r="H54" s="48">
        <f t="shared" si="6"/>
        <v>1</v>
      </c>
      <c r="I54" s="47">
        <f t="shared" si="7"/>
        <v>15000</v>
      </c>
      <c r="J54" s="39" t="str">
        <f t="shared" si="8"/>
        <v>Kenaikan IU</v>
      </c>
      <c r="K54" s="72" t="s">
        <v>1185</v>
      </c>
      <c r="O54" s="3">
        <v>8</v>
      </c>
      <c r="P54" t="s">
        <v>124</v>
      </c>
      <c r="Q54" t="s">
        <v>125</v>
      </c>
      <c r="R54" t="s">
        <v>123</v>
      </c>
      <c r="S54" s="10">
        <v>24</v>
      </c>
      <c r="T54" t="s">
        <v>5</v>
      </c>
      <c r="U54" s="10">
        <v>5497.8689135135137</v>
      </c>
      <c r="V54" s="4">
        <v>131948.853924</v>
      </c>
      <c r="X54" s="3" t="s">
        <v>624</v>
      </c>
      <c r="Y54" t="s">
        <v>625</v>
      </c>
      <c r="Z54" t="s">
        <v>67</v>
      </c>
      <c r="AA54" s="10">
        <v>1.8</v>
      </c>
      <c r="AB54" t="s">
        <v>5</v>
      </c>
      <c r="AC54" s="10">
        <v>13000</v>
      </c>
      <c r="AD54" s="4">
        <v>23400</v>
      </c>
      <c r="AF54" s="20">
        <v>4</v>
      </c>
      <c r="AG54" s="18" t="s">
        <v>878</v>
      </c>
      <c r="AH54" s="18" t="s">
        <v>879</v>
      </c>
      <c r="AI54" s="18" t="s">
        <v>165</v>
      </c>
      <c r="AJ54" s="21">
        <v>1</v>
      </c>
      <c r="AK54" s="18" t="s">
        <v>20</v>
      </c>
      <c r="AL54" s="21">
        <v>38430</v>
      </c>
      <c r="AM54" s="19">
        <v>38430</v>
      </c>
      <c r="AO54" s="20" t="s">
        <v>276</v>
      </c>
      <c r="AP54" s="18" t="s">
        <v>277</v>
      </c>
      <c r="AQ54" s="18" t="s">
        <v>151</v>
      </c>
      <c r="AR54" s="18">
        <v>4</v>
      </c>
      <c r="AS54" s="18" t="s">
        <v>52</v>
      </c>
      <c r="AT54" s="18">
        <v>1756.05</v>
      </c>
      <c r="AU54" s="19">
        <v>7024.2</v>
      </c>
      <c r="AW54" s="5" t="s">
        <v>624</v>
      </c>
      <c r="AX54" s="6" t="s">
        <v>625</v>
      </c>
      <c r="AY54" s="6" t="s">
        <v>67</v>
      </c>
      <c r="AZ54" s="10">
        <v>1.8</v>
      </c>
      <c r="BA54" s="6" t="s">
        <v>5</v>
      </c>
      <c r="BB54" s="10">
        <v>13000</v>
      </c>
      <c r="BC54" s="4">
        <v>23400</v>
      </c>
    </row>
    <row r="55" spans="1:55" x14ac:dyDescent="0.35">
      <c r="A55" s="38" t="str">
        <v>STA00035</v>
      </c>
      <c r="B55" s="31" t="str">
        <f t="shared" si="0"/>
        <v>LAKBAN BENING</v>
      </c>
      <c r="C55" s="31" t="str">
        <f t="shared" si="1"/>
        <v>STATIONARY AND OFFICE SUPPLIES</v>
      </c>
      <c r="D55" s="39" t="str">
        <f t="shared" si="2"/>
        <v>pcs</v>
      </c>
      <c r="E55" s="40">
        <f t="shared" si="3"/>
        <v>7500</v>
      </c>
      <c r="F55" s="48">
        <f t="shared" si="4"/>
        <v>1</v>
      </c>
      <c r="G55" s="48">
        <f t="shared" si="5"/>
        <v>1</v>
      </c>
      <c r="H55" s="48">
        <f t="shared" si="6"/>
        <v>0</v>
      </c>
      <c r="I55" s="47">
        <f t="shared" si="7"/>
        <v>0</v>
      </c>
      <c r="J55" s="39" t="str">
        <f t="shared" si="8"/>
        <v>Tidak Ada Perubahan</v>
      </c>
      <c r="K55" s="72" t="s">
        <v>1184</v>
      </c>
      <c r="O55" s="3">
        <v>9</v>
      </c>
      <c r="P55" t="s">
        <v>126</v>
      </c>
      <c r="Q55" t="s">
        <v>127</v>
      </c>
      <c r="R55" t="s">
        <v>123</v>
      </c>
      <c r="S55" s="10">
        <v>25</v>
      </c>
      <c r="T55" t="s">
        <v>5</v>
      </c>
      <c r="U55" s="10">
        <v>6741.3846666666659</v>
      </c>
      <c r="V55" s="4">
        <v>168534.61666699999</v>
      </c>
      <c r="X55" s="3" t="s">
        <v>359</v>
      </c>
      <c r="Y55" t="s">
        <v>360</v>
      </c>
      <c r="Z55" t="s">
        <v>67</v>
      </c>
      <c r="AA55" s="10">
        <v>0.7</v>
      </c>
      <c r="AB55" t="s">
        <v>216</v>
      </c>
      <c r="AC55" s="10">
        <v>7000</v>
      </c>
      <c r="AD55" s="4">
        <v>4900</v>
      </c>
      <c r="AF55" s="20">
        <v>5</v>
      </c>
      <c r="AG55" s="18" t="s">
        <v>184</v>
      </c>
      <c r="AH55" s="18" t="s">
        <v>185</v>
      </c>
      <c r="AI55" s="18" t="s">
        <v>182</v>
      </c>
      <c r="AJ55" s="21">
        <v>14</v>
      </c>
      <c r="AK55" s="18" t="s">
        <v>20</v>
      </c>
      <c r="AL55" s="21">
        <v>962.55</v>
      </c>
      <c r="AM55" s="19">
        <v>13475.7</v>
      </c>
      <c r="AO55" s="20" t="s">
        <v>2</v>
      </c>
      <c r="AP55" s="18" t="s">
        <v>3</v>
      </c>
      <c r="AQ55" s="18" t="s">
        <v>4</v>
      </c>
      <c r="AR55" s="21">
        <v>7</v>
      </c>
      <c r="AS55" s="18" t="s">
        <v>5</v>
      </c>
      <c r="AT55" s="21">
        <v>21000</v>
      </c>
      <c r="AU55" s="19">
        <v>147000</v>
      </c>
      <c r="AW55" s="5" t="s">
        <v>359</v>
      </c>
      <c r="AX55" s="6" t="s">
        <v>360</v>
      </c>
      <c r="AY55" s="6" t="s">
        <v>67</v>
      </c>
      <c r="AZ55" s="10">
        <v>0.7</v>
      </c>
      <c r="BA55" s="6" t="s">
        <v>216</v>
      </c>
      <c r="BB55" s="10">
        <v>7000</v>
      </c>
      <c r="BC55" s="4">
        <v>4900</v>
      </c>
    </row>
    <row r="56" spans="1:55" x14ac:dyDescent="0.35">
      <c r="A56" s="38" t="str">
        <v>STA00041</v>
      </c>
      <c r="B56" s="31" t="str">
        <f t="shared" si="0"/>
        <v>STAPLER</v>
      </c>
      <c r="C56" s="31" t="str">
        <f t="shared" si="1"/>
        <v>STATIONARY AND OFFICE SUPPLIES</v>
      </c>
      <c r="D56" s="39" t="str">
        <f t="shared" si="2"/>
        <v>pcs</v>
      </c>
      <c r="E56" s="40">
        <f t="shared" si="3"/>
        <v>9750</v>
      </c>
      <c r="F56" s="48">
        <f t="shared" si="4"/>
        <v>2</v>
      </c>
      <c r="G56" s="48" t="str">
        <f t="shared" si="5"/>
        <v>0</v>
      </c>
      <c r="H56" s="48">
        <f t="shared" si="6"/>
        <v>-2</v>
      </c>
      <c r="I56" s="47">
        <f t="shared" si="7"/>
        <v>-19500</v>
      </c>
      <c r="J56" s="39" t="str">
        <f t="shared" si="8"/>
        <v>Penurunan IU</v>
      </c>
      <c r="K56" s="72" t="s">
        <v>1184</v>
      </c>
      <c r="O56" s="3">
        <v>10</v>
      </c>
      <c r="P56" t="s">
        <v>128</v>
      </c>
      <c r="Q56" t="s">
        <v>129</v>
      </c>
      <c r="R56" t="s">
        <v>123</v>
      </c>
      <c r="S56" s="10">
        <v>2</v>
      </c>
      <c r="T56" t="s">
        <v>74</v>
      </c>
      <c r="U56" s="10">
        <v>142068.6164</v>
      </c>
      <c r="V56" s="4">
        <v>284137.2328</v>
      </c>
      <c r="X56" s="3" t="s">
        <v>83</v>
      </c>
      <c r="Y56" t="s">
        <v>84</v>
      </c>
      <c r="Z56" t="s">
        <v>67</v>
      </c>
      <c r="AA56" s="10">
        <v>0.7</v>
      </c>
      <c r="AB56" t="s">
        <v>20</v>
      </c>
      <c r="AC56" s="10">
        <v>7250</v>
      </c>
      <c r="AD56" s="4">
        <v>5075</v>
      </c>
      <c r="AF56" s="20">
        <v>6</v>
      </c>
      <c r="AG56" s="18" t="s">
        <v>442</v>
      </c>
      <c r="AH56" s="18" t="s">
        <v>443</v>
      </c>
      <c r="AI56" s="18" t="s">
        <v>192</v>
      </c>
      <c r="AJ56" s="21">
        <v>2</v>
      </c>
      <c r="AK56" s="18" t="s">
        <v>20</v>
      </c>
      <c r="AL56" s="21">
        <v>18480</v>
      </c>
      <c r="AM56" s="19">
        <v>36960</v>
      </c>
      <c r="AO56" s="20" t="s">
        <v>7</v>
      </c>
      <c r="AP56" s="18" t="s">
        <v>8</v>
      </c>
      <c r="AQ56" s="18" t="s">
        <v>4</v>
      </c>
      <c r="AR56" s="21">
        <v>0.4</v>
      </c>
      <c r="AS56" s="18" t="s">
        <v>9</v>
      </c>
      <c r="AT56" s="21">
        <v>133200</v>
      </c>
      <c r="AU56" s="19">
        <v>53280</v>
      </c>
      <c r="AW56" s="5" t="s">
        <v>83</v>
      </c>
      <c r="AX56" s="6" t="s">
        <v>84</v>
      </c>
      <c r="AY56" s="6" t="s">
        <v>67</v>
      </c>
      <c r="AZ56" s="10">
        <v>0.7</v>
      </c>
      <c r="BA56" s="6" t="s">
        <v>20</v>
      </c>
      <c r="BB56" s="10">
        <v>7250</v>
      </c>
      <c r="BC56" s="4">
        <v>5075</v>
      </c>
    </row>
    <row r="57" spans="1:55" x14ac:dyDescent="0.35">
      <c r="A57" s="38" t="str">
        <v>STA00042</v>
      </c>
      <c r="B57" s="31" t="str">
        <f t="shared" si="0"/>
        <v>KARET GELANG</v>
      </c>
      <c r="C57" s="31" t="str">
        <f t="shared" si="1"/>
        <v>STATIONARY AND OFFICE SUPPLIES</v>
      </c>
      <c r="D57" s="39" t="str">
        <f t="shared" si="2"/>
        <v>pack</v>
      </c>
      <c r="E57" s="40">
        <f t="shared" si="3"/>
        <v>32500</v>
      </c>
      <c r="F57" s="48">
        <f t="shared" si="4"/>
        <v>0.5</v>
      </c>
      <c r="G57" s="48">
        <f t="shared" si="5"/>
        <v>0.4</v>
      </c>
      <c r="H57" s="48">
        <f t="shared" si="6"/>
        <v>-9.9999999999999978E-2</v>
      </c>
      <c r="I57" s="47">
        <f t="shared" si="7"/>
        <v>-3249.9999999999991</v>
      </c>
      <c r="J57" s="39" t="str">
        <f t="shared" si="8"/>
        <v>Penurunan IU</v>
      </c>
      <c r="K57" s="72" t="s">
        <v>1184</v>
      </c>
      <c r="O57" s="3">
        <v>11</v>
      </c>
      <c r="P57" t="s">
        <v>130</v>
      </c>
      <c r="Q57" t="s">
        <v>131</v>
      </c>
      <c r="R57" t="s">
        <v>123</v>
      </c>
      <c r="S57" s="10">
        <v>44</v>
      </c>
      <c r="T57" t="s">
        <v>5</v>
      </c>
      <c r="U57" s="10">
        <v>6355.1678076923081</v>
      </c>
      <c r="V57" s="4">
        <v>279627.38353799999</v>
      </c>
      <c r="X57" s="3" t="s">
        <v>85</v>
      </c>
      <c r="Y57" t="s">
        <v>86</v>
      </c>
      <c r="Z57" t="s">
        <v>67</v>
      </c>
      <c r="AA57" s="10">
        <v>1</v>
      </c>
      <c r="AB57" t="s">
        <v>87</v>
      </c>
      <c r="AC57" s="10">
        <v>18500</v>
      </c>
      <c r="AD57" s="4">
        <v>18500</v>
      </c>
      <c r="AF57" s="20">
        <v>7</v>
      </c>
      <c r="AG57" s="18" t="s">
        <v>333</v>
      </c>
      <c r="AH57" s="18" t="s">
        <v>334</v>
      </c>
      <c r="AI57" s="18" t="s">
        <v>192</v>
      </c>
      <c r="AJ57" s="18">
        <v>12</v>
      </c>
      <c r="AK57" s="18" t="s">
        <v>20</v>
      </c>
      <c r="AL57" s="18">
        <v>3666.67</v>
      </c>
      <c r="AM57" s="19">
        <v>44000.04</v>
      </c>
      <c r="AO57" s="20" t="s">
        <v>18</v>
      </c>
      <c r="AP57" s="18" t="s">
        <v>19</v>
      </c>
      <c r="AQ57" s="18" t="s">
        <v>4</v>
      </c>
      <c r="AR57" s="21">
        <v>0.5</v>
      </c>
      <c r="AS57" s="18" t="s">
        <v>20</v>
      </c>
      <c r="AT57" s="21">
        <v>151400</v>
      </c>
      <c r="AU57" s="19">
        <v>75700</v>
      </c>
      <c r="AW57" s="5" t="s">
        <v>85</v>
      </c>
      <c r="AX57" s="6" t="s">
        <v>86</v>
      </c>
      <c r="AY57" s="6" t="s">
        <v>67</v>
      </c>
      <c r="AZ57" s="10">
        <v>1</v>
      </c>
      <c r="BA57" s="6" t="s">
        <v>87</v>
      </c>
      <c r="BB57" s="10">
        <v>18500</v>
      </c>
      <c r="BC57" s="4">
        <v>18500</v>
      </c>
    </row>
    <row r="58" spans="1:55" ht="15" thickBot="1" x14ac:dyDescent="0.4">
      <c r="A58" s="38" t="str">
        <v>STA00045</v>
      </c>
      <c r="B58" s="31" t="str">
        <f t="shared" si="0"/>
        <v>KAIN KASA</v>
      </c>
      <c r="C58" s="31" t="str">
        <f t="shared" si="1"/>
        <v>STATIONARY AND OFFICE SUPPLIES</v>
      </c>
      <c r="D58" s="39" t="str">
        <f t="shared" si="2"/>
        <v>pack</v>
      </c>
      <c r="E58" s="40">
        <f t="shared" si="3"/>
        <v>13000</v>
      </c>
      <c r="F58" s="48">
        <f t="shared" si="4"/>
        <v>1.8</v>
      </c>
      <c r="G58" s="48">
        <f t="shared" si="5"/>
        <v>0.2</v>
      </c>
      <c r="H58" s="48">
        <f t="shared" si="6"/>
        <v>-1.6</v>
      </c>
      <c r="I58" s="47">
        <f t="shared" si="7"/>
        <v>-20800</v>
      </c>
      <c r="J58" s="39" t="str">
        <f t="shared" si="8"/>
        <v>Penurunan IU</v>
      </c>
      <c r="K58" s="72" t="s">
        <v>1178</v>
      </c>
      <c r="O58" s="3">
        <v>12</v>
      </c>
      <c r="P58" t="s">
        <v>132</v>
      </c>
      <c r="Q58" t="s">
        <v>133</v>
      </c>
      <c r="R58" t="s">
        <v>123</v>
      </c>
      <c r="S58" s="10">
        <v>46</v>
      </c>
      <c r="T58" t="s">
        <v>134</v>
      </c>
      <c r="U58" s="10">
        <v>12980.537438915771</v>
      </c>
      <c r="V58" s="4">
        <v>597104.72219</v>
      </c>
      <c r="X58" s="3" t="s">
        <v>242</v>
      </c>
      <c r="Y58" t="s">
        <v>243</v>
      </c>
      <c r="Z58" t="s">
        <v>67</v>
      </c>
      <c r="AA58" s="10">
        <v>0.5</v>
      </c>
      <c r="AB58" t="s">
        <v>87</v>
      </c>
      <c r="AC58" s="10">
        <v>14500</v>
      </c>
      <c r="AD58" s="4">
        <v>7250</v>
      </c>
      <c r="AF58" s="22" t="s">
        <v>223</v>
      </c>
      <c r="AG58" s="23" t="s">
        <v>223</v>
      </c>
      <c r="AH58" s="23" t="s">
        <v>223</v>
      </c>
      <c r="AI58" s="23" t="s">
        <v>223</v>
      </c>
      <c r="AJ58" s="23" t="s">
        <v>223</v>
      </c>
      <c r="AK58" s="23" t="s">
        <v>223</v>
      </c>
      <c r="AL58" s="23" t="s">
        <v>224</v>
      </c>
      <c r="AM58" s="24">
        <v>266964.59389999998</v>
      </c>
      <c r="AO58" s="20" t="s">
        <v>219</v>
      </c>
      <c r="AP58" s="18" t="s">
        <v>220</v>
      </c>
      <c r="AQ58" s="18" t="s">
        <v>4</v>
      </c>
      <c r="AR58" s="21">
        <v>2.5</v>
      </c>
      <c r="AS58" s="18" t="s">
        <v>25</v>
      </c>
      <c r="AT58" s="21">
        <v>79237</v>
      </c>
      <c r="AU58" s="19">
        <v>198092.5</v>
      </c>
      <c r="AW58" s="5" t="s">
        <v>242</v>
      </c>
      <c r="AX58" s="6" t="s">
        <v>243</v>
      </c>
      <c r="AY58" s="6" t="s">
        <v>67</v>
      </c>
      <c r="AZ58" s="10">
        <v>0.5</v>
      </c>
      <c r="BA58" s="6" t="s">
        <v>87</v>
      </c>
      <c r="BB58" s="10">
        <v>14500</v>
      </c>
      <c r="BC58" s="4">
        <v>7250</v>
      </c>
    </row>
    <row r="59" spans="1:55" x14ac:dyDescent="0.35">
      <c r="A59" s="38" t="str">
        <v>STA00047</v>
      </c>
      <c r="B59" s="31" t="str">
        <f t="shared" si="0"/>
        <v>BETADINE</v>
      </c>
      <c r="C59" s="31" t="str">
        <f t="shared" si="1"/>
        <v>STATIONARY AND OFFICE SUPPLIES</v>
      </c>
      <c r="D59" s="39" t="str">
        <f t="shared" si="2"/>
        <v>btl</v>
      </c>
      <c r="E59" s="40">
        <f t="shared" si="3"/>
        <v>7000</v>
      </c>
      <c r="F59" s="48">
        <f t="shared" si="4"/>
        <v>0.7</v>
      </c>
      <c r="G59" s="48" t="str">
        <f t="shared" si="5"/>
        <v>0</v>
      </c>
      <c r="H59" s="48">
        <f t="shared" si="6"/>
        <v>-0.7</v>
      </c>
      <c r="I59" s="47">
        <f t="shared" si="7"/>
        <v>-4900</v>
      </c>
      <c r="J59" s="39" t="str">
        <f t="shared" si="8"/>
        <v>Penurunan IU</v>
      </c>
      <c r="K59" s="72" t="s">
        <v>1178</v>
      </c>
      <c r="O59" s="3">
        <v>13</v>
      </c>
      <c r="P59" t="s">
        <v>135</v>
      </c>
      <c r="Q59" t="s">
        <v>136</v>
      </c>
      <c r="R59" t="s">
        <v>123</v>
      </c>
      <c r="S59" s="10">
        <v>27</v>
      </c>
      <c r="T59" t="s">
        <v>5</v>
      </c>
      <c r="U59" s="10">
        <v>5671.6923999999999</v>
      </c>
      <c r="V59" s="4">
        <v>153135.6948</v>
      </c>
      <c r="X59" s="3" t="s">
        <v>246</v>
      </c>
      <c r="Y59" t="s">
        <v>247</v>
      </c>
      <c r="Z59" t="s">
        <v>67</v>
      </c>
      <c r="AA59" s="10">
        <v>3</v>
      </c>
      <c r="AB59" t="s">
        <v>5</v>
      </c>
      <c r="AC59" s="10">
        <v>1400</v>
      </c>
      <c r="AD59" s="4">
        <v>4200</v>
      </c>
      <c r="AO59" s="20" t="s">
        <v>23</v>
      </c>
      <c r="AP59" s="18" t="s">
        <v>24</v>
      </c>
      <c r="AQ59" s="18" t="s">
        <v>4</v>
      </c>
      <c r="AR59" s="21">
        <v>18</v>
      </c>
      <c r="AS59" s="18" t="s">
        <v>25</v>
      </c>
      <c r="AT59" s="21">
        <v>17760</v>
      </c>
      <c r="AU59" s="19">
        <v>319680</v>
      </c>
      <c r="AW59" s="5" t="s">
        <v>246</v>
      </c>
      <c r="AX59" s="6" t="s">
        <v>247</v>
      </c>
      <c r="AY59" s="6" t="s">
        <v>67</v>
      </c>
      <c r="AZ59" s="10">
        <v>3</v>
      </c>
      <c r="BA59" s="6" t="s">
        <v>5</v>
      </c>
      <c r="BB59" s="10">
        <v>1400</v>
      </c>
      <c r="BC59" s="4">
        <v>4200</v>
      </c>
    </row>
    <row r="60" spans="1:55" ht="15" thickBot="1" x14ac:dyDescent="0.4">
      <c r="A60" s="38" t="str">
        <v>STA00050</v>
      </c>
      <c r="B60" s="31" t="str">
        <f t="shared" si="0"/>
        <v>MINYAK KAYU PUTIH</v>
      </c>
      <c r="C60" s="31" t="str">
        <f t="shared" si="1"/>
        <v>STATIONARY AND OFFICE SUPPLIES</v>
      </c>
      <c r="D60" s="39" t="str">
        <f t="shared" si="2"/>
        <v>pcs</v>
      </c>
      <c r="E60" s="40">
        <f t="shared" si="3"/>
        <v>7250</v>
      </c>
      <c r="F60" s="48">
        <f t="shared" si="4"/>
        <v>0.7</v>
      </c>
      <c r="G60" s="48">
        <f t="shared" si="5"/>
        <v>0.8</v>
      </c>
      <c r="H60" s="48">
        <f t="shared" si="6"/>
        <v>0.10000000000000009</v>
      </c>
      <c r="I60" s="47">
        <f t="shared" si="7"/>
        <v>725.00000000000068</v>
      </c>
      <c r="J60" s="39" t="str">
        <f t="shared" si="8"/>
        <v>Kenaikan IU</v>
      </c>
      <c r="K60" s="72" t="s">
        <v>1178</v>
      </c>
      <c r="O60" s="3">
        <v>14</v>
      </c>
      <c r="P60" t="s">
        <v>137</v>
      </c>
      <c r="Q60" t="s">
        <v>138</v>
      </c>
      <c r="R60" t="s">
        <v>123</v>
      </c>
      <c r="S60" s="10">
        <v>26</v>
      </c>
      <c r="T60" t="s">
        <v>5</v>
      </c>
      <c r="U60" s="10">
        <v>16062.781231250001</v>
      </c>
      <c r="V60" s="4">
        <v>417632.31201300002</v>
      </c>
      <c r="X60" s="3" t="s">
        <v>327</v>
      </c>
      <c r="Y60" t="s">
        <v>328</v>
      </c>
      <c r="Z60" t="s">
        <v>67</v>
      </c>
      <c r="AA60" s="10">
        <v>4</v>
      </c>
      <c r="AB60" t="s">
        <v>5</v>
      </c>
      <c r="AC60" s="10">
        <v>6250</v>
      </c>
      <c r="AD60" s="4">
        <v>25000</v>
      </c>
      <c r="AO60" s="20" t="s">
        <v>33</v>
      </c>
      <c r="AP60" s="18" t="s">
        <v>34</v>
      </c>
      <c r="AQ60" s="18" t="s">
        <v>4</v>
      </c>
      <c r="AR60" s="21">
        <v>11.88</v>
      </c>
      <c r="AS60" s="18" t="s">
        <v>30</v>
      </c>
      <c r="AT60" s="21">
        <v>13000</v>
      </c>
      <c r="AU60" s="19">
        <v>154440</v>
      </c>
      <c r="AW60" s="5" t="s">
        <v>327</v>
      </c>
      <c r="AX60" s="6" t="s">
        <v>328</v>
      </c>
      <c r="AY60" s="6" t="s">
        <v>67</v>
      </c>
      <c r="AZ60" s="10">
        <v>4</v>
      </c>
      <c r="BA60" s="6" t="s">
        <v>5</v>
      </c>
      <c r="BB60" s="10">
        <v>6250</v>
      </c>
      <c r="BC60" s="4">
        <v>25000</v>
      </c>
    </row>
    <row r="61" spans="1:55" x14ac:dyDescent="0.35">
      <c r="A61" s="38" t="str">
        <v>STA00051</v>
      </c>
      <c r="B61" s="31" t="str">
        <f t="shared" si="0"/>
        <v>PANADOL HIJAU</v>
      </c>
      <c r="C61" s="31" t="str">
        <f t="shared" si="1"/>
        <v>STATIONARY AND OFFICE SUPPLIES</v>
      </c>
      <c r="D61" s="39" t="str">
        <f t="shared" si="2"/>
        <v>str</v>
      </c>
      <c r="E61" s="40">
        <f t="shared" si="3"/>
        <v>18500</v>
      </c>
      <c r="F61" s="48">
        <f t="shared" si="4"/>
        <v>1</v>
      </c>
      <c r="G61" s="48" t="str">
        <f t="shared" si="5"/>
        <v>0</v>
      </c>
      <c r="H61" s="48">
        <f t="shared" si="6"/>
        <v>-1</v>
      </c>
      <c r="I61" s="47">
        <f t="shared" si="7"/>
        <v>-18500</v>
      </c>
      <c r="J61" s="39" t="str">
        <f t="shared" si="8"/>
        <v>Penurunan IU</v>
      </c>
      <c r="K61" s="72" t="s">
        <v>1178</v>
      </c>
      <c r="O61" s="3">
        <v>15</v>
      </c>
      <c r="P61" t="s">
        <v>141</v>
      </c>
      <c r="Q61" t="s">
        <v>142</v>
      </c>
      <c r="R61" t="s">
        <v>123</v>
      </c>
      <c r="S61" s="10">
        <v>11</v>
      </c>
      <c r="T61" t="s">
        <v>5</v>
      </c>
      <c r="U61" s="10">
        <v>41904.8194</v>
      </c>
      <c r="V61" s="4">
        <v>460953.0134</v>
      </c>
      <c r="X61" s="3" t="s">
        <v>90</v>
      </c>
      <c r="Y61" t="s">
        <v>91</v>
      </c>
      <c r="Z61" t="s">
        <v>67</v>
      </c>
      <c r="AA61" s="10">
        <v>2</v>
      </c>
      <c r="AB61" t="s">
        <v>5</v>
      </c>
      <c r="AC61" s="10">
        <v>6250</v>
      </c>
      <c r="AD61" s="4">
        <v>12500</v>
      </c>
      <c r="AF61" s="84" t="s">
        <v>0</v>
      </c>
      <c r="AG61" s="85"/>
      <c r="AH61" s="85"/>
      <c r="AI61" s="85"/>
      <c r="AJ61" s="85"/>
      <c r="AK61" s="16"/>
      <c r="AL61" s="16"/>
      <c r="AM61" s="17"/>
      <c r="AO61" s="20" t="s">
        <v>50</v>
      </c>
      <c r="AP61" s="18" t="s">
        <v>51</v>
      </c>
      <c r="AQ61" s="18" t="s">
        <v>41</v>
      </c>
      <c r="AR61" s="21">
        <v>20</v>
      </c>
      <c r="AS61" s="18" t="s">
        <v>52</v>
      </c>
      <c r="AT61" s="21">
        <v>20500</v>
      </c>
      <c r="AU61" s="19">
        <v>410000</v>
      </c>
      <c r="AW61" s="5" t="s">
        <v>90</v>
      </c>
      <c r="AX61" s="6" t="s">
        <v>91</v>
      </c>
      <c r="AY61" s="6" t="s">
        <v>67</v>
      </c>
      <c r="AZ61" s="10">
        <v>2</v>
      </c>
      <c r="BA61" s="6" t="s">
        <v>5</v>
      </c>
      <c r="BB61" s="10">
        <v>6250</v>
      </c>
      <c r="BC61" s="4">
        <v>12500</v>
      </c>
    </row>
    <row r="62" spans="1:55" x14ac:dyDescent="0.35">
      <c r="A62" s="38" t="str">
        <v>STA00052</v>
      </c>
      <c r="B62" s="31" t="str">
        <f t="shared" si="0"/>
        <v>PANADOL MERAH</v>
      </c>
      <c r="C62" s="31" t="str">
        <f t="shared" si="1"/>
        <v>STATIONARY AND OFFICE SUPPLIES</v>
      </c>
      <c r="D62" s="39" t="str">
        <f t="shared" si="2"/>
        <v>str</v>
      </c>
      <c r="E62" s="40">
        <f t="shared" si="3"/>
        <v>14500</v>
      </c>
      <c r="F62" s="48">
        <f t="shared" si="4"/>
        <v>0.5</v>
      </c>
      <c r="G62" s="48">
        <f t="shared" si="5"/>
        <v>0.2</v>
      </c>
      <c r="H62" s="48">
        <f t="shared" si="6"/>
        <v>-0.3</v>
      </c>
      <c r="I62" s="47">
        <f t="shared" si="7"/>
        <v>-4350</v>
      </c>
      <c r="J62" s="39" t="str">
        <f t="shared" si="8"/>
        <v>Penurunan IU</v>
      </c>
      <c r="K62" s="72" t="s">
        <v>1178</v>
      </c>
      <c r="O62" s="3">
        <v>16</v>
      </c>
      <c r="P62" t="s">
        <v>145</v>
      </c>
      <c r="Q62" t="s">
        <v>146</v>
      </c>
      <c r="R62" t="s">
        <v>123</v>
      </c>
      <c r="S62" s="10">
        <v>95</v>
      </c>
      <c r="T62" t="s">
        <v>5</v>
      </c>
      <c r="U62" s="10">
        <v>4604.1441320000004</v>
      </c>
      <c r="V62" s="4">
        <v>437393.69254000002</v>
      </c>
      <c r="X62" s="3" t="s">
        <v>92</v>
      </c>
      <c r="Y62" t="s">
        <v>93</v>
      </c>
      <c r="Z62" t="s">
        <v>67</v>
      </c>
      <c r="AA62" s="10">
        <v>43</v>
      </c>
      <c r="AB62" t="s">
        <v>94</v>
      </c>
      <c r="AC62" s="10">
        <v>11805.674600000002</v>
      </c>
      <c r="AD62" s="4">
        <v>507644.00780000002</v>
      </c>
      <c r="AF62" s="82" t="s">
        <v>1</v>
      </c>
      <c r="AG62" s="83"/>
      <c r="AH62" s="83"/>
      <c r="AI62" s="83"/>
      <c r="AJ62" s="83"/>
      <c r="AK62" s="18"/>
      <c r="AL62" s="18"/>
      <c r="AM62" s="19"/>
      <c r="AO62" s="20" t="s">
        <v>306</v>
      </c>
      <c r="AP62" s="18" t="s">
        <v>307</v>
      </c>
      <c r="AQ62" s="18" t="s">
        <v>41</v>
      </c>
      <c r="AR62" s="21">
        <v>2</v>
      </c>
      <c r="AS62" s="18" t="s">
        <v>20</v>
      </c>
      <c r="AT62" s="21">
        <v>6938.892499999999</v>
      </c>
      <c r="AU62" s="19">
        <v>13877.785</v>
      </c>
      <c r="AW62" s="5" t="s">
        <v>92</v>
      </c>
      <c r="AX62" s="6" t="s">
        <v>93</v>
      </c>
      <c r="AY62" s="6" t="s">
        <v>67</v>
      </c>
      <c r="AZ62" s="10">
        <v>43</v>
      </c>
      <c r="BA62" s="6" t="s">
        <v>94</v>
      </c>
      <c r="BB62" s="10">
        <v>11805.674600000002</v>
      </c>
      <c r="BC62" s="4">
        <v>507644.00780000002</v>
      </c>
    </row>
    <row r="63" spans="1:55" x14ac:dyDescent="0.35">
      <c r="A63" s="38" t="str">
        <v>STA00057</v>
      </c>
      <c r="B63" s="31" t="str">
        <f t="shared" si="0"/>
        <v>ISI STAPLER</v>
      </c>
      <c r="C63" s="31" t="str">
        <f t="shared" si="1"/>
        <v>STATIONARY AND OFFICE SUPPLIES</v>
      </c>
      <c r="D63" s="39" t="str">
        <f t="shared" si="2"/>
        <v>pack</v>
      </c>
      <c r="E63" s="40">
        <f t="shared" si="3"/>
        <v>1400</v>
      </c>
      <c r="F63" s="48">
        <f t="shared" si="4"/>
        <v>3</v>
      </c>
      <c r="G63" s="48">
        <f t="shared" si="5"/>
        <v>3</v>
      </c>
      <c r="H63" s="48">
        <f t="shared" si="6"/>
        <v>0</v>
      </c>
      <c r="I63" s="47">
        <f t="shared" si="7"/>
        <v>0</v>
      </c>
      <c r="J63" s="39" t="str">
        <f t="shared" si="8"/>
        <v>Tidak Ada Perubahan</v>
      </c>
      <c r="K63" s="72" t="s">
        <v>1186</v>
      </c>
      <c r="O63" s="3">
        <v>17</v>
      </c>
      <c r="P63" t="s">
        <v>147</v>
      </c>
      <c r="Q63" t="s">
        <v>148</v>
      </c>
      <c r="R63" t="s">
        <v>123</v>
      </c>
      <c r="S63" s="10">
        <v>2</v>
      </c>
      <c r="T63" t="s">
        <v>5</v>
      </c>
      <c r="U63" s="10">
        <v>15000</v>
      </c>
      <c r="V63" s="4">
        <v>30000</v>
      </c>
      <c r="X63" s="3" t="s">
        <v>626</v>
      </c>
      <c r="Y63" t="s">
        <v>627</v>
      </c>
      <c r="Z63" t="s">
        <v>67</v>
      </c>
      <c r="AA63" s="10">
        <v>1</v>
      </c>
      <c r="AB63" t="s">
        <v>267</v>
      </c>
      <c r="AC63" s="10">
        <v>93205</v>
      </c>
      <c r="AD63" s="4">
        <v>93205</v>
      </c>
      <c r="AF63" s="20"/>
      <c r="AG63" s="18"/>
      <c r="AH63" s="18"/>
      <c r="AI63" s="18"/>
      <c r="AJ63" s="18"/>
      <c r="AK63" s="18"/>
      <c r="AL63" s="18"/>
      <c r="AM63" s="19"/>
      <c r="AO63" s="20" t="s">
        <v>53</v>
      </c>
      <c r="AP63" s="18" t="s">
        <v>54</v>
      </c>
      <c r="AQ63" s="18" t="s">
        <v>41</v>
      </c>
      <c r="AR63" s="21">
        <v>17</v>
      </c>
      <c r="AS63" s="18" t="s">
        <v>20</v>
      </c>
      <c r="AT63" s="21">
        <v>3084.0875999999998</v>
      </c>
      <c r="AU63" s="19">
        <v>52429.489200000004</v>
      </c>
      <c r="AW63" s="5" t="s">
        <v>626</v>
      </c>
      <c r="AX63" s="6" t="s">
        <v>627</v>
      </c>
      <c r="AY63" s="6" t="s">
        <v>67</v>
      </c>
      <c r="AZ63" s="10">
        <v>1</v>
      </c>
      <c r="BA63" s="6" t="s">
        <v>267</v>
      </c>
      <c r="BB63" s="10">
        <v>93205</v>
      </c>
      <c r="BC63" s="4">
        <v>93205</v>
      </c>
    </row>
    <row r="64" spans="1:55" x14ac:dyDescent="0.35">
      <c r="A64" s="38" t="str">
        <v>STA00074</v>
      </c>
      <c r="B64" s="31" t="str">
        <f t="shared" si="0"/>
        <v>LABEL/STICKER TOM &amp; JERRY 103</v>
      </c>
      <c r="C64" s="31" t="str">
        <f t="shared" si="1"/>
        <v>STATIONARY AND OFFICE SUPPLIES</v>
      </c>
      <c r="D64" s="39" t="str">
        <f t="shared" si="2"/>
        <v>pack</v>
      </c>
      <c r="E64" s="40">
        <f t="shared" si="3"/>
        <v>6250</v>
      </c>
      <c r="F64" s="48">
        <f t="shared" si="4"/>
        <v>4</v>
      </c>
      <c r="G64" s="48">
        <f t="shared" si="5"/>
        <v>1</v>
      </c>
      <c r="H64" s="48">
        <f t="shared" si="6"/>
        <v>-3</v>
      </c>
      <c r="I64" s="47">
        <f t="shared" si="7"/>
        <v>-18750</v>
      </c>
      <c r="J64" s="39" t="str">
        <f t="shared" si="8"/>
        <v>Penurunan IU</v>
      </c>
      <c r="K64" s="72" t="s">
        <v>1184</v>
      </c>
      <c r="O64" s="3">
        <v>18</v>
      </c>
      <c r="P64" t="s">
        <v>268</v>
      </c>
      <c r="Q64" t="s">
        <v>269</v>
      </c>
      <c r="R64" t="s">
        <v>151</v>
      </c>
      <c r="S64" s="10">
        <v>1</v>
      </c>
      <c r="T64" t="s">
        <v>87</v>
      </c>
      <c r="U64" s="10">
        <v>5500</v>
      </c>
      <c r="V64" s="4">
        <v>5500</v>
      </c>
      <c r="X64" s="3" t="s">
        <v>520</v>
      </c>
      <c r="Y64" t="s">
        <v>521</v>
      </c>
      <c r="Z64" t="s">
        <v>67</v>
      </c>
      <c r="AA64" s="10">
        <v>1</v>
      </c>
      <c r="AB64" t="s">
        <v>5</v>
      </c>
      <c r="AC64" s="10">
        <v>10000</v>
      </c>
      <c r="AD64" s="4">
        <v>10000</v>
      </c>
      <c r="AF64" s="82" t="s">
        <v>10</v>
      </c>
      <c r="AG64" s="83" t="s">
        <v>11</v>
      </c>
      <c r="AH64" s="18" t="s">
        <v>880</v>
      </c>
      <c r="AI64" s="18"/>
      <c r="AJ64" s="18"/>
      <c r="AK64" s="18"/>
      <c r="AL64" s="18"/>
      <c r="AM64" s="19"/>
      <c r="AO64" s="20" t="s">
        <v>407</v>
      </c>
      <c r="AP64" s="18" t="s">
        <v>408</v>
      </c>
      <c r="AQ64" s="18" t="s">
        <v>41</v>
      </c>
      <c r="AR64" s="21">
        <v>1</v>
      </c>
      <c r="AS64" s="18" t="s">
        <v>267</v>
      </c>
      <c r="AT64" s="21">
        <v>43560</v>
      </c>
      <c r="AU64" s="19">
        <v>43560</v>
      </c>
      <c r="AW64" s="5" t="s">
        <v>520</v>
      </c>
      <c r="AX64" s="6" t="s">
        <v>521</v>
      </c>
      <c r="AY64" s="6" t="s">
        <v>67</v>
      </c>
      <c r="AZ64" s="10">
        <v>1</v>
      </c>
      <c r="BA64" s="6" t="s">
        <v>5</v>
      </c>
      <c r="BB64" s="10">
        <v>10000</v>
      </c>
      <c r="BC64" s="4">
        <v>10000</v>
      </c>
    </row>
    <row r="65" spans="1:55" x14ac:dyDescent="0.35">
      <c r="A65" s="38" t="str">
        <v>STA00075</v>
      </c>
      <c r="B65" s="31" t="str">
        <f t="shared" si="0"/>
        <v>LABEL/STICKER TOM &amp; JERRY 109</v>
      </c>
      <c r="C65" s="31" t="str">
        <f t="shared" si="1"/>
        <v>STATIONARY AND OFFICE SUPPLIES</v>
      </c>
      <c r="D65" s="39" t="str">
        <f t="shared" si="2"/>
        <v>pack</v>
      </c>
      <c r="E65" s="40">
        <f t="shared" si="3"/>
        <v>6250</v>
      </c>
      <c r="F65" s="48">
        <f t="shared" si="4"/>
        <v>2</v>
      </c>
      <c r="G65" s="48">
        <f t="shared" si="5"/>
        <v>1</v>
      </c>
      <c r="H65" s="48">
        <f t="shared" si="6"/>
        <v>-1</v>
      </c>
      <c r="I65" s="47">
        <f t="shared" si="7"/>
        <v>-6250</v>
      </c>
      <c r="J65" s="39" t="str">
        <f t="shared" si="8"/>
        <v>Penurunan IU</v>
      </c>
      <c r="K65" s="72" t="s">
        <v>1184</v>
      </c>
      <c r="O65" s="3">
        <v>19</v>
      </c>
      <c r="P65" t="s">
        <v>620</v>
      </c>
      <c r="Q65" t="s">
        <v>621</v>
      </c>
      <c r="R65" t="s">
        <v>151</v>
      </c>
      <c r="S65" s="10">
        <v>1</v>
      </c>
      <c r="T65" t="s">
        <v>20</v>
      </c>
      <c r="U65" s="10">
        <v>76468</v>
      </c>
      <c r="V65" s="4">
        <v>76468</v>
      </c>
      <c r="X65" s="3" t="s">
        <v>100</v>
      </c>
      <c r="Y65" t="s">
        <v>101</v>
      </c>
      <c r="Z65" t="s">
        <v>67</v>
      </c>
      <c r="AA65" s="10">
        <v>1</v>
      </c>
      <c r="AB65" t="s">
        <v>87</v>
      </c>
      <c r="AC65" s="10">
        <v>8400</v>
      </c>
      <c r="AD65" s="4">
        <v>8400</v>
      </c>
      <c r="AF65" s="82" t="s">
        <v>16</v>
      </c>
      <c r="AG65" s="83" t="s">
        <v>11</v>
      </c>
      <c r="AH65" s="18" t="s">
        <v>211</v>
      </c>
      <c r="AI65" s="18"/>
      <c r="AJ65" s="18"/>
      <c r="AK65" s="18"/>
      <c r="AL65" s="18"/>
      <c r="AM65" s="19"/>
      <c r="AO65" s="20" t="s">
        <v>57</v>
      </c>
      <c r="AP65" s="18" t="s">
        <v>58</v>
      </c>
      <c r="AQ65" s="18" t="s">
        <v>41</v>
      </c>
      <c r="AR65" s="21">
        <v>8</v>
      </c>
      <c r="AS65" s="18" t="s">
        <v>5</v>
      </c>
      <c r="AT65" s="21">
        <v>7699.9649571428581</v>
      </c>
      <c r="AU65" s="19">
        <v>61599.719657000001</v>
      </c>
      <c r="AW65" s="5" t="s">
        <v>100</v>
      </c>
      <c r="AX65" s="6" t="s">
        <v>101</v>
      </c>
      <c r="AY65" s="6" t="s">
        <v>67</v>
      </c>
      <c r="AZ65" s="10">
        <v>1</v>
      </c>
      <c r="BA65" s="6" t="s">
        <v>87</v>
      </c>
      <c r="BB65" s="10">
        <v>8400</v>
      </c>
      <c r="BC65" s="4">
        <v>8400</v>
      </c>
    </row>
    <row r="66" spans="1:55" x14ac:dyDescent="0.35">
      <c r="A66" s="38" t="str">
        <v>STA00080</v>
      </c>
      <c r="B66" s="31" t="str">
        <f t="shared" si="0"/>
        <v>KERTAS THERMAL 80 X 80</v>
      </c>
      <c r="C66" s="31" t="str">
        <f t="shared" si="1"/>
        <v>STATIONARY AND OFFICE SUPPLIES</v>
      </c>
      <c r="D66" s="39" t="str">
        <f t="shared" si="2"/>
        <v>ROLL</v>
      </c>
      <c r="E66" s="40">
        <f t="shared" si="3"/>
        <v>11805.674600000002</v>
      </c>
      <c r="F66" s="48">
        <f t="shared" si="4"/>
        <v>43</v>
      </c>
      <c r="G66" s="48">
        <f t="shared" si="5"/>
        <v>35</v>
      </c>
      <c r="H66" s="48">
        <f t="shared" si="6"/>
        <v>-8</v>
      </c>
      <c r="I66" s="47">
        <f t="shared" si="7"/>
        <v>-94445.396800000017</v>
      </c>
      <c r="J66" s="39" t="str">
        <f t="shared" si="8"/>
        <v>Penurunan IU</v>
      </c>
      <c r="K66" s="72" t="s">
        <v>1184</v>
      </c>
      <c r="O66" s="3">
        <v>20</v>
      </c>
      <c r="P66" t="s">
        <v>154</v>
      </c>
      <c r="Q66" t="s">
        <v>155</v>
      </c>
      <c r="R66" t="s">
        <v>151</v>
      </c>
      <c r="S66" s="10">
        <v>120</v>
      </c>
      <c r="T66" t="s">
        <v>20</v>
      </c>
      <c r="U66" s="10">
        <v>928.43697499999996</v>
      </c>
      <c r="V66" s="4">
        <v>111412.43700000001</v>
      </c>
      <c r="X66" s="3" t="s">
        <v>254</v>
      </c>
      <c r="Y66" t="s">
        <v>255</v>
      </c>
      <c r="Z66" t="s">
        <v>67</v>
      </c>
      <c r="AA66" s="10">
        <v>2</v>
      </c>
      <c r="AB66" t="s">
        <v>5</v>
      </c>
      <c r="AC66" s="10">
        <v>34500</v>
      </c>
      <c r="AD66" s="4">
        <v>69000</v>
      </c>
      <c r="AF66" s="82" t="s">
        <v>21</v>
      </c>
      <c r="AG66" s="83" t="s">
        <v>11</v>
      </c>
      <c r="AH66" s="18" t="s">
        <v>610</v>
      </c>
      <c r="AI66" s="18"/>
      <c r="AJ66" s="18"/>
      <c r="AK66" s="18"/>
      <c r="AL66" s="18"/>
      <c r="AM66" s="19"/>
      <c r="AO66" s="20" t="s">
        <v>59</v>
      </c>
      <c r="AP66" s="18" t="s">
        <v>60</v>
      </c>
      <c r="AQ66" s="18" t="s">
        <v>41</v>
      </c>
      <c r="AR66" s="21">
        <v>11</v>
      </c>
      <c r="AS66" s="18" t="s">
        <v>5</v>
      </c>
      <c r="AT66" s="21">
        <v>7700</v>
      </c>
      <c r="AU66" s="19">
        <v>84700</v>
      </c>
      <c r="AW66" s="5" t="s">
        <v>254</v>
      </c>
      <c r="AX66" s="6" t="s">
        <v>255</v>
      </c>
      <c r="AY66" s="6" t="s">
        <v>67</v>
      </c>
      <c r="AZ66" s="10">
        <v>2</v>
      </c>
      <c r="BA66" s="6" t="s">
        <v>5</v>
      </c>
      <c r="BB66" s="10">
        <v>34500</v>
      </c>
      <c r="BC66" s="4">
        <v>69000</v>
      </c>
    </row>
    <row r="67" spans="1:55" x14ac:dyDescent="0.35">
      <c r="A67" s="38" t="str">
        <v>STA00090</v>
      </c>
      <c r="B67" s="31" t="str">
        <f t="shared" si="0"/>
        <v>LABELER/LABEL HARGA JOYKO MX-5500</v>
      </c>
      <c r="C67" s="31" t="str">
        <f t="shared" si="1"/>
        <v>STATIONARY AND OFFICE SUPPLIES</v>
      </c>
      <c r="D67" s="39" t="str">
        <f t="shared" si="2"/>
        <v>unit</v>
      </c>
      <c r="E67" s="40">
        <f t="shared" si="3"/>
        <v>93205</v>
      </c>
      <c r="F67" s="48">
        <f t="shared" si="4"/>
        <v>1</v>
      </c>
      <c r="G67" s="48" t="str">
        <f t="shared" si="5"/>
        <v>0</v>
      </c>
      <c r="H67" s="48">
        <f t="shared" si="6"/>
        <v>-1</v>
      </c>
      <c r="I67" s="47">
        <f t="shared" si="7"/>
        <v>-93205</v>
      </c>
      <c r="J67" s="39" t="str">
        <f t="shared" si="8"/>
        <v>Penurunan IU</v>
      </c>
      <c r="K67" s="72" t="s">
        <v>1184</v>
      </c>
      <c r="O67" s="3">
        <v>21</v>
      </c>
      <c r="P67" t="s">
        <v>423</v>
      </c>
      <c r="Q67" t="s">
        <v>424</v>
      </c>
      <c r="R67" t="s">
        <v>151</v>
      </c>
      <c r="S67" s="10">
        <v>2</v>
      </c>
      <c r="T67" t="s">
        <v>20</v>
      </c>
      <c r="U67" s="10">
        <v>4950</v>
      </c>
      <c r="V67" s="4">
        <v>9900</v>
      </c>
      <c r="X67" s="3" t="s">
        <v>628</v>
      </c>
      <c r="Y67" t="s">
        <v>629</v>
      </c>
      <c r="Z67" t="s">
        <v>67</v>
      </c>
      <c r="AA67" s="10">
        <v>0.1</v>
      </c>
      <c r="AB67" t="s">
        <v>20</v>
      </c>
      <c r="AC67" s="10">
        <v>28500</v>
      </c>
      <c r="AD67" s="4">
        <v>2850</v>
      </c>
      <c r="AF67" s="82" t="s">
        <v>26</v>
      </c>
      <c r="AG67" s="83" t="s">
        <v>11</v>
      </c>
      <c r="AH67" s="18" t="s">
        <v>881</v>
      </c>
      <c r="AI67" s="18"/>
      <c r="AJ67" s="18"/>
      <c r="AK67" s="18"/>
      <c r="AL67" s="18"/>
      <c r="AM67" s="19"/>
      <c r="AO67" s="20" t="s">
        <v>61</v>
      </c>
      <c r="AP67" s="18" t="s">
        <v>62</v>
      </c>
      <c r="AQ67" s="18" t="s">
        <v>41</v>
      </c>
      <c r="AR67" s="18">
        <v>2</v>
      </c>
      <c r="AS67" s="18" t="s">
        <v>5</v>
      </c>
      <c r="AT67" s="18">
        <v>17416.5759</v>
      </c>
      <c r="AU67" s="19">
        <v>34833.1518</v>
      </c>
      <c r="AW67" s="5" t="s">
        <v>628</v>
      </c>
      <c r="AX67" s="6" t="s">
        <v>629</v>
      </c>
      <c r="AY67" s="6" t="s">
        <v>67</v>
      </c>
      <c r="AZ67" s="10">
        <v>0.1</v>
      </c>
      <c r="BA67" s="6" t="s">
        <v>20</v>
      </c>
      <c r="BB67" s="10">
        <v>28500</v>
      </c>
      <c r="BC67" s="4">
        <v>2850</v>
      </c>
    </row>
    <row r="68" spans="1:55" x14ac:dyDescent="0.35">
      <c r="A68" s="38" t="str">
        <v>STA00093</v>
      </c>
      <c r="B68" s="31" t="str">
        <f t="shared" si="0"/>
        <v>STICKER/LABEL TOM&amp;JERRY BULAT - ORANGE</v>
      </c>
      <c r="C68" s="31" t="str">
        <f t="shared" si="1"/>
        <v>STATIONARY AND OFFICE SUPPLIES</v>
      </c>
      <c r="D68" s="39" t="str">
        <f t="shared" si="2"/>
        <v>pack</v>
      </c>
      <c r="E68" s="40">
        <f t="shared" si="3"/>
        <v>10000</v>
      </c>
      <c r="F68" s="48">
        <f t="shared" si="4"/>
        <v>1</v>
      </c>
      <c r="G68" s="48" t="str">
        <f t="shared" si="5"/>
        <v>0</v>
      </c>
      <c r="H68" s="48">
        <f t="shared" si="6"/>
        <v>-1</v>
      </c>
      <c r="I68" s="47">
        <f t="shared" si="7"/>
        <v>-10000</v>
      </c>
      <c r="J68" s="39" t="str">
        <f t="shared" si="8"/>
        <v>Penurunan IU</v>
      </c>
      <c r="K68" s="72" t="s">
        <v>1184</v>
      </c>
      <c r="O68" s="3">
        <v>22</v>
      </c>
      <c r="P68" t="s">
        <v>274</v>
      </c>
      <c r="Q68" t="s">
        <v>275</v>
      </c>
      <c r="R68" t="s">
        <v>151</v>
      </c>
      <c r="S68" s="10">
        <v>1</v>
      </c>
      <c r="T68" t="s">
        <v>160</v>
      </c>
      <c r="U68" s="10">
        <v>21200</v>
      </c>
      <c r="V68" s="4">
        <v>21200</v>
      </c>
      <c r="X68" s="3" t="s">
        <v>630</v>
      </c>
      <c r="Y68" t="s">
        <v>631</v>
      </c>
      <c r="Z68" t="s">
        <v>67</v>
      </c>
      <c r="AA68">
        <v>3</v>
      </c>
      <c r="AB68" t="s">
        <v>20</v>
      </c>
      <c r="AC68">
        <v>2060.5555555555561</v>
      </c>
      <c r="AD68" s="4">
        <v>6181.6666670000004</v>
      </c>
      <c r="AF68" s="82" t="s">
        <v>31</v>
      </c>
      <c r="AG68" s="83" t="s">
        <v>11</v>
      </c>
      <c r="AH68" s="18" t="s">
        <v>186</v>
      </c>
      <c r="AI68" s="18"/>
      <c r="AJ68" s="18"/>
      <c r="AK68" s="18"/>
      <c r="AL68" s="18"/>
      <c r="AM68" s="19"/>
      <c r="AO68" s="20" t="s">
        <v>892</v>
      </c>
      <c r="AP68" s="18" t="s">
        <v>893</v>
      </c>
      <c r="AQ68" s="18" t="s">
        <v>894</v>
      </c>
      <c r="AR68" s="18">
        <v>2</v>
      </c>
      <c r="AS68" s="18" t="s">
        <v>267</v>
      </c>
      <c r="AT68" s="18">
        <v>384948</v>
      </c>
      <c r="AU68" s="19">
        <v>769896</v>
      </c>
      <c r="AW68" s="5" t="s">
        <v>630</v>
      </c>
      <c r="AX68" s="6" t="s">
        <v>631</v>
      </c>
      <c r="AY68" s="6" t="s">
        <v>67</v>
      </c>
      <c r="AZ68" s="6">
        <v>3</v>
      </c>
      <c r="BA68" s="6" t="s">
        <v>20</v>
      </c>
      <c r="BB68" s="6">
        <v>2060.5555555555561</v>
      </c>
      <c r="BC68" s="4">
        <v>6181.6666670000004</v>
      </c>
    </row>
    <row r="69" spans="1:55" ht="15" thickBot="1" x14ac:dyDescent="0.4">
      <c r="A69" s="38" t="str">
        <v>STA00094</v>
      </c>
      <c r="B69" s="31" t="str">
        <f t="shared" si="0"/>
        <v>OBAT PROMAG</v>
      </c>
      <c r="C69" s="31" t="str">
        <f t="shared" si="1"/>
        <v>STATIONARY AND OFFICE SUPPLIES</v>
      </c>
      <c r="D69" s="39" t="str">
        <f t="shared" si="2"/>
        <v>str</v>
      </c>
      <c r="E69" s="40">
        <f t="shared" si="3"/>
        <v>8400</v>
      </c>
      <c r="F69" s="48">
        <f t="shared" si="4"/>
        <v>1</v>
      </c>
      <c r="G69" s="48" t="str">
        <f t="shared" si="5"/>
        <v>0</v>
      </c>
      <c r="H69" s="48">
        <f t="shared" si="6"/>
        <v>-1</v>
      </c>
      <c r="I69" s="47">
        <f t="shared" si="7"/>
        <v>-8400</v>
      </c>
      <c r="J69" s="39" t="str">
        <f t="shared" si="8"/>
        <v>Penurunan IU</v>
      </c>
      <c r="K69" s="72" t="s">
        <v>1178</v>
      </c>
      <c r="O69" s="3">
        <v>23</v>
      </c>
      <c r="P69" t="s">
        <v>161</v>
      </c>
      <c r="Q69" t="s">
        <v>162</v>
      </c>
      <c r="R69" t="s">
        <v>151</v>
      </c>
      <c r="S69">
        <v>23</v>
      </c>
      <c r="T69" t="s">
        <v>5</v>
      </c>
      <c r="U69">
        <v>250</v>
      </c>
      <c r="V69" s="4">
        <v>5750</v>
      </c>
      <c r="X69" s="3" t="s">
        <v>530</v>
      </c>
      <c r="Y69" t="s">
        <v>531</v>
      </c>
      <c r="Z69" t="s">
        <v>165</v>
      </c>
      <c r="AA69" s="10">
        <v>1</v>
      </c>
      <c r="AB69" t="s">
        <v>20</v>
      </c>
      <c r="AC69" s="10">
        <v>10500</v>
      </c>
      <c r="AD69" s="4">
        <v>10500</v>
      </c>
      <c r="AF69" s="82" t="s">
        <v>35</v>
      </c>
      <c r="AG69" s="83" t="s">
        <v>11</v>
      </c>
      <c r="AH69" s="18" t="s">
        <v>882</v>
      </c>
      <c r="AI69" s="18"/>
      <c r="AJ69" s="18"/>
      <c r="AK69" s="18"/>
      <c r="AL69" s="18"/>
      <c r="AM69" s="19"/>
      <c r="AO69" s="22" t="s">
        <v>460</v>
      </c>
      <c r="AP69" s="23" t="s">
        <v>461</v>
      </c>
      <c r="AQ69" s="23" t="s">
        <v>117</v>
      </c>
      <c r="AR69" s="23">
        <v>4</v>
      </c>
      <c r="AS69" s="23" t="s">
        <v>20</v>
      </c>
      <c r="AT69" s="23">
        <v>152985.55220000001</v>
      </c>
      <c r="AU69" s="24">
        <v>611942.20880000002</v>
      </c>
      <c r="AW69" s="5" t="s">
        <v>530</v>
      </c>
      <c r="AX69" s="6" t="s">
        <v>531</v>
      </c>
      <c r="AY69" s="6" t="s">
        <v>165</v>
      </c>
      <c r="AZ69" s="10">
        <v>1</v>
      </c>
      <c r="BA69" s="6" t="s">
        <v>20</v>
      </c>
      <c r="BB69" s="10">
        <v>10500</v>
      </c>
      <c r="BC69" s="4">
        <v>10500</v>
      </c>
    </row>
    <row r="70" spans="1:55" ht="15" thickBot="1" x14ac:dyDescent="0.4">
      <c r="A70" s="38" t="str">
        <v>STA00096</v>
      </c>
      <c r="B70" s="31" t="str">
        <f t="shared" si="0"/>
        <v>HANSAPLAS</v>
      </c>
      <c r="C70" s="31" t="str">
        <f t="shared" si="1"/>
        <v>STATIONARY AND OFFICE SUPPLIES</v>
      </c>
      <c r="D70" s="39" t="str">
        <f t="shared" si="2"/>
        <v>pack</v>
      </c>
      <c r="E70" s="40">
        <f t="shared" si="3"/>
        <v>34500</v>
      </c>
      <c r="F70" s="48">
        <f t="shared" si="4"/>
        <v>2</v>
      </c>
      <c r="G70" s="48">
        <f t="shared" si="5"/>
        <v>1.2</v>
      </c>
      <c r="H70" s="48">
        <f t="shared" si="6"/>
        <v>-0.8</v>
      </c>
      <c r="I70" s="47">
        <f t="shared" si="7"/>
        <v>-27600</v>
      </c>
      <c r="J70" s="39" t="str">
        <f t="shared" si="8"/>
        <v>Penurunan IU</v>
      </c>
      <c r="K70" s="72" t="s">
        <v>1178</v>
      </c>
      <c r="O70" s="11" t="s">
        <v>223</v>
      </c>
      <c r="P70" s="12" t="s">
        <v>223</v>
      </c>
      <c r="Q70" s="12" t="s">
        <v>223</v>
      </c>
      <c r="R70" s="12" t="s">
        <v>223</v>
      </c>
      <c r="S70" s="12" t="s">
        <v>223</v>
      </c>
      <c r="T70" s="12" t="s">
        <v>223</v>
      </c>
      <c r="U70" s="12" t="s">
        <v>224</v>
      </c>
      <c r="V70" s="13">
        <v>4344340.7838719999</v>
      </c>
      <c r="X70" s="3" t="s">
        <v>544</v>
      </c>
      <c r="Y70" t="s">
        <v>545</v>
      </c>
      <c r="Z70" t="s">
        <v>165</v>
      </c>
      <c r="AA70" s="10">
        <v>3</v>
      </c>
      <c r="AB70" t="s">
        <v>20</v>
      </c>
      <c r="AC70" s="10">
        <v>16166.670000000002</v>
      </c>
      <c r="AD70" s="4">
        <v>48500.01</v>
      </c>
      <c r="AF70" s="20"/>
      <c r="AG70" s="18"/>
      <c r="AH70" s="18"/>
      <c r="AI70" s="18"/>
      <c r="AJ70" s="18"/>
      <c r="AK70" s="18"/>
      <c r="AL70" s="18"/>
      <c r="AM70" s="19"/>
      <c r="AW70" s="5" t="s">
        <v>544</v>
      </c>
      <c r="AX70" s="6" t="s">
        <v>545</v>
      </c>
      <c r="AY70" s="6" t="s">
        <v>165</v>
      </c>
      <c r="AZ70" s="10">
        <v>3</v>
      </c>
      <c r="BA70" s="6" t="s">
        <v>20</v>
      </c>
      <c r="BB70" s="10">
        <v>16166.670000000002</v>
      </c>
      <c r="BC70" s="4">
        <v>48500.01</v>
      </c>
    </row>
    <row r="71" spans="1:55" ht="15.5" thickTop="1" thickBot="1" x14ac:dyDescent="0.4">
      <c r="A71" s="38" t="str">
        <v>STA00097</v>
      </c>
      <c r="B71" s="31" t="str">
        <f t="shared" ref="B71:B93" si="9">_xlfn.XLOOKUP(A71, AW$2:AW$307, AX$2:AX$307, "", 0)</f>
        <v>BIOPLACENTON</v>
      </c>
      <c r="C71" s="31" t="str">
        <f t="shared" ref="C71:C104" si="10">_xlfn.XLOOKUP(A71, AW$2:AW$307, AY$2:AY$307, "", 0)</f>
        <v>STATIONARY AND OFFICE SUPPLIES</v>
      </c>
      <c r="D71" s="39" t="str">
        <f t="shared" ref="D71:D104" si="11">_xlfn.XLOOKUP(A71, AW$2:AW$307, BA$2:BA$307, "", 0)</f>
        <v>pcs</v>
      </c>
      <c r="E71" s="40">
        <f t="shared" ref="E71:E104" si="12">_xlfn.XLOOKUP(A71, AW$2:AW$307, BB$2:BB$307, "", 0)</f>
        <v>28500</v>
      </c>
      <c r="F71" s="48">
        <f t="shared" ref="F71:F104" si="13">_xlfn.XLOOKUP(A71, X$2:X$307, AA$2:AA$307, "0", 0)</f>
        <v>0.1</v>
      </c>
      <c r="G71" s="48">
        <f t="shared" ref="G71:G104" si="14">_xlfn.XLOOKUP(A71, AO$2:AO$307, AR$2:AR$307, "0", 0)</f>
        <v>0.1</v>
      </c>
      <c r="H71" s="48">
        <f t="shared" ref="H71:H104" si="15">G71-F71</f>
        <v>0</v>
      </c>
      <c r="I71" s="47">
        <f t="shared" ref="I71:I104" si="16">H71*E71</f>
        <v>0</v>
      </c>
      <c r="J71" s="39" t="str">
        <f t="shared" ref="J71:J104" si="17">CHOOSE(SIGN(G71 - F71) + 2, "Penurunan IU", "Tidak Ada Perubahan", "Kenaikan IU")</f>
        <v>Tidak Ada Perubahan</v>
      </c>
      <c r="K71" s="72" t="s">
        <v>1178</v>
      </c>
      <c r="X71" s="3" t="s">
        <v>553</v>
      </c>
      <c r="Y71" t="s">
        <v>554</v>
      </c>
      <c r="Z71" t="s">
        <v>182</v>
      </c>
      <c r="AA71" s="10">
        <v>2</v>
      </c>
      <c r="AB71" t="s">
        <v>20</v>
      </c>
      <c r="AC71" s="10">
        <v>20000</v>
      </c>
      <c r="AD71" s="4">
        <v>40000</v>
      </c>
      <c r="AF71" s="20" t="s">
        <v>42</v>
      </c>
      <c r="AG71" s="18" t="s">
        <v>43</v>
      </c>
      <c r="AH71" s="18" t="s">
        <v>44</v>
      </c>
      <c r="AI71" s="18" t="s">
        <v>45</v>
      </c>
      <c r="AJ71" s="18" t="s">
        <v>46</v>
      </c>
      <c r="AK71" s="18" t="s">
        <v>47</v>
      </c>
      <c r="AL71" s="18" t="s">
        <v>48</v>
      </c>
      <c r="AM71" s="19" t="s">
        <v>49</v>
      </c>
      <c r="AW71" s="5" t="s">
        <v>553</v>
      </c>
      <c r="AX71" s="6" t="s">
        <v>554</v>
      </c>
      <c r="AY71" s="6" t="s">
        <v>182</v>
      </c>
      <c r="AZ71" s="10">
        <v>2</v>
      </c>
      <c r="BA71" s="6" t="s">
        <v>20</v>
      </c>
      <c r="BB71" s="10">
        <v>20000</v>
      </c>
      <c r="BC71" s="4">
        <v>40000</v>
      </c>
    </row>
    <row r="72" spans="1:55" ht="15" thickTop="1" x14ac:dyDescent="0.35">
      <c r="A72" s="38" t="str">
        <v>STA00114</v>
      </c>
      <c r="B72" s="31" t="str">
        <f t="shared" si="9"/>
        <v>LABEL HARGA</v>
      </c>
      <c r="C72" s="31" t="str">
        <f t="shared" si="10"/>
        <v>STATIONARY AND OFFICE SUPPLIES</v>
      </c>
      <c r="D72" s="39" t="str">
        <f t="shared" si="11"/>
        <v>pcs</v>
      </c>
      <c r="E72" s="40">
        <f t="shared" si="12"/>
        <v>2060.5555555555561</v>
      </c>
      <c r="F72" s="48">
        <f t="shared" si="13"/>
        <v>3</v>
      </c>
      <c r="G72" s="48">
        <f t="shared" si="14"/>
        <v>3</v>
      </c>
      <c r="H72" s="48">
        <f t="shared" si="15"/>
        <v>0</v>
      </c>
      <c r="I72" s="47">
        <f t="shared" si="16"/>
        <v>0</v>
      </c>
      <c r="J72" s="39" t="str">
        <f t="shared" si="17"/>
        <v>Tidak Ada Perubahan</v>
      </c>
      <c r="K72" s="72" t="s">
        <v>1187</v>
      </c>
      <c r="O72" s="88" t="s">
        <v>0</v>
      </c>
      <c r="P72" s="89"/>
      <c r="Q72" s="89"/>
      <c r="R72" s="89"/>
      <c r="S72" s="89"/>
      <c r="T72" s="1"/>
      <c r="U72" s="1"/>
      <c r="V72" s="2"/>
      <c r="X72" s="3" t="s">
        <v>596</v>
      </c>
      <c r="Y72" t="s">
        <v>597</v>
      </c>
      <c r="Z72" t="s">
        <v>192</v>
      </c>
      <c r="AA72" s="10">
        <v>1</v>
      </c>
      <c r="AB72" t="s">
        <v>20</v>
      </c>
      <c r="AC72" s="10">
        <v>51170</v>
      </c>
      <c r="AD72" s="4">
        <v>51170</v>
      </c>
      <c r="AF72" s="20">
        <v>1</v>
      </c>
      <c r="AG72" s="18" t="s">
        <v>460</v>
      </c>
      <c r="AH72" s="18" t="s">
        <v>461</v>
      </c>
      <c r="AI72" s="18" t="s">
        <v>117</v>
      </c>
      <c r="AJ72" s="21">
        <v>1</v>
      </c>
      <c r="AK72" s="18" t="s">
        <v>20</v>
      </c>
      <c r="AL72" s="21">
        <v>152985.55220000001</v>
      </c>
      <c r="AM72" s="19">
        <v>152985.55220000001</v>
      </c>
      <c r="AW72" s="5" t="s">
        <v>596</v>
      </c>
      <c r="AX72" s="6" t="s">
        <v>597</v>
      </c>
      <c r="AY72" s="6" t="s">
        <v>192</v>
      </c>
      <c r="AZ72" s="10">
        <v>1</v>
      </c>
      <c r="BA72" s="6" t="s">
        <v>20</v>
      </c>
      <c r="BB72" s="10">
        <v>51170</v>
      </c>
      <c r="BC72" s="4">
        <v>51170</v>
      </c>
    </row>
    <row r="73" spans="1:55" x14ac:dyDescent="0.35">
      <c r="A73" s="38" t="str">
        <v>KW000046</v>
      </c>
      <c r="B73" s="31" t="str">
        <f t="shared" si="9"/>
        <v>SPATULA KAYU / WOODEN SPATULA</v>
      </c>
      <c r="C73" s="31" t="str">
        <f t="shared" si="10"/>
        <v>KITCHENWARE TOOLS</v>
      </c>
      <c r="D73" s="39" t="str">
        <f t="shared" si="11"/>
        <v>pcs</v>
      </c>
      <c r="E73" s="40">
        <f t="shared" si="12"/>
        <v>10500</v>
      </c>
      <c r="F73" s="48">
        <f t="shared" si="13"/>
        <v>1</v>
      </c>
      <c r="G73" s="48" t="str">
        <f t="shared" si="14"/>
        <v>0</v>
      </c>
      <c r="H73" s="48">
        <f t="shared" si="15"/>
        <v>-1</v>
      </c>
      <c r="I73" s="47">
        <f t="shared" si="16"/>
        <v>-10500</v>
      </c>
      <c r="J73" s="39" t="str">
        <f t="shared" si="17"/>
        <v>Penurunan IU</v>
      </c>
      <c r="K73" s="72" t="s">
        <v>1188</v>
      </c>
      <c r="O73" s="86" t="s">
        <v>1</v>
      </c>
      <c r="P73" s="87"/>
      <c r="Q73" s="87"/>
      <c r="R73" s="87"/>
      <c r="S73" s="87"/>
      <c r="V73" s="4"/>
      <c r="X73" s="3" t="s">
        <v>442</v>
      </c>
      <c r="Y73" t="s">
        <v>443</v>
      </c>
      <c r="Z73" t="s">
        <v>192</v>
      </c>
      <c r="AA73" s="10">
        <v>3</v>
      </c>
      <c r="AB73" t="s">
        <v>20</v>
      </c>
      <c r="AC73" s="10">
        <v>18480</v>
      </c>
      <c r="AD73" s="4">
        <v>55440</v>
      </c>
      <c r="AF73" s="20">
        <v>2</v>
      </c>
      <c r="AG73" s="18" t="s">
        <v>115</v>
      </c>
      <c r="AH73" s="18" t="s">
        <v>116</v>
      </c>
      <c r="AI73" s="18" t="s">
        <v>117</v>
      </c>
      <c r="AJ73" s="21">
        <v>929</v>
      </c>
      <c r="AK73" s="18" t="s">
        <v>52</v>
      </c>
      <c r="AL73" s="21">
        <v>600.42139999999995</v>
      </c>
      <c r="AM73" s="19">
        <v>557791.48060000001</v>
      </c>
      <c r="AW73" s="5" t="s">
        <v>442</v>
      </c>
      <c r="AX73" s="6" t="s">
        <v>443</v>
      </c>
      <c r="AY73" s="6" t="s">
        <v>192</v>
      </c>
      <c r="AZ73" s="10">
        <v>3</v>
      </c>
      <c r="BA73" s="6" t="s">
        <v>20</v>
      </c>
      <c r="BB73" s="10">
        <v>18480</v>
      </c>
      <c r="BC73" s="4">
        <v>55440</v>
      </c>
    </row>
    <row r="74" spans="1:55" x14ac:dyDescent="0.35">
      <c r="A74" s="38" t="str">
        <v>KW00317</v>
      </c>
      <c r="B74" s="31" t="str">
        <f t="shared" si="9"/>
        <v>SPATULA SILIKON - ABU</v>
      </c>
      <c r="C74" s="31" t="str">
        <f t="shared" si="10"/>
        <v>KITCHENWARE TOOLS</v>
      </c>
      <c r="D74" s="39" t="str">
        <f t="shared" si="11"/>
        <v>pcs</v>
      </c>
      <c r="E74" s="40">
        <f t="shared" si="12"/>
        <v>16166.670000000002</v>
      </c>
      <c r="F74" s="48">
        <f t="shared" si="13"/>
        <v>3</v>
      </c>
      <c r="G74" s="48" t="str">
        <f t="shared" si="14"/>
        <v>0</v>
      </c>
      <c r="H74" s="48">
        <f t="shared" si="15"/>
        <v>-3</v>
      </c>
      <c r="I74" s="47">
        <f t="shared" si="16"/>
        <v>-48500.010000000009</v>
      </c>
      <c r="J74" s="39" t="str">
        <f t="shared" si="17"/>
        <v>Penurunan IU</v>
      </c>
      <c r="K74" s="72" t="s">
        <v>1188</v>
      </c>
      <c r="O74" s="3"/>
      <c r="V74" s="4"/>
      <c r="X74" s="3" t="s">
        <v>555</v>
      </c>
      <c r="Y74" t="s">
        <v>556</v>
      </c>
      <c r="Z74" t="s">
        <v>192</v>
      </c>
      <c r="AA74" s="10">
        <v>2</v>
      </c>
      <c r="AB74" t="s">
        <v>20</v>
      </c>
      <c r="AC74" s="10">
        <v>34900</v>
      </c>
      <c r="AD74" s="4">
        <v>69800</v>
      </c>
      <c r="AF74" s="20">
        <v>3</v>
      </c>
      <c r="AG74" s="18" t="s">
        <v>883</v>
      </c>
      <c r="AH74" s="18" t="s">
        <v>884</v>
      </c>
      <c r="AI74" s="18" t="s">
        <v>117</v>
      </c>
      <c r="AJ74" s="21">
        <v>1</v>
      </c>
      <c r="AK74" s="18" t="s">
        <v>20</v>
      </c>
      <c r="AL74" s="21">
        <v>1120000</v>
      </c>
      <c r="AM74" s="19">
        <v>1120000</v>
      </c>
      <c r="AW74" s="5" t="s">
        <v>555</v>
      </c>
      <c r="AX74" s="6" t="s">
        <v>556</v>
      </c>
      <c r="AY74" s="6" t="s">
        <v>192</v>
      </c>
      <c r="AZ74" s="10">
        <v>2</v>
      </c>
      <c r="BA74" s="6" t="s">
        <v>20</v>
      </c>
      <c r="BB74" s="10">
        <v>34900</v>
      </c>
      <c r="BC74" s="4">
        <v>69800</v>
      </c>
    </row>
    <row r="75" spans="1:55" ht="15" thickBot="1" x14ac:dyDescent="0.4">
      <c r="A75" s="38" t="str">
        <v>TCT00022</v>
      </c>
      <c r="B75" s="31" t="str">
        <f t="shared" si="9"/>
        <v>SHARING PLATE  STAINLESS 12 CM</v>
      </c>
      <c r="C75" s="31" t="str">
        <f t="shared" si="10"/>
        <v>CUTELERIES</v>
      </c>
      <c r="D75" s="39" t="str">
        <f t="shared" si="11"/>
        <v>pcs</v>
      </c>
      <c r="E75" s="40">
        <f t="shared" si="12"/>
        <v>20000</v>
      </c>
      <c r="F75" s="48">
        <f t="shared" si="13"/>
        <v>2</v>
      </c>
      <c r="G75" s="48" t="str">
        <f t="shared" si="14"/>
        <v>0</v>
      </c>
      <c r="H75" s="48">
        <f t="shared" si="15"/>
        <v>-2</v>
      </c>
      <c r="I75" s="47">
        <f t="shared" si="16"/>
        <v>-40000</v>
      </c>
      <c r="J75" s="39" t="str">
        <f t="shared" si="17"/>
        <v>Penurunan IU</v>
      </c>
      <c r="K75" s="72" t="s">
        <v>1188</v>
      </c>
      <c r="O75" s="86" t="s">
        <v>10</v>
      </c>
      <c r="P75" s="87" t="s">
        <v>11</v>
      </c>
      <c r="Q75" t="s">
        <v>632</v>
      </c>
      <c r="V75" s="4"/>
      <c r="X75" s="11" t="s">
        <v>333</v>
      </c>
      <c r="Y75" s="12" t="s">
        <v>334</v>
      </c>
      <c r="Z75" s="12" t="s">
        <v>192</v>
      </c>
      <c r="AA75" s="12">
        <v>26</v>
      </c>
      <c r="AB75" s="12" t="s">
        <v>20</v>
      </c>
      <c r="AC75" s="12">
        <v>3666.67</v>
      </c>
      <c r="AD75" s="13">
        <v>95333.42</v>
      </c>
      <c r="AF75" s="20">
        <v>4</v>
      </c>
      <c r="AG75" s="18" t="s">
        <v>578</v>
      </c>
      <c r="AH75" s="18" t="s">
        <v>579</v>
      </c>
      <c r="AI75" s="18" t="s">
        <v>120</v>
      </c>
      <c r="AJ75" s="21">
        <v>2</v>
      </c>
      <c r="AK75" s="18" t="s">
        <v>20</v>
      </c>
      <c r="AL75" s="21">
        <v>219308.33333333334</v>
      </c>
      <c r="AM75" s="19">
        <v>438616.66666699998</v>
      </c>
      <c r="AW75" s="11" t="s">
        <v>333</v>
      </c>
      <c r="AX75" s="12" t="s">
        <v>334</v>
      </c>
      <c r="AY75" s="12" t="s">
        <v>192</v>
      </c>
      <c r="AZ75" s="12">
        <v>26</v>
      </c>
      <c r="BA75" s="12" t="s">
        <v>20</v>
      </c>
      <c r="BB75" s="12">
        <v>3666.67</v>
      </c>
      <c r="BC75" s="13">
        <v>95333.42</v>
      </c>
    </row>
    <row r="76" spans="1:55" ht="15" thickTop="1" x14ac:dyDescent="0.35">
      <c r="A76" s="38" t="str">
        <v>TGW00008</v>
      </c>
      <c r="B76" s="31" t="str">
        <f t="shared" si="9"/>
        <v>IGIGLORI 2710 PIRING HITAM GIMBAP</v>
      </c>
      <c r="C76" s="31" t="str">
        <f t="shared" si="10"/>
        <v>TABLEWARE</v>
      </c>
      <c r="D76" s="39" t="str">
        <f t="shared" si="11"/>
        <v>pcs</v>
      </c>
      <c r="E76" s="40">
        <f t="shared" si="12"/>
        <v>51170</v>
      </c>
      <c r="F76" s="48">
        <f t="shared" si="13"/>
        <v>1</v>
      </c>
      <c r="G76" s="48" t="str">
        <f t="shared" si="14"/>
        <v>0</v>
      </c>
      <c r="H76" s="48">
        <f t="shared" si="15"/>
        <v>-1</v>
      </c>
      <c r="I76" s="47">
        <f t="shared" si="16"/>
        <v>-51170</v>
      </c>
      <c r="J76" s="39" t="str">
        <f t="shared" si="17"/>
        <v>Penurunan IU</v>
      </c>
      <c r="K76" s="72" t="s">
        <v>1188</v>
      </c>
      <c r="O76" s="86" t="s">
        <v>16</v>
      </c>
      <c r="P76" s="87" t="s">
        <v>11</v>
      </c>
      <c r="Q76" t="s">
        <v>17</v>
      </c>
      <c r="V76" s="4"/>
      <c r="AF76" s="20">
        <v>5</v>
      </c>
      <c r="AG76" s="18" t="s">
        <v>121</v>
      </c>
      <c r="AH76" s="18" t="s">
        <v>122</v>
      </c>
      <c r="AI76" s="18" t="s">
        <v>123</v>
      </c>
      <c r="AJ76" s="21">
        <v>4</v>
      </c>
      <c r="AK76" s="18" t="s">
        <v>5</v>
      </c>
      <c r="AL76" s="21">
        <v>5000</v>
      </c>
      <c r="AM76" s="19">
        <v>20000</v>
      </c>
      <c r="AW76" s="25" t="s">
        <v>65</v>
      </c>
      <c r="AX76" s="16" t="s">
        <v>66</v>
      </c>
      <c r="AY76" s="16" t="s">
        <v>67</v>
      </c>
      <c r="AZ76" s="26">
        <v>9</v>
      </c>
      <c r="BA76" s="16" t="s">
        <v>20</v>
      </c>
      <c r="BB76" s="26">
        <v>320</v>
      </c>
      <c r="BC76" s="17">
        <v>2880</v>
      </c>
    </row>
    <row r="77" spans="1:55" x14ac:dyDescent="0.35">
      <c r="A77" s="38" t="str">
        <v>TGW00009</v>
      </c>
      <c r="B77" s="31" t="str">
        <f t="shared" si="9"/>
        <v>IGIGLORI M6003 GELAS HITAM KOREA</v>
      </c>
      <c r="C77" s="31" t="str">
        <f t="shared" si="10"/>
        <v>TABLEWARE</v>
      </c>
      <c r="D77" s="39" t="str">
        <f t="shared" si="11"/>
        <v>pcs</v>
      </c>
      <c r="E77" s="40">
        <f t="shared" si="12"/>
        <v>18480</v>
      </c>
      <c r="F77" s="48">
        <f t="shared" si="13"/>
        <v>3</v>
      </c>
      <c r="G77" s="48">
        <f t="shared" si="14"/>
        <v>2</v>
      </c>
      <c r="H77" s="48">
        <f t="shared" si="15"/>
        <v>-1</v>
      </c>
      <c r="I77" s="47">
        <f t="shared" si="16"/>
        <v>-18480</v>
      </c>
      <c r="J77" s="39" t="str">
        <f t="shared" si="17"/>
        <v>Penurunan IU</v>
      </c>
      <c r="K77" s="72" t="s">
        <v>1188</v>
      </c>
      <c r="O77" s="86" t="s">
        <v>21</v>
      </c>
      <c r="P77" s="87" t="s">
        <v>11</v>
      </c>
      <c r="Q77" t="s">
        <v>610</v>
      </c>
      <c r="V77" s="4"/>
      <c r="AF77" s="20">
        <v>6</v>
      </c>
      <c r="AG77" s="18" t="s">
        <v>124</v>
      </c>
      <c r="AH77" s="18" t="s">
        <v>125</v>
      </c>
      <c r="AI77" s="18" t="s">
        <v>123</v>
      </c>
      <c r="AJ77" s="21">
        <v>20</v>
      </c>
      <c r="AK77" s="18" t="s">
        <v>5</v>
      </c>
      <c r="AL77" s="21">
        <v>5628.853790909091</v>
      </c>
      <c r="AM77" s="19">
        <v>112577.075818</v>
      </c>
      <c r="AW77" s="20" t="s">
        <v>355</v>
      </c>
      <c r="AX77" s="18" t="s">
        <v>356</v>
      </c>
      <c r="AY77" s="18" t="s">
        <v>67</v>
      </c>
      <c r="AZ77" s="21">
        <v>0.1</v>
      </c>
      <c r="BA77" s="18" t="s">
        <v>160</v>
      </c>
      <c r="BB77" s="21">
        <v>4576.9231</v>
      </c>
      <c r="BC77" s="19">
        <v>457.69231000000002</v>
      </c>
    </row>
    <row r="78" spans="1:55" x14ac:dyDescent="0.35">
      <c r="A78" s="38" t="str">
        <v>TGW00010</v>
      </c>
      <c r="B78" s="31" t="str">
        <f t="shared" si="9"/>
        <v>TEMPAT SAMBAL ACRYLIC - BESAR</v>
      </c>
      <c r="C78" s="31" t="str">
        <f t="shared" si="10"/>
        <v>TABLEWARE</v>
      </c>
      <c r="D78" s="39" t="str">
        <f t="shared" si="11"/>
        <v>pcs</v>
      </c>
      <c r="E78" s="40">
        <f t="shared" si="12"/>
        <v>34900</v>
      </c>
      <c r="F78" s="48">
        <f t="shared" si="13"/>
        <v>2</v>
      </c>
      <c r="G78" s="48" t="str">
        <f t="shared" si="14"/>
        <v>0</v>
      </c>
      <c r="H78" s="48">
        <f t="shared" si="15"/>
        <v>-2</v>
      </c>
      <c r="I78" s="47">
        <f t="shared" si="16"/>
        <v>-69800</v>
      </c>
      <c r="J78" s="39" t="str">
        <f t="shared" si="17"/>
        <v>Penurunan IU</v>
      </c>
      <c r="K78" s="72" t="s">
        <v>1188</v>
      </c>
      <c r="O78" s="86" t="s">
        <v>26</v>
      </c>
      <c r="P78" s="87" t="s">
        <v>11</v>
      </c>
      <c r="Q78" t="s">
        <v>633</v>
      </c>
      <c r="V78" s="4"/>
      <c r="AF78" s="20">
        <v>7</v>
      </c>
      <c r="AG78" s="18" t="s">
        <v>126</v>
      </c>
      <c r="AH78" s="18" t="s">
        <v>127</v>
      </c>
      <c r="AI78" s="18" t="s">
        <v>123</v>
      </c>
      <c r="AJ78" s="21">
        <v>26</v>
      </c>
      <c r="AK78" s="18" t="s">
        <v>5</v>
      </c>
      <c r="AL78" s="21">
        <v>6847.2627571428566</v>
      </c>
      <c r="AM78" s="19">
        <v>178028.83168599999</v>
      </c>
      <c r="AW78" s="20" t="s">
        <v>232</v>
      </c>
      <c r="AX78" s="18" t="s">
        <v>233</v>
      </c>
      <c r="AY78" s="18" t="s">
        <v>67</v>
      </c>
      <c r="AZ78" s="21">
        <v>1.5</v>
      </c>
      <c r="BA78" s="18" t="s">
        <v>20</v>
      </c>
      <c r="BB78" s="21">
        <v>5875</v>
      </c>
      <c r="BC78" s="19">
        <v>8812.5</v>
      </c>
    </row>
    <row r="79" spans="1:55" x14ac:dyDescent="0.35">
      <c r="A79" s="38" t="str">
        <v>TGW00012</v>
      </c>
      <c r="B79" s="31" t="str">
        <f t="shared" si="9"/>
        <v>SAUCER SAUCE MANGKUK SAUS P3</v>
      </c>
      <c r="C79" s="31" t="str">
        <f t="shared" si="10"/>
        <v>TABLEWARE</v>
      </c>
      <c r="D79" s="39" t="str">
        <f t="shared" si="11"/>
        <v>pcs</v>
      </c>
      <c r="E79" s="40">
        <f t="shared" si="12"/>
        <v>3666.67</v>
      </c>
      <c r="F79" s="48">
        <f t="shared" si="13"/>
        <v>26</v>
      </c>
      <c r="G79" s="48">
        <f t="shared" si="14"/>
        <v>12</v>
      </c>
      <c r="H79" s="48">
        <f t="shared" si="15"/>
        <v>-14</v>
      </c>
      <c r="I79" s="47">
        <f t="shared" si="16"/>
        <v>-51333.380000000005</v>
      </c>
      <c r="J79" s="39" t="str">
        <f t="shared" si="17"/>
        <v>Penurunan IU</v>
      </c>
      <c r="K79" s="72" t="s">
        <v>1188</v>
      </c>
      <c r="O79" s="86" t="s">
        <v>31</v>
      </c>
      <c r="P79" s="87" t="s">
        <v>11</v>
      </c>
      <c r="Q79" t="s">
        <v>109</v>
      </c>
      <c r="V79" s="4"/>
      <c r="AF79" s="20">
        <v>8</v>
      </c>
      <c r="AG79" s="18" t="s">
        <v>128</v>
      </c>
      <c r="AH79" s="18" t="s">
        <v>129</v>
      </c>
      <c r="AI79" s="18" t="s">
        <v>123</v>
      </c>
      <c r="AJ79" s="21">
        <v>2</v>
      </c>
      <c r="AK79" s="18" t="s">
        <v>74</v>
      </c>
      <c r="AL79" s="21">
        <v>142068.6164</v>
      </c>
      <c r="AM79" s="19">
        <v>284137.2328</v>
      </c>
      <c r="AW79" s="20" t="s">
        <v>72</v>
      </c>
      <c r="AX79" s="18" t="s">
        <v>73</v>
      </c>
      <c r="AY79" s="18" t="s">
        <v>67</v>
      </c>
      <c r="AZ79" s="21">
        <v>1</v>
      </c>
      <c r="BA79" s="18" t="s">
        <v>74</v>
      </c>
      <c r="BB79" s="21">
        <v>2853.2609000000002</v>
      </c>
      <c r="BC79" s="19">
        <v>2853.2609000000002</v>
      </c>
    </row>
    <row r="80" spans="1:55" x14ac:dyDescent="0.35">
      <c r="A80" s="38" t="str">
        <v>STA00011</v>
      </c>
      <c r="B80" s="31" t="str">
        <f t="shared" si="9"/>
        <v>BINDER CLIP 111</v>
      </c>
      <c r="C80" s="31" t="str">
        <f t="shared" si="10"/>
        <v>STATIONARY AND OFFICE SUPPLIES</v>
      </c>
      <c r="D80" s="39" t="str">
        <f t="shared" si="11"/>
        <v>box</v>
      </c>
      <c r="E80" s="40">
        <f t="shared" si="12"/>
        <v>4576.9231</v>
      </c>
      <c r="F80" s="48" t="str">
        <f t="shared" si="13"/>
        <v>0</v>
      </c>
      <c r="G80" s="48">
        <f t="shared" si="14"/>
        <v>0.1</v>
      </c>
      <c r="H80" s="48">
        <f t="shared" si="15"/>
        <v>0.1</v>
      </c>
      <c r="I80" s="47">
        <f t="shared" si="16"/>
        <v>457.69231000000002</v>
      </c>
      <c r="J80" s="39" t="str">
        <f t="shared" si="17"/>
        <v>Kenaikan IU</v>
      </c>
      <c r="K80" s="72" t="s">
        <v>1189</v>
      </c>
      <c r="O80" s="86" t="s">
        <v>35</v>
      </c>
      <c r="P80" s="87" t="s">
        <v>11</v>
      </c>
      <c r="Q80" t="s">
        <v>634</v>
      </c>
      <c r="V80" s="4"/>
      <c r="AF80" s="20">
        <v>9</v>
      </c>
      <c r="AG80" s="18" t="s">
        <v>130</v>
      </c>
      <c r="AH80" s="18" t="s">
        <v>131</v>
      </c>
      <c r="AI80" s="18" t="s">
        <v>123</v>
      </c>
      <c r="AJ80" s="21">
        <v>37</v>
      </c>
      <c r="AK80" s="18" t="s">
        <v>5</v>
      </c>
      <c r="AL80" s="21">
        <v>6355.4429513513523</v>
      </c>
      <c r="AM80" s="19">
        <v>235151.38920000001</v>
      </c>
      <c r="AW80" s="20" t="s">
        <v>77</v>
      </c>
      <c r="AX80" s="18" t="s">
        <v>78</v>
      </c>
      <c r="AY80" s="18" t="s">
        <v>67</v>
      </c>
      <c r="AZ80" s="21">
        <v>1</v>
      </c>
      <c r="BA80" s="18" t="s">
        <v>20</v>
      </c>
      <c r="BB80" s="21">
        <v>6500</v>
      </c>
      <c r="BC80" s="19">
        <v>6500</v>
      </c>
    </row>
    <row r="81" spans="1:55" x14ac:dyDescent="0.35">
      <c r="A81" s="38" t="str">
        <v>STA00025</v>
      </c>
      <c r="B81" s="31" t="str">
        <f t="shared" si="9"/>
        <v>DOUBLE TAPE</v>
      </c>
      <c r="C81" s="31" t="str">
        <f t="shared" si="10"/>
        <v>STATIONARY AND OFFICE SUPPLIES</v>
      </c>
      <c r="D81" s="39" t="str">
        <f t="shared" si="11"/>
        <v>pcs</v>
      </c>
      <c r="E81" s="40">
        <f t="shared" si="12"/>
        <v>5875</v>
      </c>
      <c r="F81" s="48" t="str">
        <f t="shared" si="13"/>
        <v>0</v>
      </c>
      <c r="G81" s="48">
        <f t="shared" si="14"/>
        <v>1.5</v>
      </c>
      <c r="H81" s="48">
        <f t="shared" si="15"/>
        <v>1.5</v>
      </c>
      <c r="I81" s="47">
        <f t="shared" si="16"/>
        <v>8812.5</v>
      </c>
      <c r="J81" s="39" t="str">
        <f t="shared" si="17"/>
        <v>Kenaikan IU</v>
      </c>
      <c r="K81" s="72" t="s">
        <v>1190</v>
      </c>
      <c r="O81" s="3"/>
      <c r="V81" s="4"/>
      <c r="AF81" s="20">
        <v>10</v>
      </c>
      <c r="AG81" s="18" t="s">
        <v>132</v>
      </c>
      <c r="AH81" s="18" t="s">
        <v>133</v>
      </c>
      <c r="AI81" s="18" t="s">
        <v>123</v>
      </c>
      <c r="AJ81" s="21">
        <v>24</v>
      </c>
      <c r="AK81" s="18" t="s">
        <v>134</v>
      </c>
      <c r="AL81" s="21">
        <v>12980.537438915771</v>
      </c>
      <c r="AM81" s="19">
        <v>311532.89853399998</v>
      </c>
      <c r="AW81" s="20" t="s">
        <v>79</v>
      </c>
      <c r="AX81" s="18" t="s">
        <v>80</v>
      </c>
      <c r="AY81" s="18" t="s">
        <v>67</v>
      </c>
      <c r="AZ81" s="21">
        <v>2</v>
      </c>
      <c r="BA81" s="18" t="s">
        <v>20</v>
      </c>
      <c r="BB81" s="21">
        <v>15000</v>
      </c>
      <c r="BC81" s="19">
        <v>30000</v>
      </c>
    </row>
    <row r="82" spans="1:55" x14ac:dyDescent="0.35">
      <c r="A82" s="38" t="str">
        <v>STA00032</v>
      </c>
      <c r="B82" s="31" t="str">
        <f t="shared" si="9"/>
        <v>SPIDOL SNOWMAN (NON PERMANENT)</v>
      </c>
      <c r="C82" s="31" t="str">
        <f t="shared" si="10"/>
        <v>STATIONARY AND OFFICE SUPPLIES</v>
      </c>
      <c r="D82" s="39" t="str">
        <f t="shared" si="11"/>
        <v>pcs</v>
      </c>
      <c r="E82" s="40">
        <f t="shared" si="12"/>
        <v>6500</v>
      </c>
      <c r="F82" s="48" t="str">
        <f t="shared" si="13"/>
        <v>0</v>
      </c>
      <c r="G82" s="48">
        <f t="shared" si="14"/>
        <v>1</v>
      </c>
      <c r="H82" s="48">
        <f t="shared" si="15"/>
        <v>1</v>
      </c>
      <c r="I82" s="47">
        <f t="shared" si="16"/>
        <v>6500</v>
      </c>
      <c r="J82" s="39" t="str">
        <f t="shared" si="17"/>
        <v>Kenaikan IU</v>
      </c>
      <c r="K82" s="72" t="s">
        <v>1191</v>
      </c>
      <c r="O82" s="3" t="s">
        <v>42</v>
      </c>
      <c r="P82" t="s">
        <v>43</v>
      </c>
      <c r="Q82" t="s">
        <v>44</v>
      </c>
      <c r="R82" t="s">
        <v>45</v>
      </c>
      <c r="S82" t="s">
        <v>46</v>
      </c>
      <c r="T82" t="s">
        <v>47</v>
      </c>
      <c r="U82" t="s">
        <v>48</v>
      </c>
      <c r="V82" s="4" t="s">
        <v>49</v>
      </c>
      <c r="AF82" s="20">
        <v>11</v>
      </c>
      <c r="AG82" s="18" t="s">
        <v>135</v>
      </c>
      <c r="AH82" s="18" t="s">
        <v>136</v>
      </c>
      <c r="AI82" s="18" t="s">
        <v>123</v>
      </c>
      <c r="AJ82" s="21">
        <v>31</v>
      </c>
      <c r="AK82" s="18" t="s">
        <v>5</v>
      </c>
      <c r="AL82" s="21">
        <v>5726.846147368421</v>
      </c>
      <c r="AM82" s="19">
        <v>177532.230568</v>
      </c>
      <c r="AW82" s="20" t="s">
        <v>236</v>
      </c>
      <c r="AX82" s="18" t="s">
        <v>237</v>
      </c>
      <c r="AY82" s="18" t="s">
        <v>67</v>
      </c>
      <c r="AZ82" s="21">
        <v>1</v>
      </c>
      <c r="BA82" s="18" t="s">
        <v>20</v>
      </c>
      <c r="BB82" s="21">
        <v>7442.4767000000002</v>
      </c>
      <c r="BC82" s="19">
        <v>7442.4767000000002</v>
      </c>
    </row>
    <row r="83" spans="1:55" x14ac:dyDescent="0.35">
      <c r="A83" s="38" t="str">
        <v>STA00091</v>
      </c>
      <c r="B83" s="31" t="str">
        <f t="shared" si="9"/>
        <v>BUKU LOG FOLIO BERGARIS</v>
      </c>
      <c r="C83" s="31" t="str">
        <f t="shared" si="10"/>
        <v>STATIONARY AND OFFICE SUPPLIES</v>
      </c>
      <c r="D83" s="39" t="str">
        <f t="shared" si="11"/>
        <v>buku</v>
      </c>
      <c r="E83" s="40">
        <f t="shared" si="12"/>
        <v>18000</v>
      </c>
      <c r="F83" s="48" t="str">
        <f t="shared" si="13"/>
        <v>0</v>
      </c>
      <c r="G83" s="48">
        <f t="shared" si="14"/>
        <v>1</v>
      </c>
      <c r="H83" s="48">
        <f t="shared" si="15"/>
        <v>1</v>
      </c>
      <c r="I83" s="47">
        <f t="shared" si="16"/>
        <v>18000</v>
      </c>
      <c r="J83" s="39" t="str">
        <f t="shared" si="17"/>
        <v>Kenaikan IU</v>
      </c>
      <c r="K83" s="72" t="s">
        <v>1192</v>
      </c>
      <c r="O83" s="3">
        <v>1</v>
      </c>
      <c r="P83" t="s">
        <v>65</v>
      </c>
      <c r="Q83" t="s">
        <v>66</v>
      </c>
      <c r="R83" t="s">
        <v>67</v>
      </c>
      <c r="S83" s="10">
        <v>15</v>
      </c>
      <c r="T83" t="s">
        <v>20</v>
      </c>
      <c r="U83" s="10">
        <v>320</v>
      </c>
      <c r="V83" s="4">
        <v>4800</v>
      </c>
      <c r="AF83" s="20">
        <v>12</v>
      </c>
      <c r="AG83" s="18" t="s">
        <v>137</v>
      </c>
      <c r="AH83" s="18" t="s">
        <v>138</v>
      </c>
      <c r="AI83" s="18" t="s">
        <v>123</v>
      </c>
      <c r="AJ83" s="21">
        <v>27</v>
      </c>
      <c r="AK83" s="18" t="s">
        <v>5</v>
      </c>
      <c r="AL83" s="21">
        <v>16093.904642105264</v>
      </c>
      <c r="AM83" s="19">
        <v>434535.42533699999</v>
      </c>
      <c r="AW83" s="20" t="s">
        <v>357</v>
      </c>
      <c r="AX83" s="18" t="s">
        <v>358</v>
      </c>
      <c r="AY83" s="18" t="s">
        <v>67</v>
      </c>
      <c r="AZ83" s="21">
        <v>0.4</v>
      </c>
      <c r="BA83" s="18" t="s">
        <v>5</v>
      </c>
      <c r="BB83" s="21">
        <v>32500</v>
      </c>
      <c r="BC83" s="19">
        <v>13000</v>
      </c>
    </row>
    <row r="84" spans="1:55" x14ac:dyDescent="0.35">
      <c r="A84" s="38" t="str">
        <v>STA00109</v>
      </c>
      <c r="B84" s="31" t="str">
        <f t="shared" si="9"/>
        <v>STOCK CARD</v>
      </c>
      <c r="C84" s="31" t="str">
        <f t="shared" si="10"/>
        <v>STATIONARY AND OFFICE SUPPLIES</v>
      </c>
      <c r="D84" s="39" t="str">
        <f t="shared" si="11"/>
        <v>pack</v>
      </c>
      <c r="E84" s="40">
        <f t="shared" si="12"/>
        <v>16250</v>
      </c>
      <c r="F84" s="48" t="str">
        <f t="shared" si="13"/>
        <v>0</v>
      </c>
      <c r="G84" s="48">
        <f t="shared" si="14"/>
        <v>0.5</v>
      </c>
      <c r="H84" s="48">
        <f t="shared" si="15"/>
        <v>0.5</v>
      </c>
      <c r="I84" s="47">
        <f t="shared" si="16"/>
        <v>8125</v>
      </c>
      <c r="J84" s="39" t="str">
        <f t="shared" si="17"/>
        <v>Kenaikan IU</v>
      </c>
      <c r="K84" s="72" t="s">
        <v>1193</v>
      </c>
      <c r="O84" s="3">
        <v>2</v>
      </c>
      <c r="P84" t="s">
        <v>230</v>
      </c>
      <c r="Q84" t="s">
        <v>231</v>
      </c>
      <c r="R84" t="s">
        <v>67</v>
      </c>
      <c r="S84" s="10">
        <v>1</v>
      </c>
      <c r="T84" t="s">
        <v>5</v>
      </c>
      <c r="U84" s="10">
        <v>13654.1667</v>
      </c>
      <c r="V84" s="4">
        <v>13654.1667</v>
      </c>
      <c r="AF84" s="20">
        <v>13</v>
      </c>
      <c r="AG84" s="18" t="s">
        <v>141</v>
      </c>
      <c r="AH84" s="18" t="s">
        <v>142</v>
      </c>
      <c r="AI84" s="18" t="s">
        <v>123</v>
      </c>
      <c r="AJ84" s="21">
        <v>11</v>
      </c>
      <c r="AK84" s="18" t="s">
        <v>5</v>
      </c>
      <c r="AL84" s="21">
        <v>42358.305025000001</v>
      </c>
      <c r="AM84" s="19">
        <v>465941.35527499998</v>
      </c>
      <c r="AW84" s="20" t="s">
        <v>624</v>
      </c>
      <c r="AX84" s="18" t="s">
        <v>625</v>
      </c>
      <c r="AY84" s="18" t="s">
        <v>67</v>
      </c>
      <c r="AZ84" s="21">
        <v>0.2</v>
      </c>
      <c r="BA84" s="18" t="s">
        <v>5</v>
      </c>
      <c r="BB84" s="21">
        <v>7545.4545000000007</v>
      </c>
      <c r="BC84" s="19">
        <v>1509.0908999999999</v>
      </c>
    </row>
    <row r="85" spans="1:55" x14ac:dyDescent="0.35">
      <c r="A85" s="38" t="str">
        <v>STA00111</v>
      </c>
      <c r="B85" s="31" t="str">
        <f t="shared" si="9"/>
        <v>DOUBLE TAPE FOAM HITAM</v>
      </c>
      <c r="C85" s="31" t="str">
        <f t="shared" si="10"/>
        <v>STATIONARY AND OFFICE SUPPLIES</v>
      </c>
      <c r="D85" s="39" t="str">
        <f t="shared" si="11"/>
        <v>ROLL</v>
      </c>
      <c r="E85" s="40">
        <f t="shared" si="12"/>
        <v>11632.5</v>
      </c>
      <c r="F85" s="48" t="str">
        <f t="shared" si="13"/>
        <v>0</v>
      </c>
      <c r="G85" s="48">
        <f t="shared" si="14"/>
        <v>0.5</v>
      </c>
      <c r="H85" s="48">
        <f t="shared" si="15"/>
        <v>0.5</v>
      </c>
      <c r="I85" s="47">
        <f t="shared" si="16"/>
        <v>5816.25</v>
      </c>
      <c r="J85" s="39" t="str">
        <f t="shared" si="17"/>
        <v>Kenaikan IU</v>
      </c>
      <c r="K85" s="72" t="s">
        <v>1194</v>
      </c>
      <c r="O85" s="3">
        <v>3</v>
      </c>
      <c r="P85" t="s">
        <v>509</v>
      </c>
      <c r="Q85" t="s">
        <v>510</v>
      </c>
      <c r="R85" t="s">
        <v>67</v>
      </c>
      <c r="S85" s="10">
        <v>1</v>
      </c>
      <c r="T85" t="s">
        <v>5</v>
      </c>
      <c r="U85" s="10">
        <v>6250</v>
      </c>
      <c r="V85" s="4">
        <v>6250</v>
      </c>
      <c r="AF85" s="20">
        <v>14</v>
      </c>
      <c r="AG85" s="18" t="s">
        <v>145</v>
      </c>
      <c r="AH85" s="18" t="s">
        <v>146</v>
      </c>
      <c r="AI85" s="18" t="s">
        <v>123</v>
      </c>
      <c r="AJ85" s="21">
        <v>116</v>
      </c>
      <c r="AK85" s="18" t="s">
        <v>5</v>
      </c>
      <c r="AL85" s="21">
        <v>4604.1441999999997</v>
      </c>
      <c r="AM85" s="19">
        <v>534080.72719999996</v>
      </c>
      <c r="AW85" s="20" t="s">
        <v>83</v>
      </c>
      <c r="AX85" s="18" t="s">
        <v>84</v>
      </c>
      <c r="AY85" s="18" t="s">
        <v>67</v>
      </c>
      <c r="AZ85" s="21">
        <v>0.8</v>
      </c>
      <c r="BA85" s="18" t="s">
        <v>20</v>
      </c>
      <c r="BB85" s="21">
        <v>11803.571400000001</v>
      </c>
      <c r="BC85" s="19">
        <v>9442.8571200000006</v>
      </c>
    </row>
    <row r="86" spans="1:55" x14ac:dyDescent="0.35">
      <c r="A86" s="38" t="str">
        <v>STA00115</v>
      </c>
      <c r="B86" s="31" t="str">
        <f t="shared" si="9"/>
        <v>STICKER SAUCE</v>
      </c>
      <c r="C86" s="31" t="str">
        <f t="shared" si="10"/>
        <v>STATIONARY AND OFFICE SUPPLIES</v>
      </c>
      <c r="D86" s="39" t="str">
        <f t="shared" si="11"/>
        <v>lembar</v>
      </c>
      <c r="E86" s="40">
        <f t="shared" si="12"/>
        <v>18208.2749</v>
      </c>
      <c r="F86" s="48" t="str">
        <f t="shared" si="13"/>
        <v>0</v>
      </c>
      <c r="G86" s="48">
        <f t="shared" si="14"/>
        <v>0.8</v>
      </c>
      <c r="H86" s="48">
        <f t="shared" si="15"/>
        <v>0.8</v>
      </c>
      <c r="I86" s="47">
        <f t="shared" si="16"/>
        <v>14566.619920000001</v>
      </c>
      <c r="J86" s="39" t="str">
        <f t="shared" si="17"/>
        <v>Kenaikan IU</v>
      </c>
      <c r="K86" s="72" t="s">
        <v>1195</v>
      </c>
      <c r="O86" s="3">
        <v>4</v>
      </c>
      <c r="P86" t="s">
        <v>72</v>
      </c>
      <c r="Q86" t="s">
        <v>73</v>
      </c>
      <c r="R86" t="s">
        <v>67</v>
      </c>
      <c r="S86" s="10">
        <v>6</v>
      </c>
      <c r="T86" t="s">
        <v>74</v>
      </c>
      <c r="U86" s="10">
        <v>3000</v>
      </c>
      <c r="V86" s="4">
        <v>18000</v>
      </c>
      <c r="AF86" s="20">
        <v>15</v>
      </c>
      <c r="AG86" s="18" t="s">
        <v>147</v>
      </c>
      <c r="AH86" s="18" t="s">
        <v>148</v>
      </c>
      <c r="AI86" s="18" t="s">
        <v>123</v>
      </c>
      <c r="AJ86" s="21">
        <v>3</v>
      </c>
      <c r="AK86" s="18" t="s">
        <v>5</v>
      </c>
      <c r="AL86" s="21">
        <v>15000</v>
      </c>
      <c r="AM86" s="19">
        <v>45000</v>
      </c>
      <c r="AW86" s="20" t="s">
        <v>242</v>
      </c>
      <c r="AX86" s="18" t="s">
        <v>243</v>
      </c>
      <c r="AY86" s="18" t="s">
        <v>67</v>
      </c>
      <c r="AZ86" s="21">
        <v>0.2</v>
      </c>
      <c r="BA86" s="18" t="s">
        <v>87</v>
      </c>
      <c r="BB86" s="21">
        <v>14500</v>
      </c>
      <c r="BC86" s="19">
        <v>2900</v>
      </c>
    </row>
    <row r="87" spans="1:55" x14ac:dyDescent="0.35">
      <c r="A87" s="38" t="str">
        <v>STA00129</v>
      </c>
      <c r="B87" s="31" t="str">
        <f t="shared" si="9"/>
        <v>KERTAS WARNING SIGN</v>
      </c>
      <c r="C87" s="31" t="str">
        <f t="shared" si="10"/>
        <v>STATIONARY AND OFFICE SUPPLIES</v>
      </c>
      <c r="D87" s="39" t="str">
        <f t="shared" si="11"/>
        <v>lembar</v>
      </c>
      <c r="E87" s="40">
        <f t="shared" si="12"/>
        <v>9986.2440000000006</v>
      </c>
      <c r="F87" s="48" t="str">
        <f t="shared" si="13"/>
        <v>0</v>
      </c>
      <c r="G87" s="48">
        <f t="shared" si="14"/>
        <v>2</v>
      </c>
      <c r="H87" s="48">
        <f t="shared" si="15"/>
        <v>2</v>
      </c>
      <c r="I87" s="47">
        <f t="shared" si="16"/>
        <v>19972.488000000001</v>
      </c>
      <c r="J87" s="39" t="str">
        <f t="shared" si="17"/>
        <v>Kenaikan IU</v>
      </c>
      <c r="K87" s="72" t="s">
        <v>1196</v>
      </c>
      <c r="O87" s="3">
        <v>5</v>
      </c>
      <c r="P87" t="s">
        <v>79</v>
      </c>
      <c r="Q87" t="s">
        <v>80</v>
      </c>
      <c r="R87" t="s">
        <v>67</v>
      </c>
      <c r="S87" s="10">
        <v>1</v>
      </c>
      <c r="T87" t="s">
        <v>20</v>
      </c>
      <c r="U87" s="10">
        <v>15000</v>
      </c>
      <c r="V87" s="4">
        <v>15000</v>
      </c>
      <c r="AF87" s="20">
        <v>16</v>
      </c>
      <c r="AG87" s="18" t="s">
        <v>418</v>
      </c>
      <c r="AH87" s="18" t="s">
        <v>419</v>
      </c>
      <c r="AI87" s="18" t="s">
        <v>151</v>
      </c>
      <c r="AJ87" s="21">
        <v>1</v>
      </c>
      <c r="AK87" s="18" t="s">
        <v>420</v>
      </c>
      <c r="AL87" s="21">
        <v>5333.34</v>
      </c>
      <c r="AM87" s="19">
        <v>5333.34</v>
      </c>
      <c r="AW87" s="20" t="s">
        <v>246</v>
      </c>
      <c r="AX87" s="18" t="s">
        <v>247</v>
      </c>
      <c r="AY87" s="18" t="s">
        <v>67</v>
      </c>
      <c r="AZ87" s="21">
        <v>3</v>
      </c>
      <c r="BA87" s="18" t="s">
        <v>5</v>
      </c>
      <c r="BB87" s="21">
        <v>2857.8571000000002</v>
      </c>
      <c r="BC87" s="19">
        <v>8573.5712999999996</v>
      </c>
    </row>
    <row r="88" spans="1:55" x14ac:dyDescent="0.35">
      <c r="A88" s="38" t="str">
        <v>STA00140</v>
      </c>
      <c r="B88" s="31" t="str">
        <f t="shared" si="9"/>
        <v>LABEL/STICKER TOM &amp; JERRY 121</v>
      </c>
      <c r="C88" s="31" t="str">
        <f t="shared" si="10"/>
        <v>STATIONARY AND OFFICE SUPPLIES</v>
      </c>
      <c r="D88" s="39" t="str">
        <f t="shared" si="11"/>
        <v>pack</v>
      </c>
      <c r="E88" s="40">
        <f t="shared" si="12"/>
        <v>6250</v>
      </c>
      <c r="F88" s="48" t="str">
        <f t="shared" si="13"/>
        <v>0</v>
      </c>
      <c r="G88" s="48">
        <f t="shared" si="14"/>
        <v>2</v>
      </c>
      <c r="H88" s="48">
        <f t="shared" si="15"/>
        <v>2</v>
      </c>
      <c r="I88" s="47">
        <f t="shared" si="16"/>
        <v>12500</v>
      </c>
      <c r="J88" s="39" t="str">
        <f t="shared" si="17"/>
        <v>Kenaikan IU</v>
      </c>
      <c r="K88" s="72" t="s">
        <v>1197</v>
      </c>
      <c r="O88" s="3">
        <v>6</v>
      </c>
      <c r="P88" t="s">
        <v>236</v>
      </c>
      <c r="Q88" t="s">
        <v>237</v>
      </c>
      <c r="R88" t="s">
        <v>67</v>
      </c>
      <c r="S88" s="10">
        <v>1</v>
      </c>
      <c r="T88" t="s">
        <v>20</v>
      </c>
      <c r="U88" s="10">
        <v>7500</v>
      </c>
      <c r="V88" s="4">
        <v>7500</v>
      </c>
      <c r="AF88" s="20">
        <v>17</v>
      </c>
      <c r="AG88" s="18" t="s">
        <v>268</v>
      </c>
      <c r="AH88" s="18" t="s">
        <v>269</v>
      </c>
      <c r="AI88" s="18" t="s">
        <v>151</v>
      </c>
      <c r="AJ88" s="21">
        <v>0.3</v>
      </c>
      <c r="AK88" s="18" t="s">
        <v>87</v>
      </c>
      <c r="AL88" s="21">
        <v>4500</v>
      </c>
      <c r="AM88" s="19">
        <v>1350</v>
      </c>
      <c r="AW88" s="20" t="s">
        <v>327</v>
      </c>
      <c r="AX88" s="18" t="s">
        <v>328</v>
      </c>
      <c r="AY88" s="18" t="s">
        <v>67</v>
      </c>
      <c r="AZ88" s="21">
        <v>1</v>
      </c>
      <c r="BA88" s="18" t="s">
        <v>5</v>
      </c>
      <c r="BB88" s="21">
        <v>5783.3333000000011</v>
      </c>
      <c r="BC88" s="19">
        <v>5783.3333000000002</v>
      </c>
    </row>
    <row r="89" spans="1:55" x14ac:dyDescent="0.35">
      <c r="A89" s="38" t="str">
        <v>KW000011</v>
      </c>
      <c r="B89" s="31" t="str">
        <f t="shared" si="9"/>
        <v>CETAKAN ES BATU</v>
      </c>
      <c r="C89" s="31" t="str">
        <f t="shared" si="10"/>
        <v>KITCHENWARE TOOLS</v>
      </c>
      <c r="D89" s="39" t="str">
        <f t="shared" si="11"/>
        <v>pcs</v>
      </c>
      <c r="E89" s="40">
        <f t="shared" si="12"/>
        <v>29023.340000000004</v>
      </c>
      <c r="F89" s="48" t="str">
        <f t="shared" si="13"/>
        <v>0</v>
      </c>
      <c r="G89" s="48">
        <f t="shared" si="14"/>
        <v>2</v>
      </c>
      <c r="H89" s="48">
        <f t="shared" si="15"/>
        <v>2</v>
      </c>
      <c r="I89" s="47">
        <f t="shared" si="16"/>
        <v>58046.680000000008</v>
      </c>
      <c r="J89" s="39" t="str">
        <f t="shared" si="17"/>
        <v>Kenaikan IU</v>
      </c>
      <c r="K89" s="72" t="s">
        <v>1196</v>
      </c>
      <c r="O89" s="3">
        <v>7</v>
      </c>
      <c r="P89" t="s">
        <v>81</v>
      </c>
      <c r="Q89" t="s">
        <v>82</v>
      </c>
      <c r="R89" t="s">
        <v>67</v>
      </c>
      <c r="S89" s="10">
        <v>2</v>
      </c>
      <c r="T89" t="s">
        <v>20</v>
      </c>
      <c r="U89" s="10">
        <v>9750</v>
      </c>
      <c r="V89" s="4">
        <v>19500</v>
      </c>
      <c r="AF89" s="20">
        <v>18</v>
      </c>
      <c r="AG89" s="18" t="s">
        <v>154</v>
      </c>
      <c r="AH89" s="18" t="s">
        <v>155</v>
      </c>
      <c r="AI89" s="18" t="s">
        <v>151</v>
      </c>
      <c r="AJ89" s="21">
        <v>120</v>
      </c>
      <c r="AK89" s="18" t="s">
        <v>20</v>
      </c>
      <c r="AL89" s="21">
        <v>955.78056666666703</v>
      </c>
      <c r="AM89" s="19">
        <v>114693.66800000001</v>
      </c>
      <c r="AW89" s="20" t="s">
        <v>90</v>
      </c>
      <c r="AX89" s="18" t="s">
        <v>91</v>
      </c>
      <c r="AY89" s="18" t="s">
        <v>67</v>
      </c>
      <c r="AZ89" s="21">
        <v>1</v>
      </c>
      <c r="BA89" s="18" t="s">
        <v>5</v>
      </c>
      <c r="BB89" s="21">
        <v>5900</v>
      </c>
      <c r="BC89" s="19">
        <v>5900</v>
      </c>
    </row>
    <row r="90" spans="1:55" x14ac:dyDescent="0.35">
      <c r="A90" s="38" t="str">
        <v>KW000051</v>
      </c>
      <c r="B90" s="31" t="str">
        <f t="shared" si="9"/>
        <v>SUSHI MAT 3481</v>
      </c>
      <c r="C90" s="31" t="str">
        <f t="shared" si="10"/>
        <v>KITCHENWARE TOOLS</v>
      </c>
      <c r="D90" s="39" t="str">
        <f t="shared" si="11"/>
        <v>pcs</v>
      </c>
      <c r="E90" s="40">
        <f t="shared" si="12"/>
        <v>32500</v>
      </c>
      <c r="F90" s="48" t="str">
        <f t="shared" si="13"/>
        <v>0</v>
      </c>
      <c r="G90" s="48">
        <f t="shared" si="14"/>
        <v>1</v>
      </c>
      <c r="H90" s="48">
        <f t="shared" si="15"/>
        <v>1</v>
      </c>
      <c r="I90" s="47">
        <f t="shared" si="16"/>
        <v>32500</v>
      </c>
      <c r="J90" s="39" t="str">
        <f t="shared" si="17"/>
        <v>Kenaikan IU</v>
      </c>
      <c r="K90" s="72" t="s">
        <v>1198</v>
      </c>
      <c r="O90" s="3">
        <v>8</v>
      </c>
      <c r="P90" t="s">
        <v>357</v>
      </c>
      <c r="Q90" t="s">
        <v>358</v>
      </c>
      <c r="R90" t="s">
        <v>67</v>
      </c>
      <c r="S90" s="10">
        <v>0.5</v>
      </c>
      <c r="T90" t="s">
        <v>5</v>
      </c>
      <c r="U90" s="10">
        <v>32500</v>
      </c>
      <c r="V90" s="4">
        <v>16250</v>
      </c>
      <c r="AF90" s="20">
        <v>19</v>
      </c>
      <c r="AG90" s="18" t="s">
        <v>156</v>
      </c>
      <c r="AH90" s="18" t="s">
        <v>157</v>
      </c>
      <c r="AI90" s="18" t="s">
        <v>151</v>
      </c>
      <c r="AJ90" s="21">
        <v>10</v>
      </c>
      <c r="AK90" s="18" t="s">
        <v>20</v>
      </c>
      <c r="AL90" s="21">
        <v>2704.0281</v>
      </c>
      <c r="AM90" s="19">
        <v>27040.280999999999</v>
      </c>
      <c r="AW90" s="20" t="s">
        <v>92</v>
      </c>
      <c r="AX90" s="18" t="s">
        <v>93</v>
      </c>
      <c r="AY90" s="18" t="s">
        <v>67</v>
      </c>
      <c r="AZ90" s="21">
        <v>35</v>
      </c>
      <c r="BA90" s="18" t="s">
        <v>94</v>
      </c>
      <c r="BB90" s="21">
        <v>11801.787899999999</v>
      </c>
      <c r="BC90" s="19">
        <v>413062.57650000002</v>
      </c>
    </row>
    <row r="91" spans="1:55" x14ac:dyDescent="0.35">
      <c r="A91" s="38" t="str">
        <v>KW000054</v>
      </c>
      <c r="B91" s="31" t="str">
        <f t="shared" si="9"/>
        <v>PRAXIS KEEPER 302 10 LITER</v>
      </c>
      <c r="C91" s="31" t="str">
        <f t="shared" si="10"/>
        <v>KITCHENWARE TOOLS</v>
      </c>
      <c r="D91" s="39" t="str">
        <f t="shared" si="11"/>
        <v>pcs</v>
      </c>
      <c r="E91" s="40">
        <f t="shared" si="12"/>
        <v>43552.173900000002</v>
      </c>
      <c r="F91" s="48" t="str">
        <f t="shared" si="13"/>
        <v>0</v>
      </c>
      <c r="G91" s="48">
        <f t="shared" si="14"/>
        <v>1</v>
      </c>
      <c r="H91" s="48">
        <f t="shared" si="15"/>
        <v>1</v>
      </c>
      <c r="I91" s="47">
        <f t="shared" si="16"/>
        <v>43552.173900000002</v>
      </c>
      <c r="J91" s="39" t="str">
        <f t="shared" si="17"/>
        <v>Kenaikan IU</v>
      </c>
      <c r="K91" s="72" t="s">
        <v>1199</v>
      </c>
      <c r="O91" s="3">
        <v>9</v>
      </c>
      <c r="P91" t="s">
        <v>624</v>
      </c>
      <c r="Q91" t="s">
        <v>625</v>
      </c>
      <c r="R91" t="s">
        <v>67</v>
      </c>
      <c r="S91" s="10">
        <v>1.8</v>
      </c>
      <c r="T91" t="s">
        <v>5</v>
      </c>
      <c r="U91" s="10">
        <v>13000</v>
      </c>
      <c r="V91" s="4">
        <v>23400</v>
      </c>
      <c r="AF91" s="20">
        <v>20</v>
      </c>
      <c r="AG91" s="18" t="s">
        <v>272</v>
      </c>
      <c r="AH91" s="18" t="s">
        <v>273</v>
      </c>
      <c r="AI91" s="18" t="s">
        <v>151</v>
      </c>
      <c r="AJ91" s="21">
        <v>1</v>
      </c>
      <c r="AK91" s="18" t="s">
        <v>5</v>
      </c>
      <c r="AL91" s="21">
        <v>5041.9375</v>
      </c>
      <c r="AM91" s="19">
        <v>5041.9375</v>
      </c>
      <c r="AW91" s="20" t="s">
        <v>518</v>
      </c>
      <c r="AX91" s="18" t="s">
        <v>519</v>
      </c>
      <c r="AY91" s="18" t="s">
        <v>67</v>
      </c>
      <c r="AZ91" s="21">
        <v>1</v>
      </c>
      <c r="BA91" s="18" t="s">
        <v>98</v>
      </c>
      <c r="BB91" s="21">
        <v>18000</v>
      </c>
      <c r="BC91" s="19">
        <v>18000</v>
      </c>
    </row>
    <row r="92" spans="1:55" x14ac:dyDescent="0.35">
      <c r="A92" s="38" t="str">
        <v>KW00327</v>
      </c>
      <c r="B92" s="31" t="str">
        <f t="shared" si="9"/>
        <v>SENDOK NASI KECIL</v>
      </c>
      <c r="C92" s="31" t="str">
        <f t="shared" si="10"/>
        <v>KITCHENWARE TOOLS</v>
      </c>
      <c r="D92" s="39" t="str">
        <f t="shared" si="11"/>
        <v>pcs</v>
      </c>
      <c r="E92" s="40">
        <f t="shared" si="12"/>
        <v>38430</v>
      </c>
      <c r="F92" s="48" t="str">
        <f t="shared" si="13"/>
        <v>0</v>
      </c>
      <c r="G92" s="48">
        <f t="shared" si="14"/>
        <v>1</v>
      </c>
      <c r="H92" s="48">
        <f t="shared" si="15"/>
        <v>1</v>
      </c>
      <c r="I92" s="47">
        <f t="shared" si="16"/>
        <v>38430</v>
      </c>
      <c r="J92" s="39" t="str">
        <f t="shared" si="17"/>
        <v>Kenaikan IU</v>
      </c>
      <c r="K92" s="72" t="s">
        <v>1190</v>
      </c>
      <c r="O92" s="3">
        <v>10</v>
      </c>
      <c r="P92" t="s">
        <v>359</v>
      </c>
      <c r="Q92" t="s">
        <v>360</v>
      </c>
      <c r="R92" t="s">
        <v>67</v>
      </c>
      <c r="S92" s="10">
        <v>0.7</v>
      </c>
      <c r="T92" t="s">
        <v>216</v>
      </c>
      <c r="U92" s="10">
        <v>7000</v>
      </c>
      <c r="V92" s="4">
        <v>4900</v>
      </c>
      <c r="AF92" s="20">
        <v>21</v>
      </c>
      <c r="AG92" s="18" t="s">
        <v>423</v>
      </c>
      <c r="AH92" s="18" t="s">
        <v>424</v>
      </c>
      <c r="AI92" s="18" t="s">
        <v>151</v>
      </c>
      <c r="AJ92" s="21">
        <v>2</v>
      </c>
      <c r="AK92" s="18" t="s">
        <v>20</v>
      </c>
      <c r="AL92" s="21">
        <v>4950</v>
      </c>
      <c r="AM92" s="19">
        <v>9900</v>
      </c>
      <c r="AW92" s="20" t="s">
        <v>254</v>
      </c>
      <c r="AX92" s="18" t="s">
        <v>255</v>
      </c>
      <c r="AY92" s="18" t="s">
        <v>67</v>
      </c>
      <c r="AZ92" s="21">
        <v>1.2</v>
      </c>
      <c r="BA92" s="18" t="s">
        <v>5</v>
      </c>
      <c r="BB92" s="21">
        <v>34633.599999999999</v>
      </c>
      <c r="BC92" s="19">
        <v>41560.32</v>
      </c>
    </row>
    <row r="93" spans="1:55" x14ac:dyDescent="0.35">
      <c r="A93" s="38" t="str">
        <v>TCT00004</v>
      </c>
      <c r="B93" s="31" t="str">
        <f t="shared" si="9"/>
        <v>MTE SUMPIT STAINLESS SUS304</v>
      </c>
      <c r="C93" s="31" t="str">
        <f t="shared" si="10"/>
        <v>CUTELERIES</v>
      </c>
      <c r="D93" s="39" t="str">
        <f t="shared" si="11"/>
        <v>pcs</v>
      </c>
      <c r="E93" s="40">
        <f t="shared" si="12"/>
        <v>962.55</v>
      </c>
      <c r="F93" s="48" t="str">
        <f t="shared" si="13"/>
        <v>0</v>
      </c>
      <c r="G93" s="48">
        <f t="shared" si="14"/>
        <v>14</v>
      </c>
      <c r="H93" s="48">
        <f t="shared" si="15"/>
        <v>14</v>
      </c>
      <c r="I93" s="47">
        <f t="shared" si="16"/>
        <v>13475.699999999999</v>
      </c>
      <c r="J93" s="39" t="str">
        <f t="shared" si="17"/>
        <v>Kenaikan IU</v>
      </c>
      <c r="K93" s="72" t="s">
        <v>1200</v>
      </c>
      <c r="O93" s="3">
        <v>11</v>
      </c>
      <c r="P93" t="s">
        <v>83</v>
      </c>
      <c r="Q93" t="s">
        <v>84</v>
      </c>
      <c r="R93" t="s">
        <v>67</v>
      </c>
      <c r="S93" s="10">
        <v>0.7</v>
      </c>
      <c r="T93" t="s">
        <v>20</v>
      </c>
      <c r="U93" s="10">
        <v>7250</v>
      </c>
      <c r="V93" s="4">
        <v>5075</v>
      </c>
      <c r="AF93" s="20">
        <v>22</v>
      </c>
      <c r="AG93" s="18" t="s">
        <v>276</v>
      </c>
      <c r="AH93" s="18" t="s">
        <v>277</v>
      </c>
      <c r="AI93" s="18" t="s">
        <v>151</v>
      </c>
      <c r="AJ93" s="18">
        <v>4</v>
      </c>
      <c r="AK93" s="18" t="s">
        <v>52</v>
      </c>
      <c r="AL93" s="18">
        <v>1756.05</v>
      </c>
      <c r="AM93" s="19">
        <v>7024.2</v>
      </c>
      <c r="AW93" s="20" t="s">
        <v>628</v>
      </c>
      <c r="AX93" s="18" t="s">
        <v>629</v>
      </c>
      <c r="AY93" s="18" t="s">
        <v>67</v>
      </c>
      <c r="AZ93" s="21">
        <v>0.1</v>
      </c>
      <c r="BA93" s="18" t="s">
        <v>20</v>
      </c>
      <c r="BB93" s="21">
        <v>27637.931</v>
      </c>
      <c r="BC93" s="19">
        <v>2763.7930999999999</v>
      </c>
    </row>
    <row r="94" spans="1:55" ht="15" thickBot="1" x14ac:dyDescent="0.4">
      <c r="A94" s="38" t="str">
        <v>MKT00004</v>
      </c>
      <c r="B94" s="31" t="str">
        <f>_xlfn.XLOOKUP(A94, AW$2:AW$307, AX$2:AX$307, "", 0)</f>
        <v>FOAMBOARD</v>
      </c>
      <c r="C94" s="31" t="str">
        <f t="shared" si="10"/>
        <v>MARKETING</v>
      </c>
      <c r="D94" s="39" t="str">
        <f t="shared" si="11"/>
        <v>pcs</v>
      </c>
      <c r="E94" s="40">
        <f t="shared" si="12"/>
        <v>152985.55220000001</v>
      </c>
      <c r="F94" s="48" t="str">
        <f t="shared" si="13"/>
        <v>0</v>
      </c>
      <c r="G94" s="48">
        <f t="shared" si="14"/>
        <v>1</v>
      </c>
      <c r="H94" s="48">
        <f t="shared" si="15"/>
        <v>1</v>
      </c>
      <c r="I94" s="47">
        <f t="shared" si="16"/>
        <v>152985.55220000001</v>
      </c>
      <c r="J94" s="39" t="str">
        <f t="shared" si="17"/>
        <v>Kenaikan IU</v>
      </c>
      <c r="K94" s="72" t="s">
        <v>1201</v>
      </c>
      <c r="O94" s="3">
        <v>12</v>
      </c>
      <c r="P94" t="s">
        <v>85</v>
      </c>
      <c r="Q94" t="s">
        <v>86</v>
      </c>
      <c r="R94" t="s">
        <v>67</v>
      </c>
      <c r="S94" s="10">
        <v>1</v>
      </c>
      <c r="T94" t="s">
        <v>87</v>
      </c>
      <c r="U94" s="10">
        <v>18500</v>
      </c>
      <c r="V94" s="4">
        <v>18500</v>
      </c>
      <c r="AF94" s="22" t="s">
        <v>223</v>
      </c>
      <c r="AG94" s="23" t="s">
        <v>223</v>
      </c>
      <c r="AH94" s="23" t="s">
        <v>223</v>
      </c>
      <c r="AI94" s="23" t="s">
        <v>223</v>
      </c>
      <c r="AJ94" s="23" t="s">
        <v>223</v>
      </c>
      <c r="AK94" s="23" t="s">
        <v>223</v>
      </c>
      <c r="AL94" s="23" t="s">
        <v>224</v>
      </c>
      <c r="AM94" s="24">
        <v>5238294.2923849989</v>
      </c>
      <c r="AW94" s="20" t="s">
        <v>107</v>
      </c>
      <c r="AX94" s="18" t="s">
        <v>108</v>
      </c>
      <c r="AY94" s="18" t="s">
        <v>67</v>
      </c>
      <c r="AZ94" s="21">
        <v>0.5</v>
      </c>
      <c r="BA94" s="18" t="s">
        <v>5</v>
      </c>
      <c r="BB94" s="21">
        <v>16250</v>
      </c>
      <c r="BC94" s="19">
        <v>8125</v>
      </c>
    </row>
    <row r="95" spans="1:55" x14ac:dyDescent="0.35">
      <c r="A95" s="38" t="str">
        <v>MKT00037</v>
      </c>
      <c r="B95" s="31" t="str">
        <f t="shared" ref="B95:B104" si="18">_xlfn.XLOOKUP(A95, AW$2:AW$307, AX$2:AX$307, "", 0)</f>
        <v>GIANT BANNER</v>
      </c>
      <c r="C95" s="31" t="str">
        <f t="shared" si="10"/>
        <v>MARKETING</v>
      </c>
      <c r="D95" s="39" t="str">
        <f t="shared" si="11"/>
        <v>pcs</v>
      </c>
      <c r="E95" s="40">
        <f t="shared" si="12"/>
        <v>1120000</v>
      </c>
      <c r="F95" s="48" t="str">
        <f t="shared" si="13"/>
        <v>0</v>
      </c>
      <c r="G95" s="48">
        <f t="shared" si="14"/>
        <v>1</v>
      </c>
      <c r="H95" s="48">
        <f t="shared" si="15"/>
        <v>1</v>
      </c>
      <c r="I95" s="47">
        <f t="shared" si="16"/>
        <v>1120000</v>
      </c>
      <c r="J95" s="39" t="str">
        <f t="shared" si="17"/>
        <v>Kenaikan IU</v>
      </c>
      <c r="K95" s="72" t="s">
        <v>1202</v>
      </c>
      <c r="O95" s="3">
        <v>13</v>
      </c>
      <c r="P95" t="s">
        <v>242</v>
      </c>
      <c r="Q95" t="s">
        <v>243</v>
      </c>
      <c r="R95" t="s">
        <v>67</v>
      </c>
      <c r="S95" s="10">
        <v>0.5</v>
      </c>
      <c r="T95" t="s">
        <v>87</v>
      </c>
      <c r="U95" s="10">
        <v>14500</v>
      </c>
      <c r="V95" s="4">
        <v>7250</v>
      </c>
      <c r="AW95" s="20" t="s">
        <v>110</v>
      </c>
      <c r="AX95" s="18" t="s">
        <v>111</v>
      </c>
      <c r="AY95" s="18" t="s">
        <v>67</v>
      </c>
      <c r="AZ95" s="21">
        <v>0.5</v>
      </c>
      <c r="BA95" s="18" t="s">
        <v>94</v>
      </c>
      <c r="BB95" s="21">
        <v>11632.5</v>
      </c>
      <c r="BC95" s="19">
        <v>5816.25</v>
      </c>
    </row>
    <row r="96" spans="1:55" ht="15" thickBot="1" x14ac:dyDescent="0.4">
      <c r="A96" s="38" t="str">
        <v>MRP00029</v>
      </c>
      <c r="B96" s="31" t="str">
        <f t="shared" si="18"/>
        <v>LAMPU UV PERANGKAP SERANGGA</v>
      </c>
      <c r="C96" s="31" t="str">
        <f t="shared" si="10"/>
        <v>IT GA AND MRP STOCK</v>
      </c>
      <c r="D96" s="39" t="str">
        <f t="shared" si="11"/>
        <v>pcs</v>
      </c>
      <c r="E96" s="40">
        <f t="shared" si="12"/>
        <v>219308.33333333334</v>
      </c>
      <c r="F96" s="48" t="str">
        <f t="shared" si="13"/>
        <v>0</v>
      </c>
      <c r="G96" s="48">
        <f t="shared" si="14"/>
        <v>2</v>
      </c>
      <c r="H96" s="48">
        <f t="shared" si="15"/>
        <v>2</v>
      </c>
      <c r="I96" s="47">
        <f t="shared" si="16"/>
        <v>438616.66666666669</v>
      </c>
      <c r="J96" s="39" t="str">
        <f t="shared" si="17"/>
        <v>Kenaikan IU</v>
      </c>
      <c r="K96" s="72" t="s">
        <v>1203</v>
      </c>
      <c r="O96" s="3">
        <v>14</v>
      </c>
      <c r="P96" t="s">
        <v>246</v>
      </c>
      <c r="Q96" t="s">
        <v>247</v>
      </c>
      <c r="R96" t="s">
        <v>67</v>
      </c>
      <c r="S96" s="10">
        <v>3</v>
      </c>
      <c r="T96" t="s">
        <v>5</v>
      </c>
      <c r="U96" s="10">
        <v>1400</v>
      </c>
      <c r="V96" s="4">
        <v>4200</v>
      </c>
      <c r="AW96" s="20" t="s">
        <v>630</v>
      </c>
      <c r="AX96" s="18" t="s">
        <v>631</v>
      </c>
      <c r="AY96" s="18" t="s">
        <v>67</v>
      </c>
      <c r="AZ96" s="21">
        <v>3</v>
      </c>
      <c r="BA96" s="18" t="s">
        <v>20</v>
      </c>
      <c r="BB96" s="21">
        <v>2060.5555555555561</v>
      </c>
      <c r="BC96" s="19">
        <v>6181.6666670000004</v>
      </c>
    </row>
    <row r="97" spans="1:55" x14ac:dyDescent="0.35">
      <c r="A97" s="38" t="str">
        <v>OTH00018</v>
      </c>
      <c r="B97" s="31" t="str">
        <f t="shared" si="18"/>
        <v>BOTOL SPRAY 500 ML</v>
      </c>
      <c r="C97" s="31" t="str">
        <f t="shared" si="10"/>
        <v>OTHERS</v>
      </c>
      <c r="D97" s="39" t="str">
        <f t="shared" si="11"/>
        <v>pca</v>
      </c>
      <c r="E97" s="40">
        <f t="shared" si="12"/>
        <v>5333.34</v>
      </c>
      <c r="F97" s="48" t="str">
        <f t="shared" si="13"/>
        <v>0</v>
      </c>
      <c r="G97" s="48">
        <f t="shared" si="14"/>
        <v>1</v>
      </c>
      <c r="H97" s="48">
        <f t="shared" si="15"/>
        <v>1</v>
      </c>
      <c r="I97" s="47">
        <f t="shared" si="16"/>
        <v>5333.34</v>
      </c>
      <c r="J97" s="39" t="str">
        <f t="shared" si="17"/>
        <v>Kenaikan IU</v>
      </c>
      <c r="K97" s="72" t="s">
        <v>1204</v>
      </c>
      <c r="O97" s="3">
        <v>15</v>
      </c>
      <c r="P97" t="s">
        <v>327</v>
      </c>
      <c r="Q97" t="s">
        <v>328</v>
      </c>
      <c r="R97" t="s">
        <v>67</v>
      </c>
      <c r="S97" s="10">
        <v>4</v>
      </c>
      <c r="T97" t="s">
        <v>5</v>
      </c>
      <c r="U97" s="10">
        <v>6250</v>
      </c>
      <c r="V97" s="4">
        <v>25000</v>
      </c>
      <c r="AF97" s="84" t="s">
        <v>0</v>
      </c>
      <c r="AG97" s="85"/>
      <c r="AH97" s="85"/>
      <c r="AI97" s="85"/>
      <c r="AJ97" s="85"/>
      <c r="AK97" s="16"/>
      <c r="AL97" s="16"/>
      <c r="AM97" s="17"/>
      <c r="AW97" s="20" t="s">
        <v>364</v>
      </c>
      <c r="AX97" s="18" t="s">
        <v>365</v>
      </c>
      <c r="AY97" s="18" t="s">
        <v>67</v>
      </c>
      <c r="AZ97" s="21">
        <v>0.8</v>
      </c>
      <c r="BA97" s="18" t="s">
        <v>52</v>
      </c>
      <c r="BB97" s="21">
        <v>18208.2749</v>
      </c>
      <c r="BC97" s="19">
        <v>14566.619919999999</v>
      </c>
    </row>
    <row r="98" spans="1:55" x14ac:dyDescent="0.35">
      <c r="A98" s="38" t="str">
        <v>OTH00073</v>
      </c>
      <c r="B98" s="31" t="str">
        <f t="shared" si="18"/>
        <v>MASKER</v>
      </c>
      <c r="C98" s="31" t="str">
        <f t="shared" si="10"/>
        <v>OTHERS</v>
      </c>
      <c r="D98" s="39" t="str">
        <f t="shared" si="11"/>
        <v>pcs</v>
      </c>
      <c r="E98" s="40">
        <f t="shared" si="12"/>
        <v>2704.0281</v>
      </c>
      <c r="F98" s="48" t="str">
        <f t="shared" si="13"/>
        <v>0</v>
      </c>
      <c r="G98" s="48">
        <f t="shared" si="14"/>
        <v>10</v>
      </c>
      <c r="H98" s="48">
        <f t="shared" si="15"/>
        <v>10</v>
      </c>
      <c r="I98" s="47">
        <f t="shared" si="16"/>
        <v>27040.280999999999</v>
      </c>
      <c r="J98" s="39" t="str">
        <f t="shared" si="17"/>
        <v>Kenaikan IU</v>
      </c>
      <c r="K98" s="72" t="s">
        <v>1202</v>
      </c>
      <c r="O98" s="3">
        <v>16</v>
      </c>
      <c r="P98" t="s">
        <v>90</v>
      </c>
      <c r="Q98" t="s">
        <v>91</v>
      </c>
      <c r="R98" t="s">
        <v>67</v>
      </c>
      <c r="S98" s="10">
        <v>2</v>
      </c>
      <c r="T98" t="s">
        <v>5</v>
      </c>
      <c r="U98" s="10">
        <v>6250</v>
      </c>
      <c r="V98" s="4">
        <v>12500</v>
      </c>
      <c r="AF98" s="82" t="s">
        <v>1</v>
      </c>
      <c r="AG98" s="83"/>
      <c r="AH98" s="83"/>
      <c r="AI98" s="83"/>
      <c r="AJ98" s="83"/>
      <c r="AK98" s="18"/>
      <c r="AL98" s="18"/>
      <c r="AM98" s="19"/>
      <c r="AW98" s="20" t="s">
        <v>526</v>
      </c>
      <c r="AX98" s="18" t="s">
        <v>527</v>
      </c>
      <c r="AY98" s="18" t="s">
        <v>67</v>
      </c>
      <c r="AZ98" s="21">
        <v>2</v>
      </c>
      <c r="BA98" s="18" t="s">
        <v>52</v>
      </c>
      <c r="BB98" s="21">
        <v>9986.2440000000006</v>
      </c>
      <c r="BC98" s="19">
        <v>19972.488000000001</v>
      </c>
    </row>
    <row r="99" spans="1:55" x14ac:dyDescent="0.35">
      <c r="A99" s="38" t="str">
        <v>OTH00092</v>
      </c>
      <c r="B99" s="31" t="str">
        <f t="shared" si="18"/>
        <v>KABEL TIES 10 CM</v>
      </c>
      <c r="C99" s="31" t="str">
        <f t="shared" si="10"/>
        <v>OTHERS</v>
      </c>
      <c r="D99" s="39" t="str">
        <f t="shared" si="11"/>
        <v>pack</v>
      </c>
      <c r="E99" s="40">
        <f t="shared" si="12"/>
        <v>5041.9375</v>
      </c>
      <c r="F99" s="48" t="str">
        <f t="shared" si="13"/>
        <v>0</v>
      </c>
      <c r="G99" s="48">
        <f t="shared" si="14"/>
        <v>1</v>
      </c>
      <c r="H99" s="48">
        <f t="shared" si="15"/>
        <v>1</v>
      </c>
      <c r="I99" s="47">
        <f t="shared" si="16"/>
        <v>5041.9375</v>
      </c>
      <c r="J99" s="39" t="str">
        <f t="shared" si="17"/>
        <v>Kenaikan IU</v>
      </c>
      <c r="K99" s="72" t="s">
        <v>1205</v>
      </c>
      <c r="O99" s="3">
        <v>17</v>
      </c>
      <c r="P99" t="s">
        <v>92</v>
      </c>
      <c r="Q99" t="s">
        <v>93</v>
      </c>
      <c r="R99" t="s">
        <v>67</v>
      </c>
      <c r="S99" s="10">
        <v>43</v>
      </c>
      <c r="T99" t="s">
        <v>94</v>
      </c>
      <c r="U99" s="10">
        <v>11805.674600000002</v>
      </c>
      <c r="V99" s="4">
        <v>507644.00780000002</v>
      </c>
      <c r="AF99" s="20"/>
      <c r="AG99" s="18"/>
      <c r="AH99" s="18"/>
      <c r="AI99" s="18"/>
      <c r="AJ99" s="18"/>
      <c r="AK99" s="18"/>
      <c r="AL99" s="18"/>
      <c r="AM99" s="19"/>
      <c r="AW99" s="20" t="s">
        <v>587</v>
      </c>
      <c r="AX99" s="18" t="s">
        <v>588</v>
      </c>
      <c r="AY99" s="18" t="s">
        <v>67</v>
      </c>
      <c r="AZ99" s="18">
        <v>2</v>
      </c>
      <c r="BA99" s="18" t="s">
        <v>5</v>
      </c>
      <c r="BB99" s="18">
        <v>6250</v>
      </c>
      <c r="BC99" s="19">
        <v>12500</v>
      </c>
    </row>
    <row r="100" spans="1:55" x14ac:dyDescent="0.35">
      <c r="A100" s="38" t="str">
        <v>OTH00208</v>
      </c>
      <c r="B100" s="31" t="str">
        <f t="shared" si="18"/>
        <v>STICKER PIPI MERAH PUTIH</v>
      </c>
      <c r="C100" s="31" t="str">
        <f t="shared" si="10"/>
        <v>OTHERS</v>
      </c>
      <c r="D100" s="39" t="str">
        <f t="shared" si="11"/>
        <v>lembar</v>
      </c>
      <c r="E100" s="40">
        <f t="shared" si="12"/>
        <v>1756.05</v>
      </c>
      <c r="F100" s="48" t="str">
        <f t="shared" si="13"/>
        <v>0</v>
      </c>
      <c r="G100" s="48">
        <f t="shared" si="14"/>
        <v>4</v>
      </c>
      <c r="H100" s="48">
        <f t="shared" si="15"/>
        <v>4</v>
      </c>
      <c r="I100" s="47">
        <f t="shared" si="16"/>
        <v>7024.2</v>
      </c>
      <c r="J100" s="39" t="str">
        <f t="shared" si="17"/>
        <v>Kenaikan IU</v>
      </c>
      <c r="K100" s="72" t="s">
        <v>1202</v>
      </c>
      <c r="O100" s="3">
        <v>18</v>
      </c>
      <c r="P100" t="s">
        <v>626</v>
      </c>
      <c r="Q100" t="s">
        <v>627</v>
      </c>
      <c r="R100" t="s">
        <v>67</v>
      </c>
      <c r="S100" s="10">
        <v>1</v>
      </c>
      <c r="T100" t="s">
        <v>267</v>
      </c>
      <c r="U100" s="10">
        <v>93205</v>
      </c>
      <c r="V100" s="4">
        <v>93205</v>
      </c>
      <c r="AF100" s="82" t="s">
        <v>10</v>
      </c>
      <c r="AG100" s="83" t="s">
        <v>11</v>
      </c>
      <c r="AH100" s="18" t="s">
        <v>885</v>
      </c>
      <c r="AI100" s="18"/>
      <c r="AJ100" s="18"/>
      <c r="AK100" s="18"/>
      <c r="AL100" s="18"/>
      <c r="AM100" s="19"/>
      <c r="AW100" s="20" t="s">
        <v>876</v>
      </c>
      <c r="AX100" s="18" t="s">
        <v>877</v>
      </c>
      <c r="AY100" s="18" t="s">
        <v>165</v>
      </c>
      <c r="AZ100" s="21">
        <v>2</v>
      </c>
      <c r="BA100" s="18" t="s">
        <v>20</v>
      </c>
      <c r="BB100" s="21">
        <v>29023.340000000004</v>
      </c>
      <c r="BC100" s="19">
        <v>58046.68</v>
      </c>
    </row>
    <row r="101" spans="1:55" x14ac:dyDescent="0.35">
      <c r="A101" s="38" t="str">
        <v>CECM0006</v>
      </c>
      <c r="B101" s="31" t="str">
        <f t="shared" si="18"/>
        <v>XYZ GREASE CLEANER 5 LTR</v>
      </c>
      <c r="C101" s="31" t="str">
        <f t="shared" si="10"/>
        <v>CLEANING CHEMICAL</v>
      </c>
      <c r="D101" s="39" t="str">
        <f t="shared" si="11"/>
        <v>gln</v>
      </c>
      <c r="E101" s="40">
        <f t="shared" si="12"/>
        <v>133200</v>
      </c>
      <c r="F101" s="48" t="str">
        <f t="shared" si="13"/>
        <v>0</v>
      </c>
      <c r="G101" s="48">
        <f t="shared" si="14"/>
        <v>0.4</v>
      </c>
      <c r="H101" s="48">
        <f t="shared" si="15"/>
        <v>0.4</v>
      </c>
      <c r="I101" s="47">
        <f t="shared" si="16"/>
        <v>53280</v>
      </c>
      <c r="J101" s="39" t="str">
        <f t="shared" si="17"/>
        <v>Kenaikan IU</v>
      </c>
      <c r="K101" s="72" t="s">
        <v>1206</v>
      </c>
      <c r="O101" s="3">
        <v>19</v>
      </c>
      <c r="P101" t="s">
        <v>520</v>
      </c>
      <c r="Q101" t="s">
        <v>521</v>
      </c>
      <c r="R101" t="s">
        <v>67</v>
      </c>
      <c r="S101" s="10">
        <v>1</v>
      </c>
      <c r="T101" t="s">
        <v>5</v>
      </c>
      <c r="U101" s="10">
        <v>10000</v>
      </c>
      <c r="V101" s="4">
        <v>10000</v>
      </c>
      <c r="AF101" s="82" t="s">
        <v>16</v>
      </c>
      <c r="AG101" s="83" t="s">
        <v>11</v>
      </c>
      <c r="AH101" s="18" t="s">
        <v>211</v>
      </c>
      <c r="AI101" s="18"/>
      <c r="AJ101" s="18"/>
      <c r="AK101" s="18"/>
      <c r="AL101" s="18"/>
      <c r="AM101" s="19"/>
      <c r="AW101" s="20" t="s">
        <v>427</v>
      </c>
      <c r="AX101" s="18" t="s">
        <v>428</v>
      </c>
      <c r="AY101" s="18" t="s">
        <v>165</v>
      </c>
      <c r="AZ101" s="21">
        <v>1</v>
      </c>
      <c r="BA101" s="18" t="s">
        <v>20</v>
      </c>
      <c r="BB101" s="21">
        <v>32500</v>
      </c>
      <c r="BC101" s="19">
        <v>32500</v>
      </c>
    </row>
    <row r="102" spans="1:55" x14ac:dyDescent="0.35">
      <c r="A102" s="38" t="str">
        <v>CECM0010</v>
      </c>
      <c r="B102" s="31" t="str">
        <f t="shared" si="18"/>
        <v>SUMA CRYSTAL 5 L</v>
      </c>
      <c r="C102" s="31" t="str">
        <f t="shared" si="10"/>
        <v>CLEANING CHEMICAL</v>
      </c>
      <c r="D102" s="39" t="str">
        <f t="shared" si="11"/>
        <v>ltr</v>
      </c>
      <c r="E102" s="40">
        <f t="shared" si="12"/>
        <v>79237</v>
      </c>
      <c r="F102" s="48" t="str">
        <f t="shared" si="13"/>
        <v>0</v>
      </c>
      <c r="G102" s="48">
        <f t="shared" si="14"/>
        <v>2.5</v>
      </c>
      <c r="H102" s="48">
        <f t="shared" si="15"/>
        <v>2.5</v>
      </c>
      <c r="I102" s="47">
        <f t="shared" si="16"/>
        <v>198092.5</v>
      </c>
      <c r="J102" s="39" t="str">
        <f t="shared" si="17"/>
        <v>Kenaikan IU</v>
      </c>
      <c r="K102" s="72" t="s">
        <v>1157</v>
      </c>
      <c r="O102" s="3">
        <v>20</v>
      </c>
      <c r="P102" t="s">
        <v>100</v>
      </c>
      <c r="Q102" t="s">
        <v>101</v>
      </c>
      <c r="R102" t="s">
        <v>67</v>
      </c>
      <c r="S102" s="10">
        <v>1</v>
      </c>
      <c r="T102" t="s">
        <v>87</v>
      </c>
      <c r="U102" s="10">
        <v>8400</v>
      </c>
      <c r="V102" s="4">
        <v>8400</v>
      </c>
      <c r="AF102" s="82" t="s">
        <v>21</v>
      </c>
      <c r="AG102" s="83" t="s">
        <v>11</v>
      </c>
      <c r="AH102" s="18" t="s">
        <v>610</v>
      </c>
      <c r="AI102" s="18"/>
      <c r="AJ102" s="18"/>
      <c r="AK102" s="18"/>
      <c r="AL102" s="18"/>
      <c r="AM102" s="19"/>
      <c r="AW102" s="20" t="s">
        <v>286</v>
      </c>
      <c r="AX102" s="18" t="s">
        <v>287</v>
      </c>
      <c r="AY102" s="18" t="s">
        <v>165</v>
      </c>
      <c r="AZ102" s="21">
        <v>1</v>
      </c>
      <c r="BA102" s="18" t="s">
        <v>20</v>
      </c>
      <c r="BB102" s="21">
        <v>43552.173900000002</v>
      </c>
      <c r="BC102" s="19">
        <v>43552.173900000002</v>
      </c>
    </row>
    <row r="103" spans="1:55" x14ac:dyDescent="0.35">
      <c r="A103" s="38" t="str">
        <v>CETS0010</v>
      </c>
      <c r="B103" s="31" t="str">
        <f t="shared" si="18"/>
        <v>SAPU 8517KW</v>
      </c>
      <c r="C103" s="31" t="str">
        <f t="shared" si="10"/>
        <v>CLEANING TOOLS AND SUPPLIES</v>
      </c>
      <c r="D103" s="39" t="str">
        <f t="shared" si="11"/>
        <v>unit</v>
      </c>
      <c r="E103" s="40">
        <f t="shared" si="12"/>
        <v>43560</v>
      </c>
      <c r="F103" s="48" t="str">
        <f t="shared" si="13"/>
        <v>0</v>
      </c>
      <c r="G103" s="48">
        <f t="shared" si="14"/>
        <v>1</v>
      </c>
      <c r="H103" s="48">
        <f t="shared" si="15"/>
        <v>1</v>
      </c>
      <c r="I103" s="47">
        <f t="shared" si="16"/>
        <v>43560</v>
      </c>
      <c r="J103" s="39" t="str">
        <f t="shared" si="17"/>
        <v>Kenaikan IU</v>
      </c>
      <c r="K103" s="72" t="s">
        <v>1207</v>
      </c>
      <c r="O103" s="3">
        <v>21</v>
      </c>
      <c r="P103" t="s">
        <v>254</v>
      </c>
      <c r="Q103" t="s">
        <v>255</v>
      </c>
      <c r="R103" t="s">
        <v>67</v>
      </c>
      <c r="S103" s="10">
        <v>2</v>
      </c>
      <c r="T103" t="s">
        <v>5</v>
      </c>
      <c r="U103" s="10">
        <v>34500</v>
      </c>
      <c r="V103" s="4">
        <v>69000</v>
      </c>
      <c r="AF103" s="82" t="s">
        <v>26</v>
      </c>
      <c r="AG103" s="83" t="s">
        <v>11</v>
      </c>
      <c r="AH103" s="18" t="s">
        <v>886</v>
      </c>
      <c r="AI103" s="18"/>
      <c r="AJ103" s="18"/>
      <c r="AK103" s="18"/>
      <c r="AL103" s="18"/>
      <c r="AM103" s="19"/>
      <c r="AW103" s="20" t="s">
        <v>878</v>
      </c>
      <c r="AX103" s="18" t="s">
        <v>879</v>
      </c>
      <c r="AY103" s="18" t="s">
        <v>165</v>
      </c>
      <c r="AZ103" s="21">
        <v>1</v>
      </c>
      <c r="BA103" s="18" t="s">
        <v>20</v>
      </c>
      <c r="BB103" s="21">
        <v>38430</v>
      </c>
      <c r="BC103" s="19">
        <v>38430</v>
      </c>
    </row>
    <row r="104" spans="1:55" ht="15" thickBot="1" x14ac:dyDescent="0.4">
      <c r="A104" s="43" t="str">
        <v>AMC00003</v>
      </c>
      <c r="B104" s="32" t="str">
        <f t="shared" si="18"/>
        <v>KOMPOR INDUKSI IC-1100</v>
      </c>
      <c r="C104" s="32" t="str">
        <f t="shared" si="10"/>
        <v>MACHINERY</v>
      </c>
      <c r="D104" s="49" t="str">
        <f t="shared" si="11"/>
        <v>unit</v>
      </c>
      <c r="E104" s="52">
        <f t="shared" si="12"/>
        <v>384948</v>
      </c>
      <c r="F104" s="51" t="str">
        <f t="shared" si="13"/>
        <v>0</v>
      </c>
      <c r="G104" s="51">
        <f t="shared" si="14"/>
        <v>2</v>
      </c>
      <c r="H104" s="51">
        <f t="shared" si="15"/>
        <v>2</v>
      </c>
      <c r="I104" s="50">
        <f t="shared" si="16"/>
        <v>769896</v>
      </c>
      <c r="J104" s="39" t="str">
        <f t="shared" si="17"/>
        <v>Kenaikan IU</v>
      </c>
      <c r="K104" s="72" t="s">
        <v>1208</v>
      </c>
      <c r="O104" s="3">
        <v>22</v>
      </c>
      <c r="P104" t="s">
        <v>628</v>
      </c>
      <c r="Q104" t="s">
        <v>629</v>
      </c>
      <c r="R104" t="s">
        <v>67</v>
      </c>
      <c r="S104" s="10">
        <v>0.1</v>
      </c>
      <c r="T104" t="s">
        <v>20</v>
      </c>
      <c r="U104" s="10">
        <v>28500</v>
      </c>
      <c r="V104" s="4">
        <v>2850</v>
      </c>
      <c r="AF104" s="82" t="s">
        <v>31</v>
      </c>
      <c r="AG104" s="83" t="s">
        <v>11</v>
      </c>
      <c r="AH104" s="18" t="s">
        <v>32</v>
      </c>
      <c r="AI104" s="18"/>
      <c r="AJ104" s="18"/>
      <c r="AK104" s="18"/>
      <c r="AL104" s="18"/>
      <c r="AM104" s="19"/>
      <c r="AW104" s="20" t="s">
        <v>184</v>
      </c>
      <c r="AX104" s="18" t="s">
        <v>185</v>
      </c>
      <c r="AY104" s="18" t="s">
        <v>182</v>
      </c>
      <c r="AZ104" s="21">
        <v>14</v>
      </c>
      <c r="BA104" s="18" t="s">
        <v>20</v>
      </c>
      <c r="BB104" s="21">
        <v>962.55</v>
      </c>
      <c r="BC104" s="19">
        <v>13475.7</v>
      </c>
    </row>
    <row r="105" spans="1:55" ht="15" thickTop="1" x14ac:dyDescent="0.35">
      <c r="O105" s="3">
        <v>23</v>
      </c>
      <c r="P105" t="s">
        <v>630</v>
      </c>
      <c r="Q105" t="s">
        <v>631</v>
      </c>
      <c r="R105" t="s">
        <v>67</v>
      </c>
      <c r="S105">
        <v>3</v>
      </c>
      <c r="T105" t="s">
        <v>20</v>
      </c>
      <c r="U105">
        <v>2060.5555555555561</v>
      </c>
      <c r="V105" s="4">
        <v>6181.6666670000004</v>
      </c>
      <c r="AF105" s="82" t="s">
        <v>35</v>
      </c>
      <c r="AG105" s="83" t="s">
        <v>11</v>
      </c>
      <c r="AH105" s="18" t="s">
        <v>887</v>
      </c>
      <c r="AI105" s="18"/>
      <c r="AJ105" s="18"/>
      <c r="AK105" s="18"/>
      <c r="AL105" s="18"/>
      <c r="AM105" s="19"/>
      <c r="AW105" s="20" t="s">
        <v>442</v>
      </c>
      <c r="AX105" s="18" t="s">
        <v>443</v>
      </c>
      <c r="AY105" s="18" t="s">
        <v>192</v>
      </c>
      <c r="AZ105" s="21">
        <v>2</v>
      </c>
      <c r="BA105" s="18" t="s">
        <v>20</v>
      </c>
      <c r="BB105" s="21">
        <v>18480</v>
      </c>
      <c r="BC105" s="19">
        <v>36960</v>
      </c>
    </row>
    <row r="106" spans="1:55" ht="15" thickBot="1" x14ac:dyDescent="0.4">
      <c r="O106" s="11" t="s">
        <v>223</v>
      </c>
      <c r="P106" s="12" t="s">
        <v>223</v>
      </c>
      <c r="Q106" s="12" t="s">
        <v>223</v>
      </c>
      <c r="R106" s="12" t="s">
        <v>223</v>
      </c>
      <c r="S106" s="12" t="s">
        <v>223</v>
      </c>
      <c r="T106" s="12" t="s">
        <v>223</v>
      </c>
      <c r="U106" s="12" t="s">
        <v>224</v>
      </c>
      <c r="V106" s="13">
        <v>899059.84116700001</v>
      </c>
      <c r="AF106" s="20"/>
      <c r="AG106" s="18"/>
      <c r="AH106" s="18"/>
      <c r="AI106" s="18"/>
      <c r="AJ106" s="18"/>
      <c r="AK106" s="18"/>
      <c r="AL106" s="18"/>
      <c r="AM106" s="19"/>
      <c r="AW106" s="20" t="s">
        <v>333</v>
      </c>
      <c r="AX106" s="18" t="s">
        <v>334</v>
      </c>
      <c r="AY106" s="18" t="s">
        <v>192</v>
      </c>
      <c r="AZ106" s="18">
        <v>12</v>
      </c>
      <c r="BA106" s="18" t="s">
        <v>20</v>
      </c>
      <c r="BB106" s="18">
        <v>3666.67</v>
      </c>
      <c r="BC106" s="19">
        <v>44000.04</v>
      </c>
    </row>
    <row r="107" spans="1:55" ht="15.5" thickTop="1" thickBot="1" x14ac:dyDescent="0.4">
      <c r="AF107" s="20" t="s">
        <v>42</v>
      </c>
      <c r="AG107" s="18" t="s">
        <v>43</v>
      </c>
      <c r="AH107" s="18" t="s">
        <v>44</v>
      </c>
      <c r="AI107" s="18" t="s">
        <v>45</v>
      </c>
      <c r="AJ107" s="18" t="s">
        <v>46</v>
      </c>
      <c r="AK107" s="18" t="s">
        <v>47</v>
      </c>
      <c r="AL107" s="18" t="s">
        <v>48</v>
      </c>
      <c r="AM107" s="19" t="s">
        <v>49</v>
      </c>
      <c r="AW107" s="20" t="s">
        <v>460</v>
      </c>
      <c r="AX107" s="18" t="s">
        <v>461</v>
      </c>
      <c r="AY107" s="18" t="s">
        <v>117</v>
      </c>
      <c r="AZ107" s="21">
        <v>1</v>
      </c>
      <c r="BA107" s="18" t="s">
        <v>20</v>
      </c>
      <c r="BB107" s="21">
        <v>152985.55220000001</v>
      </c>
      <c r="BC107" s="19">
        <v>152985.55220000001</v>
      </c>
    </row>
    <row r="108" spans="1:55" ht="15" thickTop="1" x14ac:dyDescent="0.35">
      <c r="O108" s="88" t="s">
        <v>0</v>
      </c>
      <c r="P108" s="89"/>
      <c r="Q108" s="89"/>
      <c r="R108" s="89"/>
      <c r="S108" s="89"/>
      <c r="T108" s="1"/>
      <c r="U108" s="1"/>
      <c r="V108" s="2"/>
      <c r="AF108" s="20">
        <v>1</v>
      </c>
      <c r="AG108" s="18" t="s">
        <v>2</v>
      </c>
      <c r="AH108" s="18" t="s">
        <v>3</v>
      </c>
      <c r="AI108" s="18" t="s">
        <v>4</v>
      </c>
      <c r="AJ108" s="21">
        <v>7</v>
      </c>
      <c r="AK108" s="18" t="s">
        <v>5</v>
      </c>
      <c r="AL108" s="21">
        <v>21000</v>
      </c>
      <c r="AM108" s="19">
        <v>147000</v>
      </c>
      <c r="AW108" s="20" t="s">
        <v>115</v>
      </c>
      <c r="AX108" s="18" t="s">
        <v>116</v>
      </c>
      <c r="AY108" s="18" t="s">
        <v>117</v>
      </c>
      <c r="AZ108" s="21">
        <v>929</v>
      </c>
      <c r="BA108" s="18" t="s">
        <v>52</v>
      </c>
      <c r="BB108" s="21">
        <v>600.42139999999995</v>
      </c>
      <c r="BC108" s="19">
        <v>557791.48060000001</v>
      </c>
    </row>
    <row r="109" spans="1:55" x14ac:dyDescent="0.35">
      <c r="O109" s="86" t="s">
        <v>1</v>
      </c>
      <c r="P109" s="87"/>
      <c r="Q109" s="87"/>
      <c r="R109" s="87"/>
      <c r="S109" s="87"/>
      <c r="V109" s="4"/>
      <c r="AF109" s="20">
        <v>2</v>
      </c>
      <c r="AG109" s="18" t="s">
        <v>7</v>
      </c>
      <c r="AH109" s="18" t="s">
        <v>8</v>
      </c>
      <c r="AI109" s="18" t="s">
        <v>4</v>
      </c>
      <c r="AJ109" s="21">
        <v>0.4</v>
      </c>
      <c r="AK109" s="18" t="s">
        <v>9</v>
      </c>
      <c r="AL109" s="21">
        <v>133200</v>
      </c>
      <c r="AM109" s="19">
        <v>53280</v>
      </c>
      <c r="AW109" s="20" t="s">
        <v>883</v>
      </c>
      <c r="AX109" s="18" t="s">
        <v>884</v>
      </c>
      <c r="AY109" s="18" t="s">
        <v>117</v>
      </c>
      <c r="AZ109" s="21">
        <v>1</v>
      </c>
      <c r="BA109" s="18" t="s">
        <v>20</v>
      </c>
      <c r="BB109" s="21">
        <v>1120000</v>
      </c>
      <c r="BC109" s="19">
        <v>1120000</v>
      </c>
    </row>
    <row r="110" spans="1:55" x14ac:dyDescent="0.35">
      <c r="O110" s="3"/>
      <c r="V110" s="4"/>
      <c r="AF110" s="20">
        <v>3</v>
      </c>
      <c r="AG110" s="18" t="s">
        <v>18</v>
      </c>
      <c r="AH110" s="18" t="s">
        <v>19</v>
      </c>
      <c r="AI110" s="18" t="s">
        <v>4</v>
      </c>
      <c r="AJ110" s="21">
        <v>0.5</v>
      </c>
      <c r="AK110" s="18" t="s">
        <v>20</v>
      </c>
      <c r="AL110" s="21">
        <v>151400</v>
      </c>
      <c r="AM110" s="19">
        <v>75700</v>
      </c>
      <c r="AW110" s="20" t="s">
        <v>578</v>
      </c>
      <c r="AX110" s="18" t="s">
        <v>579</v>
      </c>
      <c r="AY110" s="18" t="s">
        <v>120</v>
      </c>
      <c r="AZ110" s="21">
        <v>2</v>
      </c>
      <c r="BA110" s="18" t="s">
        <v>20</v>
      </c>
      <c r="BB110" s="21">
        <v>219308.33333333334</v>
      </c>
      <c r="BC110" s="19">
        <v>438616.66666699998</v>
      </c>
    </row>
    <row r="111" spans="1:55" x14ac:dyDescent="0.35">
      <c r="O111" s="86" t="s">
        <v>10</v>
      </c>
      <c r="P111" s="87" t="s">
        <v>11</v>
      </c>
      <c r="Q111" t="s">
        <v>635</v>
      </c>
      <c r="V111" s="4"/>
      <c r="AF111" s="20">
        <v>4</v>
      </c>
      <c r="AG111" s="18" t="s">
        <v>219</v>
      </c>
      <c r="AH111" s="18" t="s">
        <v>220</v>
      </c>
      <c r="AI111" s="18" t="s">
        <v>4</v>
      </c>
      <c r="AJ111" s="21">
        <v>2.5</v>
      </c>
      <c r="AK111" s="18" t="s">
        <v>25</v>
      </c>
      <c r="AL111" s="21">
        <v>79237</v>
      </c>
      <c r="AM111" s="19">
        <v>198092.5</v>
      </c>
      <c r="AW111" s="20" t="s">
        <v>121</v>
      </c>
      <c r="AX111" s="18" t="s">
        <v>122</v>
      </c>
      <c r="AY111" s="18" t="s">
        <v>123</v>
      </c>
      <c r="AZ111" s="21">
        <v>4</v>
      </c>
      <c r="BA111" s="18" t="s">
        <v>5</v>
      </c>
      <c r="BB111" s="21">
        <v>5000</v>
      </c>
      <c r="BC111" s="19">
        <v>20000</v>
      </c>
    </row>
    <row r="112" spans="1:55" x14ac:dyDescent="0.35">
      <c r="O112" s="86" t="s">
        <v>16</v>
      </c>
      <c r="P112" s="87" t="s">
        <v>11</v>
      </c>
      <c r="Q112" t="s">
        <v>17</v>
      </c>
      <c r="V112" s="4"/>
      <c r="AF112" s="20">
        <v>5</v>
      </c>
      <c r="AG112" s="18" t="s">
        <v>23</v>
      </c>
      <c r="AH112" s="18" t="s">
        <v>24</v>
      </c>
      <c r="AI112" s="18" t="s">
        <v>4</v>
      </c>
      <c r="AJ112" s="21">
        <v>18</v>
      </c>
      <c r="AK112" s="18" t="s">
        <v>25</v>
      </c>
      <c r="AL112" s="21">
        <v>17760</v>
      </c>
      <c r="AM112" s="19">
        <v>319680</v>
      </c>
      <c r="AW112" s="20" t="s">
        <v>124</v>
      </c>
      <c r="AX112" s="18" t="s">
        <v>125</v>
      </c>
      <c r="AY112" s="18" t="s">
        <v>123</v>
      </c>
      <c r="AZ112" s="21">
        <v>20</v>
      </c>
      <c r="BA112" s="18" t="s">
        <v>5</v>
      </c>
      <c r="BB112" s="21">
        <v>5628.853790909091</v>
      </c>
      <c r="BC112" s="19">
        <v>112577.075818</v>
      </c>
    </row>
    <row r="113" spans="15:55" x14ac:dyDescent="0.35">
      <c r="O113" s="86" t="s">
        <v>21</v>
      </c>
      <c r="P113" s="87" t="s">
        <v>11</v>
      </c>
      <c r="Q113" t="s">
        <v>610</v>
      </c>
      <c r="V113" s="4"/>
      <c r="AF113" s="20">
        <v>6</v>
      </c>
      <c r="AG113" s="18" t="s">
        <v>33</v>
      </c>
      <c r="AH113" s="18" t="s">
        <v>34</v>
      </c>
      <c r="AI113" s="18" t="s">
        <v>4</v>
      </c>
      <c r="AJ113" s="21">
        <v>11.88</v>
      </c>
      <c r="AK113" s="18" t="s">
        <v>30</v>
      </c>
      <c r="AL113" s="21">
        <v>13000</v>
      </c>
      <c r="AM113" s="19">
        <v>154440</v>
      </c>
      <c r="AW113" s="20" t="s">
        <v>126</v>
      </c>
      <c r="AX113" s="18" t="s">
        <v>127</v>
      </c>
      <c r="AY113" s="18" t="s">
        <v>123</v>
      </c>
      <c r="AZ113" s="21">
        <v>26</v>
      </c>
      <c r="BA113" s="18" t="s">
        <v>5</v>
      </c>
      <c r="BB113" s="21">
        <v>6847.2627571428566</v>
      </c>
      <c r="BC113" s="19">
        <v>178028.83168599999</v>
      </c>
    </row>
    <row r="114" spans="15:55" x14ac:dyDescent="0.35">
      <c r="O114" s="86" t="s">
        <v>26</v>
      </c>
      <c r="P114" s="87" t="s">
        <v>11</v>
      </c>
      <c r="Q114" t="s">
        <v>636</v>
      </c>
      <c r="V114" s="4"/>
      <c r="AF114" s="20">
        <v>7</v>
      </c>
      <c r="AG114" s="18" t="s">
        <v>50</v>
      </c>
      <c r="AH114" s="18" t="s">
        <v>51</v>
      </c>
      <c r="AI114" s="18" t="s">
        <v>41</v>
      </c>
      <c r="AJ114" s="21">
        <v>20</v>
      </c>
      <c r="AK114" s="18" t="s">
        <v>52</v>
      </c>
      <c r="AL114" s="21">
        <v>20500</v>
      </c>
      <c r="AM114" s="19">
        <v>410000</v>
      </c>
      <c r="AW114" s="20" t="s">
        <v>128</v>
      </c>
      <c r="AX114" s="18" t="s">
        <v>129</v>
      </c>
      <c r="AY114" s="18" t="s">
        <v>123</v>
      </c>
      <c r="AZ114" s="21">
        <v>2</v>
      </c>
      <c r="BA114" s="18" t="s">
        <v>74</v>
      </c>
      <c r="BB114" s="21">
        <v>142068.6164</v>
      </c>
      <c r="BC114" s="19">
        <v>284137.2328</v>
      </c>
    </row>
    <row r="115" spans="15:55" x14ac:dyDescent="0.35">
      <c r="O115" s="86" t="s">
        <v>31</v>
      </c>
      <c r="P115" s="87" t="s">
        <v>11</v>
      </c>
      <c r="Q115" t="s">
        <v>198</v>
      </c>
      <c r="V115" s="4"/>
      <c r="AF115" s="20">
        <v>8</v>
      </c>
      <c r="AG115" s="18" t="s">
        <v>306</v>
      </c>
      <c r="AH115" s="18" t="s">
        <v>307</v>
      </c>
      <c r="AI115" s="18" t="s">
        <v>41</v>
      </c>
      <c r="AJ115" s="21">
        <v>2</v>
      </c>
      <c r="AK115" s="18" t="s">
        <v>20</v>
      </c>
      <c r="AL115" s="21">
        <v>6938.892499999999</v>
      </c>
      <c r="AM115" s="19">
        <v>13877.785</v>
      </c>
      <c r="AW115" s="20" t="s">
        <v>130</v>
      </c>
      <c r="AX115" s="18" t="s">
        <v>131</v>
      </c>
      <c r="AY115" s="18" t="s">
        <v>123</v>
      </c>
      <c r="AZ115" s="21">
        <v>37</v>
      </c>
      <c r="BA115" s="18" t="s">
        <v>5</v>
      </c>
      <c r="BB115" s="21">
        <v>6355.4429513513523</v>
      </c>
      <c r="BC115" s="19">
        <v>235151.38920000001</v>
      </c>
    </row>
    <row r="116" spans="15:55" x14ac:dyDescent="0.35">
      <c r="O116" s="86" t="s">
        <v>35</v>
      </c>
      <c r="P116" s="87" t="s">
        <v>11</v>
      </c>
      <c r="Q116" t="s">
        <v>637</v>
      </c>
      <c r="V116" s="4"/>
      <c r="AF116" s="20">
        <v>9</v>
      </c>
      <c r="AG116" s="18" t="s">
        <v>53</v>
      </c>
      <c r="AH116" s="18" t="s">
        <v>54</v>
      </c>
      <c r="AI116" s="18" t="s">
        <v>41</v>
      </c>
      <c r="AJ116" s="21">
        <v>17</v>
      </c>
      <c r="AK116" s="18" t="s">
        <v>20</v>
      </c>
      <c r="AL116" s="21">
        <v>3084.0875999999998</v>
      </c>
      <c r="AM116" s="19">
        <v>52429.489200000004</v>
      </c>
      <c r="AW116" s="20" t="s">
        <v>132</v>
      </c>
      <c r="AX116" s="18" t="s">
        <v>133</v>
      </c>
      <c r="AY116" s="18" t="s">
        <v>123</v>
      </c>
      <c r="AZ116" s="21">
        <v>24</v>
      </c>
      <c r="BA116" s="18" t="s">
        <v>134</v>
      </c>
      <c r="BB116" s="21">
        <v>12980.537438915771</v>
      </c>
      <c r="BC116" s="19">
        <v>311532.89853399998</v>
      </c>
    </row>
    <row r="117" spans="15:55" x14ac:dyDescent="0.35">
      <c r="O117" s="3"/>
      <c r="V117" s="4"/>
      <c r="AF117" s="20">
        <v>10</v>
      </c>
      <c r="AG117" s="18" t="s">
        <v>407</v>
      </c>
      <c r="AH117" s="18" t="s">
        <v>408</v>
      </c>
      <c r="AI117" s="18" t="s">
        <v>41</v>
      </c>
      <c r="AJ117" s="21">
        <v>1</v>
      </c>
      <c r="AK117" s="18" t="s">
        <v>267</v>
      </c>
      <c r="AL117" s="21">
        <v>43560</v>
      </c>
      <c r="AM117" s="19">
        <v>43560</v>
      </c>
      <c r="AW117" s="20" t="s">
        <v>135</v>
      </c>
      <c r="AX117" s="18" t="s">
        <v>136</v>
      </c>
      <c r="AY117" s="18" t="s">
        <v>123</v>
      </c>
      <c r="AZ117" s="21">
        <v>31</v>
      </c>
      <c r="BA117" s="18" t="s">
        <v>5</v>
      </c>
      <c r="BB117" s="21">
        <v>5726.846147368421</v>
      </c>
      <c r="BC117" s="19">
        <v>177532.230568</v>
      </c>
    </row>
    <row r="118" spans="15:55" x14ac:dyDescent="0.35">
      <c r="O118" s="3" t="s">
        <v>42</v>
      </c>
      <c r="P118" t="s">
        <v>43</v>
      </c>
      <c r="Q118" t="s">
        <v>44</v>
      </c>
      <c r="R118" t="s">
        <v>45</v>
      </c>
      <c r="S118" t="s">
        <v>46</v>
      </c>
      <c r="T118" t="s">
        <v>47</v>
      </c>
      <c r="U118" t="s">
        <v>48</v>
      </c>
      <c r="V118" s="4" t="s">
        <v>49</v>
      </c>
      <c r="AF118" s="20">
        <v>11</v>
      </c>
      <c r="AG118" s="18" t="s">
        <v>57</v>
      </c>
      <c r="AH118" s="18" t="s">
        <v>58</v>
      </c>
      <c r="AI118" s="18" t="s">
        <v>41</v>
      </c>
      <c r="AJ118" s="21">
        <v>8</v>
      </c>
      <c r="AK118" s="18" t="s">
        <v>5</v>
      </c>
      <c r="AL118" s="21">
        <v>7699.9649571428581</v>
      </c>
      <c r="AM118" s="19">
        <v>61599.719657000001</v>
      </c>
      <c r="AW118" s="20" t="s">
        <v>137</v>
      </c>
      <c r="AX118" s="18" t="s">
        <v>138</v>
      </c>
      <c r="AY118" s="18" t="s">
        <v>123</v>
      </c>
      <c r="AZ118" s="21">
        <v>27</v>
      </c>
      <c r="BA118" s="18" t="s">
        <v>5</v>
      </c>
      <c r="BB118" s="21">
        <v>16093.904642105264</v>
      </c>
      <c r="BC118" s="19">
        <v>434535.42533699999</v>
      </c>
    </row>
    <row r="119" spans="15:55" x14ac:dyDescent="0.35">
      <c r="O119" s="3">
        <v>1</v>
      </c>
      <c r="P119" t="s">
        <v>530</v>
      </c>
      <c r="Q119" t="s">
        <v>531</v>
      </c>
      <c r="R119" t="s">
        <v>165</v>
      </c>
      <c r="S119" s="10">
        <v>1</v>
      </c>
      <c r="T119" t="s">
        <v>20</v>
      </c>
      <c r="U119" s="10">
        <v>10500</v>
      </c>
      <c r="V119" s="4">
        <v>10500</v>
      </c>
      <c r="AF119" s="20">
        <v>12</v>
      </c>
      <c r="AG119" s="18" t="s">
        <v>59</v>
      </c>
      <c r="AH119" s="18" t="s">
        <v>60</v>
      </c>
      <c r="AI119" s="18" t="s">
        <v>41</v>
      </c>
      <c r="AJ119" s="21">
        <v>11</v>
      </c>
      <c r="AK119" s="18" t="s">
        <v>5</v>
      </c>
      <c r="AL119" s="21">
        <v>7700</v>
      </c>
      <c r="AM119" s="19">
        <v>84700</v>
      </c>
      <c r="AW119" s="20" t="s">
        <v>141</v>
      </c>
      <c r="AX119" s="18" t="s">
        <v>142</v>
      </c>
      <c r="AY119" s="18" t="s">
        <v>123</v>
      </c>
      <c r="AZ119" s="21">
        <v>11</v>
      </c>
      <c r="BA119" s="18" t="s">
        <v>5</v>
      </c>
      <c r="BB119" s="21">
        <v>42358.305025000001</v>
      </c>
      <c r="BC119" s="19">
        <v>465941.35527499998</v>
      </c>
    </row>
    <row r="120" spans="15:55" x14ac:dyDescent="0.35">
      <c r="O120" s="3">
        <v>2</v>
      </c>
      <c r="P120" t="s">
        <v>544</v>
      </c>
      <c r="Q120" t="s">
        <v>545</v>
      </c>
      <c r="R120" t="s">
        <v>165</v>
      </c>
      <c r="S120" s="10">
        <v>3</v>
      </c>
      <c r="T120" t="s">
        <v>20</v>
      </c>
      <c r="U120" s="10">
        <v>16166.670000000002</v>
      </c>
      <c r="V120" s="4">
        <v>48500.01</v>
      </c>
      <c r="AF120" s="20">
        <v>13</v>
      </c>
      <c r="AG120" s="18" t="s">
        <v>61</v>
      </c>
      <c r="AH120" s="18" t="s">
        <v>62</v>
      </c>
      <c r="AI120" s="18" t="s">
        <v>41</v>
      </c>
      <c r="AJ120" s="18">
        <v>2</v>
      </c>
      <c r="AK120" s="18" t="s">
        <v>5</v>
      </c>
      <c r="AL120" s="18">
        <v>17416.5759</v>
      </c>
      <c r="AM120" s="19">
        <v>34833.1518</v>
      </c>
      <c r="AW120" s="20" t="s">
        <v>145</v>
      </c>
      <c r="AX120" s="18" t="s">
        <v>146</v>
      </c>
      <c r="AY120" s="18" t="s">
        <v>123</v>
      </c>
      <c r="AZ120" s="21">
        <v>116</v>
      </c>
      <c r="BA120" s="18" t="s">
        <v>5</v>
      </c>
      <c r="BB120" s="21">
        <v>4604.1441999999997</v>
      </c>
      <c r="BC120" s="19">
        <v>534080.72719999996</v>
      </c>
    </row>
    <row r="121" spans="15:55" ht="15" thickBot="1" x14ac:dyDescent="0.4">
      <c r="O121" s="3">
        <v>3</v>
      </c>
      <c r="P121" t="s">
        <v>553</v>
      </c>
      <c r="Q121" t="s">
        <v>554</v>
      </c>
      <c r="R121" t="s">
        <v>182</v>
      </c>
      <c r="S121" s="10">
        <v>2</v>
      </c>
      <c r="T121" t="s">
        <v>20</v>
      </c>
      <c r="U121" s="10">
        <v>20000</v>
      </c>
      <c r="V121" s="4">
        <v>40000</v>
      </c>
      <c r="AF121" s="22" t="s">
        <v>223</v>
      </c>
      <c r="AG121" s="23" t="s">
        <v>223</v>
      </c>
      <c r="AH121" s="23" t="s">
        <v>223</v>
      </c>
      <c r="AI121" s="23" t="s">
        <v>223</v>
      </c>
      <c r="AJ121" s="23" t="s">
        <v>223</v>
      </c>
      <c r="AK121" s="23" t="s">
        <v>223</v>
      </c>
      <c r="AL121" s="23" t="s">
        <v>224</v>
      </c>
      <c r="AM121" s="24">
        <v>1649192.6456569999</v>
      </c>
      <c r="AW121" s="20" t="s">
        <v>147</v>
      </c>
      <c r="AX121" s="18" t="s">
        <v>148</v>
      </c>
      <c r="AY121" s="18" t="s">
        <v>123</v>
      </c>
      <c r="AZ121" s="21">
        <v>3</v>
      </c>
      <c r="BA121" s="18" t="s">
        <v>5</v>
      </c>
      <c r="BB121" s="21">
        <v>15000</v>
      </c>
      <c r="BC121" s="19">
        <v>45000</v>
      </c>
    </row>
    <row r="122" spans="15:55" x14ac:dyDescent="0.35">
      <c r="O122" s="3">
        <v>4</v>
      </c>
      <c r="P122" t="s">
        <v>596</v>
      </c>
      <c r="Q122" t="s">
        <v>597</v>
      </c>
      <c r="R122" t="s">
        <v>192</v>
      </c>
      <c r="S122" s="10">
        <v>1</v>
      </c>
      <c r="T122" t="s">
        <v>20</v>
      </c>
      <c r="U122" s="10">
        <v>51170</v>
      </c>
      <c r="V122" s="4">
        <v>51170</v>
      </c>
      <c r="AW122" s="20" t="s">
        <v>418</v>
      </c>
      <c r="AX122" s="18" t="s">
        <v>419</v>
      </c>
      <c r="AY122" s="18" t="s">
        <v>151</v>
      </c>
      <c r="AZ122" s="21">
        <v>1</v>
      </c>
      <c r="BA122" s="18" t="s">
        <v>420</v>
      </c>
      <c r="BB122" s="21">
        <v>5333.34</v>
      </c>
      <c r="BC122" s="19">
        <v>5333.34</v>
      </c>
    </row>
    <row r="123" spans="15:55" ht="15" thickBot="1" x14ac:dyDescent="0.4">
      <c r="O123" s="3">
        <v>5</v>
      </c>
      <c r="P123" t="s">
        <v>442</v>
      </c>
      <c r="Q123" t="s">
        <v>443</v>
      </c>
      <c r="R123" t="s">
        <v>192</v>
      </c>
      <c r="S123" s="10">
        <v>3</v>
      </c>
      <c r="T123" t="s">
        <v>20</v>
      </c>
      <c r="U123" s="10">
        <v>18480</v>
      </c>
      <c r="V123" s="4">
        <v>55440</v>
      </c>
      <c r="AW123" s="20" t="s">
        <v>268</v>
      </c>
      <c r="AX123" s="18" t="s">
        <v>269</v>
      </c>
      <c r="AY123" s="18" t="s">
        <v>151</v>
      </c>
      <c r="AZ123" s="21">
        <v>0.3</v>
      </c>
      <c r="BA123" s="18" t="s">
        <v>87</v>
      </c>
      <c r="BB123" s="21">
        <v>4500</v>
      </c>
      <c r="BC123" s="19">
        <v>1350</v>
      </c>
    </row>
    <row r="124" spans="15:55" x14ac:dyDescent="0.35">
      <c r="O124" s="3">
        <v>6</v>
      </c>
      <c r="P124" t="s">
        <v>555</v>
      </c>
      <c r="Q124" t="s">
        <v>556</v>
      </c>
      <c r="R124" t="s">
        <v>192</v>
      </c>
      <c r="S124" s="10">
        <v>2</v>
      </c>
      <c r="T124" t="s">
        <v>20</v>
      </c>
      <c r="U124" s="10">
        <v>34900</v>
      </c>
      <c r="V124" s="4">
        <v>69800</v>
      </c>
      <c r="AF124" s="84" t="s">
        <v>0</v>
      </c>
      <c r="AG124" s="85"/>
      <c r="AH124" s="85"/>
      <c r="AI124" s="85"/>
      <c r="AJ124" s="85"/>
      <c r="AK124" s="16"/>
      <c r="AL124" s="16"/>
      <c r="AM124" s="17"/>
      <c r="AW124" s="20" t="s">
        <v>154</v>
      </c>
      <c r="AX124" s="18" t="s">
        <v>155</v>
      </c>
      <c r="AY124" s="18" t="s">
        <v>151</v>
      </c>
      <c r="AZ124" s="21">
        <v>120</v>
      </c>
      <c r="BA124" s="18" t="s">
        <v>20</v>
      </c>
      <c r="BB124" s="21">
        <v>955.78056666666703</v>
      </c>
      <c r="BC124" s="19">
        <v>114693.66800000001</v>
      </c>
    </row>
    <row r="125" spans="15:55" x14ac:dyDescent="0.35">
      <c r="O125" s="3">
        <v>7</v>
      </c>
      <c r="P125" t="s">
        <v>333</v>
      </c>
      <c r="Q125" t="s">
        <v>334</v>
      </c>
      <c r="R125" t="s">
        <v>192</v>
      </c>
      <c r="S125">
        <v>26</v>
      </c>
      <c r="T125" t="s">
        <v>20</v>
      </c>
      <c r="U125">
        <v>3666.67</v>
      </c>
      <c r="V125" s="4">
        <v>95333.42</v>
      </c>
      <c r="AF125" s="82" t="s">
        <v>1</v>
      </c>
      <c r="AG125" s="83"/>
      <c r="AH125" s="83"/>
      <c r="AI125" s="83"/>
      <c r="AJ125" s="83"/>
      <c r="AK125" s="18"/>
      <c r="AL125" s="18"/>
      <c r="AM125" s="19"/>
      <c r="AW125" s="20" t="s">
        <v>156</v>
      </c>
      <c r="AX125" s="18" t="s">
        <v>157</v>
      </c>
      <c r="AY125" s="18" t="s">
        <v>151</v>
      </c>
      <c r="AZ125" s="21">
        <v>10</v>
      </c>
      <c r="BA125" s="18" t="s">
        <v>20</v>
      </c>
      <c r="BB125" s="21">
        <v>2704.0281</v>
      </c>
      <c r="BC125" s="19">
        <v>27040.280999999999</v>
      </c>
    </row>
    <row r="126" spans="15:55" ht="15" thickBot="1" x14ac:dyDescent="0.4">
      <c r="O126" s="11" t="s">
        <v>223</v>
      </c>
      <c r="P126" s="12" t="s">
        <v>223</v>
      </c>
      <c r="Q126" s="12" t="s">
        <v>223</v>
      </c>
      <c r="R126" s="12" t="s">
        <v>223</v>
      </c>
      <c r="S126" s="12" t="s">
        <v>223</v>
      </c>
      <c r="T126" s="12" t="s">
        <v>223</v>
      </c>
      <c r="U126" s="12" t="s">
        <v>224</v>
      </c>
      <c r="V126" s="13">
        <v>370743.43</v>
      </c>
      <c r="AF126" s="20"/>
      <c r="AG126" s="18"/>
      <c r="AH126" s="18"/>
      <c r="AI126" s="18"/>
      <c r="AJ126" s="18"/>
      <c r="AK126" s="18"/>
      <c r="AL126" s="18"/>
      <c r="AM126" s="19"/>
      <c r="AW126" s="20" t="s">
        <v>272</v>
      </c>
      <c r="AX126" s="18" t="s">
        <v>273</v>
      </c>
      <c r="AY126" s="18" t="s">
        <v>151</v>
      </c>
      <c r="AZ126" s="21">
        <v>1</v>
      </c>
      <c r="BA126" s="18" t="s">
        <v>5</v>
      </c>
      <c r="BB126" s="21">
        <v>5041.9375</v>
      </c>
      <c r="BC126" s="19">
        <v>5041.9375</v>
      </c>
    </row>
    <row r="127" spans="15:55" ht="15" thickTop="1" x14ac:dyDescent="0.35">
      <c r="AF127" s="82" t="s">
        <v>10</v>
      </c>
      <c r="AG127" s="83" t="s">
        <v>11</v>
      </c>
      <c r="AH127" s="18" t="s">
        <v>888</v>
      </c>
      <c r="AI127" s="18"/>
      <c r="AJ127" s="18"/>
      <c r="AK127" s="18"/>
      <c r="AL127" s="18"/>
      <c r="AM127" s="19"/>
      <c r="AW127" s="20" t="s">
        <v>423</v>
      </c>
      <c r="AX127" s="18" t="s">
        <v>424</v>
      </c>
      <c r="AY127" s="18" t="s">
        <v>151</v>
      </c>
      <c r="AZ127" s="21">
        <v>2</v>
      </c>
      <c r="BA127" s="18" t="s">
        <v>20</v>
      </c>
      <c r="BB127" s="21">
        <v>4950</v>
      </c>
      <c r="BC127" s="19">
        <v>9900</v>
      </c>
    </row>
    <row r="128" spans="15:55" x14ac:dyDescent="0.35">
      <c r="AF128" s="82" t="s">
        <v>16</v>
      </c>
      <c r="AG128" s="83" t="s">
        <v>11</v>
      </c>
      <c r="AH128" s="18" t="s">
        <v>211</v>
      </c>
      <c r="AI128" s="18"/>
      <c r="AJ128" s="18"/>
      <c r="AK128" s="18"/>
      <c r="AL128" s="18"/>
      <c r="AM128" s="19"/>
      <c r="AW128" s="20" t="s">
        <v>276</v>
      </c>
      <c r="AX128" s="18" t="s">
        <v>277</v>
      </c>
      <c r="AY128" s="18" t="s">
        <v>151</v>
      </c>
      <c r="AZ128" s="18">
        <v>4</v>
      </c>
      <c r="BA128" s="18" t="s">
        <v>52</v>
      </c>
      <c r="BB128" s="18">
        <v>1756.05</v>
      </c>
      <c r="BC128" s="19">
        <v>7024.2</v>
      </c>
    </row>
    <row r="129" spans="32:55" x14ac:dyDescent="0.35">
      <c r="AF129" s="82" t="s">
        <v>21</v>
      </c>
      <c r="AG129" s="83" t="s">
        <v>11</v>
      </c>
      <c r="AH129" s="18" t="s">
        <v>610</v>
      </c>
      <c r="AI129" s="18"/>
      <c r="AJ129" s="18"/>
      <c r="AK129" s="18"/>
      <c r="AL129" s="18"/>
      <c r="AM129" s="19"/>
      <c r="AW129" s="20" t="s">
        <v>2</v>
      </c>
      <c r="AX129" s="18" t="s">
        <v>3</v>
      </c>
      <c r="AY129" s="18" t="s">
        <v>4</v>
      </c>
      <c r="AZ129" s="21">
        <v>7</v>
      </c>
      <c r="BA129" s="18" t="s">
        <v>5</v>
      </c>
      <c r="BB129" s="21">
        <v>21000</v>
      </c>
      <c r="BC129" s="19">
        <v>147000</v>
      </c>
    </row>
    <row r="130" spans="32:55" x14ac:dyDescent="0.35">
      <c r="AF130" s="82" t="s">
        <v>26</v>
      </c>
      <c r="AG130" s="83" t="s">
        <v>11</v>
      </c>
      <c r="AH130" s="18" t="s">
        <v>889</v>
      </c>
      <c r="AI130" s="18"/>
      <c r="AJ130" s="18"/>
      <c r="AK130" s="18"/>
      <c r="AL130" s="18"/>
      <c r="AM130" s="19"/>
      <c r="AW130" s="20" t="s">
        <v>7</v>
      </c>
      <c r="AX130" s="18" t="s">
        <v>8</v>
      </c>
      <c r="AY130" s="18" t="s">
        <v>4</v>
      </c>
      <c r="AZ130" s="21">
        <v>0.4</v>
      </c>
      <c r="BA130" s="18" t="s">
        <v>9</v>
      </c>
      <c r="BB130" s="21">
        <v>133200</v>
      </c>
      <c r="BC130" s="19">
        <v>53280</v>
      </c>
    </row>
    <row r="131" spans="32:55" x14ac:dyDescent="0.35">
      <c r="AF131" s="82" t="s">
        <v>31</v>
      </c>
      <c r="AG131" s="83" t="s">
        <v>11</v>
      </c>
      <c r="AH131" s="18" t="s">
        <v>890</v>
      </c>
      <c r="AI131" s="18"/>
      <c r="AJ131" s="18"/>
      <c r="AK131" s="18"/>
      <c r="AL131" s="18"/>
      <c r="AM131" s="19"/>
      <c r="AW131" s="20" t="s">
        <v>18</v>
      </c>
      <c r="AX131" s="18" t="s">
        <v>19</v>
      </c>
      <c r="AY131" s="18" t="s">
        <v>4</v>
      </c>
      <c r="AZ131" s="21">
        <v>0.5</v>
      </c>
      <c r="BA131" s="18" t="s">
        <v>20</v>
      </c>
      <c r="BB131" s="21">
        <v>151400</v>
      </c>
      <c r="BC131" s="19">
        <v>75700</v>
      </c>
    </row>
    <row r="132" spans="32:55" x14ac:dyDescent="0.35">
      <c r="AF132" s="82" t="s">
        <v>35</v>
      </c>
      <c r="AG132" s="83" t="s">
        <v>11</v>
      </c>
      <c r="AH132" s="18" t="s">
        <v>891</v>
      </c>
      <c r="AI132" s="18"/>
      <c r="AJ132" s="18"/>
      <c r="AK132" s="18"/>
      <c r="AL132" s="18"/>
      <c r="AM132" s="19"/>
      <c r="AW132" s="20" t="s">
        <v>219</v>
      </c>
      <c r="AX132" s="18" t="s">
        <v>220</v>
      </c>
      <c r="AY132" s="18" t="s">
        <v>4</v>
      </c>
      <c r="AZ132" s="21">
        <v>2.5</v>
      </c>
      <c r="BA132" s="18" t="s">
        <v>25</v>
      </c>
      <c r="BB132" s="21">
        <v>79237</v>
      </c>
      <c r="BC132" s="19">
        <v>198092.5</v>
      </c>
    </row>
    <row r="133" spans="32:55" x14ac:dyDescent="0.35">
      <c r="AF133" s="20"/>
      <c r="AG133" s="18"/>
      <c r="AH133" s="18"/>
      <c r="AI133" s="18"/>
      <c r="AJ133" s="18"/>
      <c r="AK133" s="18"/>
      <c r="AL133" s="18"/>
      <c r="AM133" s="19"/>
      <c r="AW133" s="20" t="s">
        <v>23</v>
      </c>
      <c r="AX133" s="18" t="s">
        <v>24</v>
      </c>
      <c r="AY133" s="18" t="s">
        <v>4</v>
      </c>
      <c r="AZ133" s="21">
        <v>18</v>
      </c>
      <c r="BA133" s="18" t="s">
        <v>25</v>
      </c>
      <c r="BB133" s="21">
        <v>17760</v>
      </c>
      <c r="BC133" s="19">
        <v>319680</v>
      </c>
    </row>
    <row r="134" spans="32:55" x14ac:dyDescent="0.35">
      <c r="AF134" s="20" t="s">
        <v>42</v>
      </c>
      <c r="AG134" s="18" t="s">
        <v>43</v>
      </c>
      <c r="AH134" s="18" t="s">
        <v>44</v>
      </c>
      <c r="AI134" s="18" t="s">
        <v>45</v>
      </c>
      <c r="AJ134" s="18" t="s">
        <v>46</v>
      </c>
      <c r="AK134" s="18" t="s">
        <v>47</v>
      </c>
      <c r="AL134" s="18" t="s">
        <v>48</v>
      </c>
      <c r="AM134" s="19" t="s">
        <v>49</v>
      </c>
      <c r="AW134" s="20" t="s">
        <v>33</v>
      </c>
      <c r="AX134" s="18" t="s">
        <v>34</v>
      </c>
      <c r="AY134" s="18" t="s">
        <v>4</v>
      </c>
      <c r="AZ134" s="21">
        <v>11.88</v>
      </c>
      <c r="BA134" s="18" t="s">
        <v>30</v>
      </c>
      <c r="BB134" s="21">
        <v>13000</v>
      </c>
      <c r="BC134" s="19">
        <v>154440</v>
      </c>
    </row>
    <row r="135" spans="32:55" x14ac:dyDescent="0.35">
      <c r="AF135" s="20">
        <v>1</v>
      </c>
      <c r="AG135" s="18" t="s">
        <v>892</v>
      </c>
      <c r="AH135" s="18" t="s">
        <v>893</v>
      </c>
      <c r="AI135" s="18" t="s">
        <v>894</v>
      </c>
      <c r="AJ135" s="18">
        <v>2</v>
      </c>
      <c r="AK135" s="18" t="s">
        <v>267</v>
      </c>
      <c r="AL135" s="18">
        <v>384948</v>
      </c>
      <c r="AM135" s="19">
        <v>769896</v>
      </c>
      <c r="AW135" s="20" t="s">
        <v>50</v>
      </c>
      <c r="AX135" s="18" t="s">
        <v>51</v>
      </c>
      <c r="AY135" s="18" t="s">
        <v>41</v>
      </c>
      <c r="AZ135" s="21">
        <v>20</v>
      </c>
      <c r="BA135" s="18" t="s">
        <v>52</v>
      </c>
      <c r="BB135" s="21">
        <v>20500</v>
      </c>
      <c r="BC135" s="19">
        <v>410000</v>
      </c>
    </row>
    <row r="136" spans="32:55" ht="15" thickBot="1" x14ac:dyDescent="0.4">
      <c r="AF136" s="22" t="s">
        <v>223</v>
      </c>
      <c r="AG136" s="23" t="s">
        <v>223</v>
      </c>
      <c r="AH136" s="23" t="s">
        <v>223</v>
      </c>
      <c r="AI136" s="23" t="s">
        <v>223</v>
      </c>
      <c r="AJ136" s="23" t="s">
        <v>223</v>
      </c>
      <c r="AK136" s="23" t="s">
        <v>223</v>
      </c>
      <c r="AL136" s="23" t="s">
        <v>224</v>
      </c>
      <c r="AM136" s="24">
        <v>769896</v>
      </c>
      <c r="AW136" s="20" t="s">
        <v>306</v>
      </c>
      <c r="AX136" s="18" t="s">
        <v>307</v>
      </c>
      <c r="AY136" s="18" t="s">
        <v>41</v>
      </c>
      <c r="AZ136" s="21">
        <v>2</v>
      </c>
      <c r="BA136" s="18" t="s">
        <v>20</v>
      </c>
      <c r="BB136" s="21">
        <v>6938.892499999999</v>
      </c>
      <c r="BC136" s="19">
        <v>13877.785</v>
      </c>
    </row>
    <row r="137" spans="32:55" x14ac:dyDescent="0.35">
      <c r="AW137" s="20" t="s">
        <v>53</v>
      </c>
      <c r="AX137" s="18" t="s">
        <v>54</v>
      </c>
      <c r="AY137" s="18" t="s">
        <v>41</v>
      </c>
      <c r="AZ137" s="21">
        <v>17</v>
      </c>
      <c r="BA137" s="18" t="s">
        <v>20</v>
      </c>
      <c r="BB137" s="21">
        <v>3084.0875999999998</v>
      </c>
      <c r="BC137" s="19">
        <v>52429.489200000004</v>
      </c>
    </row>
    <row r="138" spans="32:55" ht="15" thickBot="1" x14ac:dyDescent="0.4">
      <c r="AW138" s="20" t="s">
        <v>407</v>
      </c>
      <c r="AX138" s="18" t="s">
        <v>408</v>
      </c>
      <c r="AY138" s="18" t="s">
        <v>41</v>
      </c>
      <c r="AZ138" s="21">
        <v>1</v>
      </c>
      <c r="BA138" s="18" t="s">
        <v>267</v>
      </c>
      <c r="BB138" s="21">
        <v>43560</v>
      </c>
      <c r="BC138" s="19">
        <v>43560</v>
      </c>
    </row>
    <row r="139" spans="32:55" x14ac:dyDescent="0.35">
      <c r="AF139" s="84" t="s">
        <v>0</v>
      </c>
      <c r="AG139" s="85"/>
      <c r="AH139" s="85"/>
      <c r="AI139" s="85"/>
      <c r="AJ139" s="85"/>
      <c r="AK139" s="16"/>
      <c r="AL139" s="16"/>
      <c r="AM139" s="17"/>
      <c r="AW139" s="20" t="s">
        <v>57</v>
      </c>
      <c r="AX139" s="18" t="s">
        <v>58</v>
      </c>
      <c r="AY139" s="18" t="s">
        <v>41</v>
      </c>
      <c r="AZ139" s="21">
        <v>8</v>
      </c>
      <c r="BA139" s="18" t="s">
        <v>5</v>
      </c>
      <c r="BB139" s="21">
        <v>7699.9649571428581</v>
      </c>
      <c r="BC139" s="19">
        <v>61599.719657000001</v>
      </c>
    </row>
    <row r="140" spans="32:55" x14ac:dyDescent="0.35">
      <c r="AF140" s="82" t="s">
        <v>1</v>
      </c>
      <c r="AG140" s="83"/>
      <c r="AH140" s="83"/>
      <c r="AI140" s="83"/>
      <c r="AJ140" s="83"/>
      <c r="AK140" s="18"/>
      <c r="AL140" s="18"/>
      <c r="AM140" s="19"/>
      <c r="AW140" s="20" t="s">
        <v>59</v>
      </c>
      <c r="AX140" s="18" t="s">
        <v>60</v>
      </c>
      <c r="AY140" s="18" t="s">
        <v>41</v>
      </c>
      <c r="AZ140" s="21">
        <v>11</v>
      </c>
      <c r="BA140" s="18" t="s">
        <v>5</v>
      </c>
      <c r="BB140" s="21">
        <v>7700</v>
      </c>
      <c r="BC140" s="19">
        <v>84700</v>
      </c>
    </row>
    <row r="141" spans="32:55" x14ac:dyDescent="0.35">
      <c r="AF141" s="20"/>
      <c r="AG141" s="18"/>
      <c r="AH141" s="18"/>
      <c r="AI141" s="18"/>
      <c r="AJ141" s="18"/>
      <c r="AK141" s="18"/>
      <c r="AL141" s="18"/>
      <c r="AM141" s="19"/>
      <c r="AW141" s="20" t="s">
        <v>61</v>
      </c>
      <c r="AX141" s="18" t="s">
        <v>62</v>
      </c>
      <c r="AY141" s="18" t="s">
        <v>41</v>
      </c>
      <c r="AZ141" s="18">
        <v>2</v>
      </c>
      <c r="BA141" s="18" t="s">
        <v>5</v>
      </c>
      <c r="BB141" s="18">
        <v>17416.5759</v>
      </c>
      <c r="BC141" s="19">
        <v>34833.1518</v>
      </c>
    </row>
    <row r="142" spans="32:55" x14ac:dyDescent="0.35">
      <c r="AF142" s="82" t="s">
        <v>10</v>
      </c>
      <c r="AG142" s="83" t="s">
        <v>11</v>
      </c>
      <c r="AH142" s="18" t="s">
        <v>895</v>
      </c>
      <c r="AI142" s="18"/>
      <c r="AJ142" s="18"/>
      <c r="AK142" s="18"/>
      <c r="AL142" s="18"/>
      <c r="AM142" s="19"/>
      <c r="AW142" s="20" t="s">
        <v>892</v>
      </c>
      <c r="AX142" s="18" t="s">
        <v>893</v>
      </c>
      <c r="AY142" s="18" t="s">
        <v>894</v>
      </c>
      <c r="AZ142" s="18">
        <v>2</v>
      </c>
      <c r="BA142" s="18" t="s">
        <v>267</v>
      </c>
      <c r="BB142" s="18">
        <v>384948</v>
      </c>
      <c r="BC142" s="19">
        <v>769896</v>
      </c>
    </row>
    <row r="143" spans="32:55" ht="15" thickBot="1" x14ac:dyDescent="0.4">
      <c r="AF143" s="82" t="s">
        <v>16</v>
      </c>
      <c r="AG143" s="83" t="s">
        <v>11</v>
      </c>
      <c r="AH143" s="18" t="s">
        <v>896</v>
      </c>
      <c r="AI143" s="18"/>
      <c r="AJ143" s="18"/>
      <c r="AK143" s="18"/>
      <c r="AL143" s="18"/>
      <c r="AM143" s="19"/>
      <c r="AW143" s="22" t="s">
        <v>460</v>
      </c>
      <c r="AX143" s="23" t="s">
        <v>461</v>
      </c>
      <c r="AY143" s="23" t="s">
        <v>117</v>
      </c>
      <c r="AZ143" s="23">
        <v>4</v>
      </c>
      <c r="BA143" s="23" t="s">
        <v>20</v>
      </c>
      <c r="BB143" s="23">
        <v>152985.55220000001</v>
      </c>
      <c r="BC143" s="24">
        <v>611942.20880000002</v>
      </c>
    </row>
    <row r="144" spans="32:55" x14ac:dyDescent="0.35">
      <c r="AF144" s="82" t="s">
        <v>21</v>
      </c>
      <c r="AG144" s="83" t="s">
        <v>11</v>
      </c>
      <c r="AH144" s="18" t="s">
        <v>610</v>
      </c>
      <c r="AI144" s="18"/>
      <c r="AJ144" s="18"/>
      <c r="AK144" s="18"/>
      <c r="AL144" s="18"/>
      <c r="AM144" s="19"/>
    </row>
    <row r="145" spans="32:39" x14ac:dyDescent="0.35">
      <c r="AF145" s="82" t="s">
        <v>26</v>
      </c>
      <c r="AG145" s="83" t="s">
        <v>11</v>
      </c>
      <c r="AH145" s="18" t="s">
        <v>897</v>
      </c>
      <c r="AI145" s="18"/>
      <c r="AJ145" s="18"/>
      <c r="AK145" s="18"/>
      <c r="AL145" s="18"/>
      <c r="AM145" s="19"/>
    </row>
    <row r="146" spans="32:39" x14ac:dyDescent="0.35">
      <c r="AF146" s="82" t="s">
        <v>31</v>
      </c>
      <c r="AG146" s="83" t="s">
        <v>11</v>
      </c>
      <c r="AH146" s="18" t="s">
        <v>109</v>
      </c>
      <c r="AI146" s="18"/>
      <c r="AJ146" s="18"/>
      <c r="AK146" s="18"/>
      <c r="AL146" s="18"/>
      <c r="AM146" s="19"/>
    </row>
    <row r="147" spans="32:39" x14ac:dyDescent="0.35">
      <c r="AF147" s="82" t="s">
        <v>35</v>
      </c>
      <c r="AG147" s="83" t="s">
        <v>11</v>
      </c>
      <c r="AH147" s="18" t="s">
        <v>898</v>
      </c>
      <c r="AI147" s="18"/>
      <c r="AJ147" s="18"/>
      <c r="AK147" s="18"/>
      <c r="AL147" s="18"/>
      <c r="AM147" s="19"/>
    </row>
    <row r="148" spans="32:39" x14ac:dyDescent="0.35">
      <c r="AF148" s="20"/>
      <c r="AG148" s="18"/>
      <c r="AH148" s="18"/>
      <c r="AI148" s="18"/>
      <c r="AJ148" s="18"/>
      <c r="AK148" s="18"/>
      <c r="AL148" s="18"/>
      <c r="AM148" s="19"/>
    </row>
    <row r="149" spans="32:39" x14ac:dyDescent="0.35">
      <c r="AF149" s="20" t="s">
        <v>42</v>
      </c>
      <c r="AG149" s="18" t="s">
        <v>43</v>
      </c>
      <c r="AH149" s="18" t="s">
        <v>44</v>
      </c>
      <c r="AI149" s="18" t="s">
        <v>45</v>
      </c>
      <c r="AJ149" s="18" t="s">
        <v>46</v>
      </c>
      <c r="AK149" s="18" t="s">
        <v>47</v>
      </c>
      <c r="AL149" s="18" t="s">
        <v>48</v>
      </c>
      <c r="AM149" s="19" t="s">
        <v>49</v>
      </c>
    </row>
    <row r="150" spans="32:39" x14ac:dyDescent="0.35">
      <c r="AF150" s="20">
        <v>1</v>
      </c>
      <c r="AG150" s="18" t="s">
        <v>460</v>
      </c>
      <c r="AH150" s="18" t="s">
        <v>461</v>
      </c>
      <c r="AI150" s="18" t="s">
        <v>117</v>
      </c>
      <c r="AJ150" s="18">
        <v>4</v>
      </c>
      <c r="AK150" s="18" t="s">
        <v>20</v>
      </c>
      <c r="AL150" s="18">
        <v>152985.55220000001</v>
      </c>
      <c r="AM150" s="19">
        <v>611942.20880000002</v>
      </c>
    </row>
    <row r="151" spans="32:39" ht="15" thickBot="1" x14ac:dyDescent="0.4">
      <c r="AF151" s="22" t="s">
        <v>223</v>
      </c>
      <c r="AG151" s="23" t="s">
        <v>223</v>
      </c>
      <c r="AH151" s="23" t="s">
        <v>223</v>
      </c>
      <c r="AI151" s="23" t="s">
        <v>223</v>
      </c>
      <c r="AJ151" s="23" t="s">
        <v>223</v>
      </c>
      <c r="AK151" s="23" t="s">
        <v>223</v>
      </c>
      <c r="AL151" s="23" t="s">
        <v>224</v>
      </c>
      <c r="AM151" s="24">
        <v>611942.20880000002</v>
      </c>
    </row>
  </sheetData>
  <mergeCells count="80">
    <mergeCell ref="AF145:AG145"/>
    <mergeCell ref="AF146:AG146"/>
    <mergeCell ref="AF147:AG147"/>
    <mergeCell ref="AF139:AJ139"/>
    <mergeCell ref="AF140:AJ140"/>
    <mergeCell ref="AF142:AG142"/>
    <mergeCell ref="AF143:AG143"/>
    <mergeCell ref="AF144:AG144"/>
    <mergeCell ref="AF128:AG128"/>
    <mergeCell ref="AF129:AG129"/>
    <mergeCell ref="AF130:AG130"/>
    <mergeCell ref="AF131:AG131"/>
    <mergeCell ref="AF132:AG132"/>
    <mergeCell ref="AF104:AG104"/>
    <mergeCell ref="AF105:AG105"/>
    <mergeCell ref="AF124:AJ124"/>
    <mergeCell ref="AF125:AJ125"/>
    <mergeCell ref="AF127:AG127"/>
    <mergeCell ref="AF98:AJ98"/>
    <mergeCell ref="AF100:AG100"/>
    <mergeCell ref="AF101:AG101"/>
    <mergeCell ref="AF102:AG102"/>
    <mergeCell ref="AF103:AG103"/>
    <mergeCell ref="AF66:AG66"/>
    <mergeCell ref="AF67:AG67"/>
    <mergeCell ref="AF68:AG68"/>
    <mergeCell ref="AF69:AG69"/>
    <mergeCell ref="AF97:AJ97"/>
    <mergeCell ref="AF48:AG48"/>
    <mergeCell ref="AF61:AJ61"/>
    <mergeCell ref="AF62:AJ62"/>
    <mergeCell ref="AF64:AG64"/>
    <mergeCell ref="AF65:AG65"/>
    <mergeCell ref="AF43:AG43"/>
    <mergeCell ref="AF44:AG44"/>
    <mergeCell ref="AF45:AG45"/>
    <mergeCell ref="AF46:AG46"/>
    <mergeCell ref="AF47:AG47"/>
    <mergeCell ref="AF8:AG8"/>
    <mergeCell ref="AF9:AG9"/>
    <mergeCell ref="AF10:AG10"/>
    <mergeCell ref="AF40:AJ40"/>
    <mergeCell ref="AF41:AJ41"/>
    <mergeCell ref="AF2:AJ2"/>
    <mergeCell ref="AF3:AJ3"/>
    <mergeCell ref="AF5:AG5"/>
    <mergeCell ref="AF6:AG6"/>
    <mergeCell ref="AF7:AG7"/>
    <mergeCell ref="O40:P40"/>
    <mergeCell ref="O2:S2"/>
    <mergeCell ref="O3:S3"/>
    <mergeCell ref="O5:P5"/>
    <mergeCell ref="O6:P6"/>
    <mergeCell ref="O7:P7"/>
    <mergeCell ref="O8:P8"/>
    <mergeCell ref="O9:P9"/>
    <mergeCell ref="O10:P10"/>
    <mergeCell ref="O36:S36"/>
    <mergeCell ref="O37:S37"/>
    <mergeCell ref="O39:P39"/>
    <mergeCell ref="O80:P80"/>
    <mergeCell ref="O41:P41"/>
    <mergeCell ref="O42:P42"/>
    <mergeCell ref="O43:P43"/>
    <mergeCell ref="O44:P44"/>
    <mergeCell ref="O72:S72"/>
    <mergeCell ref="O73:S73"/>
    <mergeCell ref="O75:P75"/>
    <mergeCell ref="O76:P76"/>
    <mergeCell ref="O77:P77"/>
    <mergeCell ref="O78:P78"/>
    <mergeCell ref="O79:P79"/>
    <mergeCell ref="O115:P115"/>
    <mergeCell ref="O116:P116"/>
    <mergeCell ref="O108:S108"/>
    <mergeCell ref="O109:S109"/>
    <mergeCell ref="O111:P111"/>
    <mergeCell ref="O112:P112"/>
    <mergeCell ref="O113:P113"/>
    <mergeCell ref="O114:P114"/>
  </mergeCells>
  <conditionalFormatting sqref="H6:H104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6:J104">
    <cfRule type="containsText" dxfId="33" priority="3" operator="containsText" text="kenaikan iu">
      <formula>NOT(ISERROR(SEARCH("kenaikan iu",J6)))</formula>
    </cfRule>
    <cfRule type="containsText" dxfId="32" priority="2" operator="containsText" text="penurunan iu">
      <formula>NOT(ISERROR(SEARCH("penurunan iu",J6)))</formula>
    </cfRule>
    <cfRule type="containsText" dxfId="31" priority="1" operator="containsText" text="tidak ada perubahan">
      <formula>NOT(ISERROR(SEARCH("tidak ada perubahan",J6)))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B6D05-5A6B-41F7-A7BF-8881D6131451}">
  <sheetPr codeName="Sheet7"/>
  <dimension ref="A3:BD174"/>
  <sheetViews>
    <sheetView showGridLines="0" topLeftCell="A3" zoomScale="60" zoomScaleNormal="60" workbookViewId="0">
      <pane xSplit="11" ySplit="9" topLeftCell="L12" activePane="bottomRight" state="frozen"/>
      <selection activeCell="A3" sqref="A3"/>
      <selection pane="topRight" activeCell="L3" sqref="L3"/>
      <selection pane="bottomLeft" activeCell="A12" sqref="A12"/>
      <selection pane="bottomRight" activeCell="H3" sqref="H3:J9"/>
    </sheetView>
  </sheetViews>
  <sheetFormatPr defaultRowHeight="14.5" x14ac:dyDescent="0.35"/>
  <cols>
    <col min="1" max="1" width="11" bestFit="1" customWidth="1"/>
    <col min="2" max="2" width="48.6328125" bestFit="1" customWidth="1"/>
    <col min="3" max="3" width="30.1796875" bestFit="1" customWidth="1"/>
    <col min="4" max="4" width="10.7265625" customWidth="1"/>
    <col min="5" max="5" width="35.453125" bestFit="1" customWidth="1"/>
    <col min="7" max="7" width="12.81640625" bestFit="1" customWidth="1"/>
    <col min="8" max="8" width="10.90625" customWidth="1"/>
    <col min="9" max="9" width="33.6328125" bestFit="1" customWidth="1"/>
    <col min="10" max="10" width="21.6328125" customWidth="1"/>
    <col min="11" max="11" width="40.54296875" customWidth="1"/>
    <col min="25" max="25" width="49.1796875" bestFit="1" customWidth="1"/>
    <col min="29" max="29" width="10.36328125" bestFit="1" customWidth="1"/>
    <col min="47" max="47" width="11.6328125" bestFit="1" customWidth="1"/>
  </cols>
  <sheetData>
    <row r="3" spans="1:56" ht="15" thickBot="1" x14ac:dyDescent="0.4">
      <c r="D3" s="61" t="s">
        <v>863</v>
      </c>
      <c r="E3" s="61"/>
      <c r="F3" s="61"/>
      <c r="H3" s="65" t="s">
        <v>869</v>
      </c>
      <c r="I3" s="65"/>
      <c r="J3" s="65"/>
    </row>
    <row r="4" spans="1:56" ht="15" thickTop="1" x14ac:dyDescent="0.35">
      <c r="D4" s="62" t="s">
        <v>864</v>
      </c>
      <c r="E4" s="62" t="s">
        <v>865</v>
      </c>
      <c r="F4" s="62" t="s">
        <v>866</v>
      </c>
      <c r="H4" s="62" t="s">
        <v>864</v>
      </c>
      <c r="I4" s="62" t="s">
        <v>865</v>
      </c>
      <c r="J4" s="62" t="s">
        <v>866</v>
      </c>
    </row>
    <row r="5" spans="1:56" x14ac:dyDescent="0.35">
      <c r="D5" s="63" t="str">
        <f>INDEX($A$12:$A$100, MATCH(F5, $H$12:$H$100, 0))</f>
        <v>OTH00190</v>
      </c>
      <c r="E5" s="63" t="str">
        <f>INDEX($B$12:$B$100, MATCH(F5, $H$12:$H$100, 0))</f>
        <v>SUMBU LILIN PELAMPUNG SERAT KAYU</v>
      </c>
      <c r="F5" s="63">
        <f>LARGE($H$12:$H$100, ROW(A1))</f>
        <v>132</v>
      </c>
      <c r="H5" s="63" t="str" cm="1">
        <f t="array" ref="H5">INDEX($A$12:$A$100, SMALL(IF($H$12:$H$100=J5, ROW($H$12:$H$100)-ROW($H$12)+1), COUNTIF($J$5:J5, J5)))</f>
        <v>CETS0048</v>
      </c>
      <c r="I5" s="63" t="str" cm="1">
        <f t="array" ref="I5">INDEX($B$12:$B$100, SMALL(IF($H$12:$H$100=J5, ROW($H$12:$H$100)-ROW($H$12)+1), COUNTIF($J$5:J5, J5)))</f>
        <v>SEDOTAN LALAT</v>
      </c>
      <c r="J5" s="63">
        <f>SMALL($H$12:$H$100, ROW(A1))</f>
        <v>-244</v>
      </c>
    </row>
    <row r="6" spans="1:56" x14ac:dyDescent="0.35">
      <c r="D6" s="63" t="str">
        <f t="shared" ref="D6:D9" si="0">INDEX($A$12:$A$100, MATCH(F6, $H$12:$H$100, 0))</f>
        <v>NCGK0003</v>
      </c>
      <c r="E6" s="63" t="str">
        <f t="shared" ref="E6:E9" si="1">INDEX($B$12:$B$100, MATCH(F6, $H$12:$H$100, 0))</f>
        <v>PLASTIK PE 1 KG 15 x 30</v>
      </c>
      <c r="F6" s="63">
        <f t="shared" ref="F6:F9" si="2">LARGE($H$12:$H$100, ROW(A2))</f>
        <v>20</v>
      </c>
      <c r="H6" s="63" t="str" cm="1">
        <f t="array" ref="H6">INDEX($A$12:$A$100, SMALL(IF($H$12:$H$100=J6, ROW($H$12:$H$100)-ROW($H$12)+1), COUNTIF($J$5:J6, J6)))</f>
        <v>TGW00012</v>
      </c>
      <c r="I6" s="63" t="str" cm="1">
        <f t="array" ref="I6">INDEX($B$12:$B$100, SMALL(IF($H$12:$H$100=J6, ROW($H$12:$H$100)-ROW($H$12)+1), COUNTIF($J$5:J6, J6)))</f>
        <v>SAUCER SAUCE MANGKUK SAUS P3</v>
      </c>
      <c r="J6" s="63">
        <f t="shared" ref="J6:J9" si="3">SMALL($H$12:$H$100, ROW(A2))</f>
        <v>-22</v>
      </c>
    </row>
    <row r="7" spans="1:56" ht="15" thickBot="1" x14ac:dyDescent="0.4">
      <c r="D7" s="63" t="str">
        <f t="shared" si="0"/>
        <v>NCGK0003</v>
      </c>
      <c r="E7" s="63" t="str">
        <f t="shared" si="1"/>
        <v>PLASTIK PE 1 KG 15 x 30</v>
      </c>
      <c r="F7" s="63">
        <f t="shared" si="2"/>
        <v>20</v>
      </c>
      <c r="H7" s="63" t="str" cm="1">
        <f t="array" ref="H7">INDEX($A$12:$A$100, SMALL(IF($H$12:$H$100=J7, ROW($H$12:$H$100)-ROW($H$12)+1), COUNTIF($J$5:J7, J7)))</f>
        <v>CETS00028</v>
      </c>
      <c r="I7" s="63" t="str" cm="1">
        <f t="array" ref="I7">INDEX($B$12:$B$100, SMALL(IF($H$12:$H$100=J7, ROW($H$12:$H$100)-ROW($H$12)+1), COUNTIF($J$5:J7, J7)))</f>
        <v>GLUE PAD</v>
      </c>
      <c r="J7" s="63">
        <f t="shared" si="3"/>
        <v>-17</v>
      </c>
    </row>
    <row r="8" spans="1:56" ht="15" thickTop="1" x14ac:dyDescent="0.35">
      <c r="D8" s="63" t="str">
        <f t="shared" si="0"/>
        <v>TCT00008</v>
      </c>
      <c r="E8" s="63" t="str">
        <f t="shared" si="1"/>
        <v>SENDOK KOREA STAINLESS SUJEO SUS304</v>
      </c>
      <c r="F8" s="63">
        <f t="shared" si="2"/>
        <v>11</v>
      </c>
      <c r="H8" s="63" t="str" cm="1">
        <f t="array" ref="H8">INDEX($A$12:$A$100, SMALL(IF($H$12:$H$100=J8, ROW($H$12:$H$100)-ROW($H$12)+1), COUNTIF($J$5:J8, J8)))</f>
        <v>NCGK0001</v>
      </c>
      <c r="I8" s="63" t="str" cm="1">
        <f t="array" ref="I8">INDEX($B$12:$B$100, SMALL(IF($H$12:$H$100=J8, ROW($H$12:$H$100)-ROW($H$12)+1), COUNTIF($J$5:J8, J8)))</f>
        <v>PLASTIK PE 2 KG 20 x 35 (Kitchen)</v>
      </c>
      <c r="J8" s="63">
        <f t="shared" si="3"/>
        <v>-14</v>
      </c>
      <c r="O8" s="88" t="s">
        <v>0</v>
      </c>
      <c r="P8" s="89"/>
      <c r="Q8" s="89"/>
      <c r="R8" s="89"/>
      <c r="S8" s="89"/>
      <c r="T8" s="1"/>
      <c r="U8" s="1"/>
      <c r="V8" s="2"/>
      <c r="X8" s="7" t="s">
        <v>214</v>
      </c>
      <c r="Y8" s="1" t="s">
        <v>215</v>
      </c>
      <c r="Z8" s="1" t="s">
        <v>4</v>
      </c>
      <c r="AA8" s="8">
        <v>2.2000000000000002</v>
      </c>
      <c r="AB8" s="1" t="s">
        <v>216</v>
      </c>
      <c r="AC8" s="8">
        <v>55299.999999999993</v>
      </c>
      <c r="AD8" s="2">
        <v>121660</v>
      </c>
      <c r="AG8" s="84" t="s">
        <v>0</v>
      </c>
      <c r="AH8" s="85"/>
      <c r="AI8" s="85"/>
      <c r="AJ8" s="85"/>
      <c r="AK8" s="85"/>
      <c r="AL8" s="16"/>
      <c r="AM8" s="16"/>
      <c r="AN8" s="17"/>
      <c r="AP8" s="25" t="s">
        <v>214</v>
      </c>
      <c r="AQ8" s="16" t="s">
        <v>215</v>
      </c>
      <c r="AR8" s="16" t="s">
        <v>4</v>
      </c>
      <c r="AS8" s="26">
        <v>0.1</v>
      </c>
      <c r="AT8" s="16" t="s">
        <v>216</v>
      </c>
      <c r="AU8" s="26">
        <v>55299.999999999993</v>
      </c>
      <c r="AV8" s="17">
        <v>5530</v>
      </c>
      <c r="AX8" s="25" t="s">
        <v>214</v>
      </c>
      <c r="AY8" s="16" t="s">
        <v>215</v>
      </c>
      <c r="AZ8" s="16" t="s">
        <v>4</v>
      </c>
      <c r="BA8" s="26">
        <v>0.1</v>
      </c>
      <c r="BB8" s="16" t="s">
        <v>216</v>
      </c>
      <c r="BC8" s="26">
        <v>55299.999999999993</v>
      </c>
      <c r="BD8" s="17">
        <v>5530</v>
      </c>
    </row>
    <row r="9" spans="1:56" ht="21.5" thickBot="1" x14ac:dyDescent="0.55000000000000004">
      <c r="B9" s="14" t="s">
        <v>638</v>
      </c>
      <c r="D9" s="64" t="str">
        <f t="shared" si="0"/>
        <v>NCGK0008</v>
      </c>
      <c r="E9" s="64" t="str">
        <f t="shared" si="1"/>
        <v>PLASTIK PE 1/4 KG 10x20</v>
      </c>
      <c r="F9" s="64">
        <f t="shared" si="2"/>
        <v>10</v>
      </c>
      <c r="H9" s="64" t="str" cm="1">
        <f t="array" ref="H9">INDEX($A$12:$A$100, SMALL(IF($H$12:$H$100=J9, ROW($H$12:$H$100)-ROW($H$12)+1), COUNTIF($J$5:J9, J9)))</f>
        <v>CECM0012</v>
      </c>
      <c r="I9" s="64" t="str" cm="1">
        <f t="array" ref="I9">INDEX($B$12:$B$100, SMALL(IF($H$12:$H$100=J9, ROW($H$12:$H$100)-ROW($H$12)+1), COUNTIF($J$5:J9, J9)))</f>
        <v>NOBLA LIQUID 20 L</v>
      </c>
      <c r="J9" s="64">
        <f t="shared" si="3"/>
        <v>-10</v>
      </c>
      <c r="O9" s="86" t="s">
        <v>1</v>
      </c>
      <c r="P9" s="87"/>
      <c r="Q9" s="87"/>
      <c r="R9" s="87"/>
      <c r="S9" s="87"/>
      <c r="V9" s="4"/>
      <c r="X9" s="3" t="s">
        <v>2</v>
      </c>
      <c r="Y9" t="s">
        <v>3</v>
      </c>
      <c r="Z9" t="s">
        <v>4</v>
      </c>
      <c r="AA9" s="10">
        <v>9</v>
      </c>
      <c r="AB9" t="s">
        <v>5</v>
      </c>
      <c r="AC9" s="10">
        <v>21000</v>
      </c>
      <c r="AD9" s="4">
        <v>189000</v>
      </c>
      <c r="AG9" s="82" t="s">
        <v>1</v>
      </c>
      <c r="AH9" s="83"/>
      <c r="AI9" s="83"/>
      <c r="AJ9" s="83"/>
      <c r="AK9" s="83"/>
      <c r="AL9" s="18"/>
      <c r="AM9" s="18"/>
      <c r="AN9" s="19"/>
      <c r="AP9" s="20" t="s">
        <v>2</v>
      </c>
      <c r="AQ9" s="18" t="s">
        <v>3</v>
      </c>
      <c r="AR9" s="18" t="s">
        <v>4</v>
      </c>
      <c r="AS9" s="21">
        <v>8</v>
      </c>
      <c r="AT9" s="18" t="s">
        <v>5</v>
      </c>
      <c r="AU9" s="21">
        <v>21000</v>
      </c>
      <c r="AV9" s="19">
        <v>168000</v>
      </c>
      <c r="AX9" s="20" t="s">
        <v>2</v>
      </c>
      <c r="AY9" s="18" t="s">
        <v>3</v>
      </c>
      <c r="AZ9" s="18" t="s">
        <v>4</v>
      </c>
      <c r="BA9" s="21">
        <v>8</v>
      </c>
      <c r="BB9" s="18" t="s">
        <v>5</v>
      </c>
      <c r="BC9" s="21">
        <v>21000</v>
      </c>
      <c r="BD9" s="19">
        <v>168000</v>
      </c>
    </row>
    <row r="10" spans="1:56" ht="15.5" thickTop="1" thickBot="1" x14ac:dyDescent="0.4">
      <c r="O10" s="3"/>
      <c r="V10" s="4"/>
      <c r="X10" s="3" t="s">
        <v>217</v>
      </c>
      <c r="Y10" t="s">
        <v>218</v>
      </c>
      <c r="Z10" t="s">
        <v>4</v>
      </c>
      <c r="AA10" s="10">
        <v>0.4</v>
      </c>
      <c r="AB10" t="s">
        <v>9</v>
      </c>
      <c r="AC10" s="10">
        <v>55300</v>
      </c>
      <c r="AD10" s="4">
        <v>22120</v>
      </c>
      <c r="AG10" s="20"/>
      <c r="AH10" s="18"/>
      <c r="AI10" s="18"/>
      <c r="AJ10" s="18"/>
      <c r="AK10" s="18"/>
      <c r="AL10" s="18"/>
      <c r="AM10" s="18"/>
      <c r="AN10" s="19"/>
      <c r="AP10" s="20" t="s">
        <v>217</v>
      </c>
      <c r="AQ10" s="18" t="s">
        <v>218</v>
      </c>
      <c r="AR10" s="18" t="s">
        <v>4</v>
      </c>
      <c r="AS10" s="21">
        <v>0.6</v>
      </c>
      <c r="AT10" s="18" t="s">
        <v>9</v>
      </c>
      <c r="AU10" s="21">
        <v>55300</v>
      </c>
      <c r="AV10" s="19">
        <v>33180</v>
      </c>
      <c r="AX10" s="20" t="s">
        <v>217</v>
      </c>
      <c r="AY10" s="18" t="s">
        <v>218</v>
      </c>
      <c r="AZ10" s="18" t="s">
        <v>4</v>
      </c>
      <c r="BA10" s="21">
        <v>0.6</v>
      </c>
      <c r="BB10" s="18" t="s">
        <v>9</v>
      </c>
      <c r="BC10" s="21">
        <v>55300</v>
      </c>
      <c r="BD10" s="19">
        <v>33180</v>
      </c>
    </row>
    <row r="11" spans="1:56" ht="35" customHeight="1" thickTop="1" thickBot="1" x14ac:dyDescent="0.4">
      <c r="A11" s="33" t="s">
        <v>200</v>
      </c>
      <c r="B11" s="34" t="s">
        <v>201</v>
      </c>
      <c r="C11" s="34" t="s">
        <v>202</v>
      </c>
      <c r="D11" s="34" t="s">
        <v>203</v>
      </c>
      <c r="E11" s="34" t="s">
        <v>204</v>
      </c>
      <c r="F11" s="35" t="s">
        <v>822</v>
      </c>
      <c r="G11" s="35" t="s">
        <v>470</v>
      </c>
      <c r="H11" s="35" t="s">
        <v>207</v>
      </c>
      <c r="I11" s="34" t="s">
        <v>208</v>
      </c>
      <c r="J11" s="34" t="s">
        <v>209</v>
      </c>
      <c r="K11" s="36" t="s">
        <v>860</v>
      </c>
      <c r="O11" s="86" t="s">
        <v>10</v>
      </c>
      <c r="P11" s="87" t="s">
        <v>11</v>
      </c>
      <c r="Q11" t="s">
        <v>639</v>
      </c>
      <c r="V11" s="4"/>
      <c r="X11" s="3" t="s">
        <v>7</v>
      </c>
      <c r="Y11" t="s">
        <v>8</v>
      </c>
      <c r="Z11" t="s">
        <v>4</v>
      </c>
      <c r="AA11" s="10">
        <v>0.7</v>
      </c>
      <c r="AB11" t="s">
        <v>9</v>
      </c>
      <c r="AC11" s="10">
        <v>133200</v>
      </c>
      <c r="AD11" s="4">
        <v>93240</v>
      </c>
      <c r="AG11" s="82" t="s">
        <v>10</v>
      </c>
      <c r="AH11" s="83" t="s">
        <v>11</v>
      </c>
      <c r="AI11" s="18" t="s">
        <v>844</v>
      </c>
      <c r="AJ11" s="18"/>
      <c r="AK11" s="18"/>
      <c r="AL11" s="18"/>
      <c r="AM11" s="18"/>
      <c r="AN11" s="19"/>
      <c r="AP11" s="20" t="s">
        <v>7</v>
      </c>
      <c r="AQ11" s="18" t="s">
        <v>8</v>
      </c>
      <c r="AR11" s="18" t="s">
        <v>4</v>
      </c>
      <c r="AS11" s="21">
        <v>1.6</v>
      </c>
      <c r="AT11" s="18" t="s">
        <v>9</v>
      </c>
      <c r="AU11" s="21">
        <v>133200</v>
      </c>
      <c r="AV11" s="19">
        <v>213120</v>
      </c>
      <c r="AX11" s="20" t="s">
        <v>7</v>
      </c>
      <c r="AY11" s="18" t="s">
        <v>8</v>
      </c>
      <c r="AZ11" s="18" t="s">
        <v>4</v>
      </c>
      <c r="BA11" s="21">
        <v>1.6</v>
      </c>
      <c r="BB11" s="18" t="s">
        <v>9</v>
      </c>
      <c r="BC11" s="21">
        <v>133200</v>
      </c>
      <c r="BD11" s="19">
        <v>213120</v>
      </c>
    </row>
    <row r="12" spans="1:56" ht="15" thickTop="1" x14ac:dyDescent="0.35">
      <c r="A12" s="38" t="str" cm="1">
        <f t="array" ref="A12:A124">_xlfn.UNIQUE(_xlfn._xlws.FILTER(AX8:AX306, AX8:AX306 &lt;&gt; ""))</f>
        <v>CECM0001</v>
      </c>
      <c r="B12" s="31" t="str">
        <f>_xlfn.XLOOKUP(A12, AX$8:AX$306, AY$8:AY$306, "", 0)</f>
        <v>XYZ KARBOL PINUS 5 L</v>
      </c>
      <c r="C12" s="31" t="str">
        <f>_xlfn.XLOOKUP(A12, AX$8:AX$306, AZ$8:AZ$306, "", 0)</f>
        <v>CLEANING CHEMICAL</v>
      </c>
      <c r="D12" s="66" t="str">
        <f>_xlfn.XLOOKUP(A12, AX$8:AX$306, BB$8:BB$306, "", 0)</f>
        <v>btl</v>
      </c>
      <c r="E12" s="53">
        <f>ROUND(_xlfn.XLOOKUP(A12, AX$8:AX$306, BC$8:BC$306, "", 0),2)</f>
        <v>55300</v>
      </c>
      <c r="F12" s="48">
        <f>_xlfn.XLOOKUP(A12, X$8:X$306, AA$8:AA$306, "0", 0)</f>
        <v>2.2000000000000002</v>
      </c>
      <c r="G12" s="67">
        <f>_xlfn.XLOOKUP(A12, AP$8:AP$306, AS$8:AS$306, "0", 0)</f>
        <v>0.1</v>
      </c>
      <c r="H12" s="67">
        <f>G12-F12</f>
        <v>-2.1</v>
      </c>
      <c r="I12" s="53">
        <f>H12*E12</f>
        <v>-116130</v>
      </c>
      <c r="J12" s="31" t="str">
        <f>CHOOSE(SIGN(G12 - F12) + 2, "Penurunan IU", "Tidak Ada Perubahan", "Kenaikan IU")</f>
        <v>Penurunan IU</v>
      </c>
      <c r="K12" s="42"/>
      <c r="O12" s="86" t="s">
        <v>16</v>
      </c>
      <c r="P12" s="87" t="s">
        <v>11</v>
      </c>
      <c r="Q12" t="s">
        <v>17</v>
      </c>
      <c r="V12" s="4"/>
      <c r="X12" s="3" t="s">
        <v>13</v>
      </c>
      <c r="Y12" t="s">
        <v>14</v>
      </c>
      <c r="Z12" t="s">
        <v>4</v>
      </c>
      <c r="AA12" s="10">
        <v>0.8</v>
      </c>
      <c r="AB12" t="s">
        <v>15</v>
      </c>
      <c r="AC12" s="10">
        <v>77700</v>
      </c>
      <c r="AD12" s="4">
        <v>62160</v>
      </c>
      <c r="AG12" s="82" t="s">
        <v>16</v>
      </c>
      <c r="AH12" s="83" t="s">
        <v>11</v>
      </c>
      <c r="AI12" s="18" t="s">
        <v>211</v>
      </c>
      <c r="AJ12" s="18"/>
      <c r="AK12" s="18"/>
      <c r="AL12" s="18"/>
      <c r="AM12" s="18"/>
      <c r="AN12" s="19"/>
      <c r="AP12" s="20" t="s">
        <v>403</v>
      </c>
      <c r="AQ12" s="18" t="s">
        <v>404</v>
      </c>
      <c r="AR12" s="18" t="s">
        <v>4</v>
      </c>
      <c r="AS12" s="21">
        <v>0.2</v>
      </c>
      <c r="AT12" s="18" t="s">
        <v>9</v>
      </c>
      <c r="AU12" s="21">
        <v>70700</v>
      </c>
      <c r="AV12" s="19">
        <v>14140</v>
      </c>
      <c r="AX12" s="20" t="s">
        <v>403</v>
      </c>
      <c r="AY12" s="18" t="s">
        <v>404</v>
      </c>
      <c r="AZ12" s="18" t="s">
        <v>4</v>
      </c>
      <c r="BA12" s="21">
        <v>0.2</v>
      </c>
      <c r="BB12" s="18" t="s">
        <v>9</v>
      </c>
      <c r="BC12" s="21">
        <v>70700</v>
      </c>
      <c r="BD12" s="19">
        <v>14140</v>
      </c>
    </row>
    <row r="13" spans="1:56" x14ac:dyDescent="0.35">
      <c r="A13" s="38" t="str">
        <v>CECM00013</v>
      </c>
      <c r="B13" s="31" t="str">
        <f t="shared" ref="B13:B76" si="4">_xlfn.XLOOKUP(A13, AX$8:AX$306, AY$8:AY$306, "", 0)</f>
        <v>DAIA 800 GR</v>
      </c>
      <c r="C13" s="31" t="str">
        <f t="shared" ref="C13:C76" si="5">_xlfn.XLOOKUP(A13, AX$8:AX$306, AZ$8:AZ$306, "", 0)</f>
        <v>CLEANING CHEMICAL</v>
      </c>
      <c r="D13" s="66" t="str">
        <f t="shared" ref="D13:D76" si="6">_xlfn.XLOOKUP(A13, AX$8:AX$306, BB$8:BB$306, "", 0)</f>
        <v>pack</v>
      </c>
      <c r="E13" s="53">
        <f t="shared" ref="E13:E76" si="7">ROUND(_xlfn.XLOOKUP(A13, AX$8:AX$306, BC$8:BC$306, "", 0),2)</f>
        <v>21000</v>
      </c>
      <c r="F13" s="48">
        <f t="shared" ref="F13:F76" si="8">_xlfn.XLOOKUP(A13, X$8:X$306, AA$8:AA$306, "0", 0)</f>
        <v>9</v>
      </c>
      <c r="G13" s="67">
        <f t="shared" ref="G13:G76" si="9">_xlfn.XLOOKUP(A13, AP$8:AP$306, AS$8:AS$306, "0", 0)</f>
        <v>8</v>
      </c>
      <c r="H13" s="67">
        <f t="shared" ref="H13:H76" si="10">G13-F13</f>
        <v>-1</v>
      </c>
      <c r="I13" s="53">
        <f t="shared" ref="I13:I76" si="11">H13*E13</f>
        <v>-21000</v>
      </c>
      <c r="J13" s="31" t="str">
        <f t="shared" ref="J13:J76" si="12">CHOOSE(SIGN(G13 - F13) + 2, "Penurunan IU", "Tidak Ada Perubahan", "Kenaikan IU")</f>
        <v>Penurunan IU</v>
      </c>
      <c r="K13" s="42"/>
      <c r="O13" s="86" t="s">
        <v>21</v>
      </c>
      <c r="P13" s="87" t="s">
        <v>11</v>
      </c>
      <c r="Q13" t="s">
        <v>640</v>
      </c>
      <c r="V13" s="4"/>
      <c r="X13" s="3" t="s">
        <v>18</v>
      </c>
      <c r="Y13" t="s">
        <v>19</v>
      </c>
      <c r="Z13" t="s">
        <v>4</v>
      </c>
      <c r="AA13" s="10">
        <v>0.7</v>
      </c>
      <c r="AB13" t="s">
        <v>20</v>
      </c>
      <c r="AC13" s="10">
        <v>151400</v>
      </c>
      <c r="AD13" s="4">
        <v>105980</v>
      </c>
      <c r="AG13" s="82" t="s">
        <v>21</v>
      </c>
      <c r="AH13" s="83" t="s">
        <v>11</v>
      </c>
      <c r="AI13" s="18" t="s">
        <v>640</v>
      </c>
      <c r="AJ13" s="18"/>
      <c r="AK13" s="18"/>
      <c r="AL13" s="18"/>
      <c r="AM13" s="18"/>
      <c r="AN13" s="19"/>
      <c r="AP13" s="20" t="s">
        <v>13</v>
      </c>
      <c r="AQ13" s="18" t="s">
        <v>14</v>
      </c>
      <c r="AR13" s="18" t="s">
        <v>4</v>
      </c>
      <c r="AS13" s="21">
        <v>0.3</v>
      </c>
      <c r="AT13" s="18" t="s">
        <v>15</v>
      </c>
      <c r="AU13" s="21">
        <v>77700</v>
      </c>
      <c r="AV13" s="19">
        <v>23310</v>
      </c>
      <c r="AX13" s="20" t="s">
        <v>13</v>
      </c>
      <c r="AY13" s="18" t="s">
        <v>14</v>
      </c>
      <c r="AZ13" s="18" t="s">
        <v>4</v>
      </c>
      <c r="BA13" s="21">
        <v>0.3</v>
      </c>
      <c r="BB13" s="18" t="s">
        <v>15</v>
      </c>
      <c r="BC13" s="21">
        <v>77700</v>
      </c>
      <c r="BD13" s="19">
        <v>23310</v>
      </c>
    </row>
    <row r="14" spans="1:56" x14ac:dyDescent="0.35">
      <c r="A14" s="38" t="str">
        <v>CECM0005</v>
      </c>
      <c r="B14" s="31" t="str">
        <f t="shared" si="4"/>
        <v>XYZ GLASS CLEANER 5 LTR</v>
      </c>
      <c r="C14" s="31" t="str">
        <f t="shared" si="5"/>
        <v>CLEANING CHEMICAL</v>
      </c>
      <c r="D14" s="66" t="str">
        <f t="shared" si="6"/>
        <v>gln</v>
      </c>
      <c r="E14" s="53">
        <f t="shared" si="7"/>
        <v>55300</v>
      </c>
      <c r="F14" s="48">
        <f t="shared" si="8"/>
        <v>0.4</v>
      </c>
      <c r="G14" s="67">
        <f t="shared" si="9"/>
        <v>0.6</v>
      </c>
      <c r="H14" s="67">
        <f t="shared" si="10"/>
        <v>0.19999999999999996</v>
      </c>
      <c r="I14" s="53">
        <f t="shared" si="11"/>
        <v>11059.999999999998</v>
      </c>
      <c r="J14" s="31" t="str">
        <f t="shared" si="12"/>
        <v>Kenaikan IU</v>
      </c>
      <c r="K14" s="42"/>
      <c r="O14" s="86" t="s">
        <v>26</v>
      </c>
      <c r="P14" s="87" t="s">
        <v>11</v>
      </c>
      <c r="Q14" t="s">
        <v>641</v>
      </c>
      <c r="V14" s="4"/>
      <c r="X14" s="3" t="s">
        <v>219</v>
      </c>
      <c r="Y14" t="s">
        <v>220</v>
      </c>
      <c r="Z14" t="s">
        <v>4</v>
      </c>
      <c r="AA14" s="10">
        <v>2.6</v>
      </c>
      <c r="AB14" t="s">
        <v>25</v>
      </c>
      <c r="AC14" s="10">
        <v>58385.157900000006</v>
      </c>
      <c r="AD14" s="4">
        <v>151801.41054000001</v>
      </c>
      <c r="AG14" s="82" t="s">
        <v>26</v>
      </c>
      <c r="AH14" s="83" t="s">
        <v>11</v>
      </c>
      <c r="AI14" s="18" t="s">
        <v>845</v>
      </c>
      <c r="AJ14" s="18"/>
      <c r="AK14" s="18"/>
      <c r="AL14" s="18"/>
      <c r="AM14" s="18"/>
      <c r="AN14" s="19"/>
      <c r="AP14" s="20" t="s">
        <v>18</v>
      </c>
      <c r="AQ14" s="18" t="s">
        <v>19</v>
      </c>
      <c r="AR14" s="18" t="s">
        <v>4</v>
      </c>
      <c r="AS14" s="21">
        <v>0.3</v>
      </c>
      <c r="AT14" s="18" t="s">
        <v>20</v>
      </c>
      <c r="AU14" s="21">
        <v>151400</v>
      </c>
      <c r="AV14" s="19">
        <v>45420</v>
      </c>
      <c r="AX14" s="20" t="s">
        <v>18</v>
      </c>
      <c r="AY14" s="18" t="s">
        <v>19</v>
      </c>
      <c r="AZ14" s="18" t="s">
        <v>4</v>
      </c>
      <c r="BA14" s="21">
        <v>0.3</v>
      </c>
      <c r="BB14" s="18" t="s">
        <v>20</v>
      </c>
      <c r="BC14" s="21">
        <v>151400</v>
      </c>
      <c r="BD14" s="19">
        <v>45420</v>
      </c>
    </row>
    <row r="15" spans="1:56" x14ac:dyDescent="0.35">
      <c r="A15" s="38" t="str">
        <v>CECM0006</v>
      </c>
      <c r="B15" s="31" t="str">
        <f t="shared" si="4"/>
        <v>XYZ GREASE CLEANER 5 LTR</v>
      </c>
      <c r="C15" s="31" t="str">
        <f t="shared" si="5"/>
        <v>CLEANING CHEMICAL</v>
      </c>
      <c r="D15" s="66" t="str">
        <f t="shared" si="6"/>
        <v>gln</v>
      </c>
      <c r="E15" s="53">
        <f t="shared" si="7"/>
        <v>133200</v>
      </c>
      <c r="F15" s="48">
        <f t="shared" si="8"/>
        <v>0.7</v>
      </c>
      <c r="G15" s="67">
        <f t="shared" si="9"/>
        <v>1.6</v>
      </c>
      <c r="H15" s="67">
        <f t="shared" si="10"/>
        <v>0.90000000000000013</v>
      </c>
      <c r="I15" s="53">
        <f t="shared" si="11"/>
        <v>119880.00000000001</v>
      </c>
      <c r="J15" s="31" t="str">
        <f t="shared" si="12"/>
        <v>Kenaikan IU</v>
      </c>
      <c r="K15" s="42"/>
      <c r="O15" s="86" t="s">
        <v>31</v>
      </c>
      <c r="P15" s="87" t="s">
        <v>11</v>
      </c>
      <c r="Q15" t="s">
        <v>32</v>
      </c>
      <c r="V15" s="4"/>
      <c r="X15" s="3" t="s">
        <v>221</v>
      </c>
      <c r="Y15" t="s">
        <v>222</v>
      </c>
      <c r="Z15" t="s">
        <v>4</v>
      </c>
      <c r="AA15" s="10">
        <v>1</v>
      </c>
      <c r="AB15" t="s">
        <v>25</v>
      </c>
      <c r="AC15" s="10">
        <v>81910.111099999995</v>
      </c>
      <c r="AD15" s="4">
        <v>81910.111099999995</v>
      </c>
      <c r="AG15" s="82" t="s">
        <v>31</v>
      </c>
      <c r="AH15" s="83" t="s">
        <v>11</v>
      </c>
      <c r="AI15" s="18" t="s">
        <v>198</v>
      </c>
      <c r="AJ15" s="18"/>
      <c r="AK15" s="18"/>
      <c r="AL15" s="18"/>
      <c r="AM15" s="18"/>
      <c r="AN15" s="19"/>
      <c r="AP15" s="20" t="s">
        <v>219</v>
      </c>
      <c r="AQ15" s="18" t="s">
        <v>220</v>
      </c>
      <c r="AR15" s="18" t="s">
        <v>4</v>
      </c>
      <c r="AS15" s="21">
        <v>4</v>
      </c>
      <c r="AT15" s="18" t="s">
        <v>25</v>
      </c>
      <c r="AU15" s="21">
        <v>58385.157900000013</v>
      </c>
      <c r="AV15" s="19">
        <v>233540.63159999999</v>
      </c>
      <c r="AX15" s="20" t="s">
        <v>219</v>
      </c>
      <c r="AY15" s="18" t="s">
        <v>220</v>
      </c>
      <c r="AZ15" s="18" t="s">
        <v>4</v>
      </c>
      <c r="BA15" s="21">
        <v>4</v>
      </c>
      <c r="BB15" s="18" t="s">
        <v>25</v>
      </c>
      <c r="BC15" s="21">
        <v>58385.157900000013</v>
      </c>
      <c r="BD15" s="19">
        <v>233540.63159999999</v>
      </c>
    </row>
    <row r="16" spans="1:56" x14ac:dyDescent="0.35">
      <c r="A16" s="38" t="str">
        <v>CECM0007</v>
      </c>
      <c r="B16" s="31" t="str">
        <f t="shared" si="4"/>
        <v>XYZ DISINFEKTAN 5 LTR</v>
      </c>
      <c r="C16" s="31" t="str">
        <f t="shared" si="5"/>
        <v>CLEANING CHEMICAL</v>
      </c>
      <c r="D16" s="66" t="str">
        <f t="shared" si="6"/>
        <v>gln</v>
      </c>
      <c r="E16" s="53">
        <f t="shared" si="7"/>
        <v>70700</v>
      </c>
      <c r="F16" s="48" t="str">
        <f t="shared" si="8"/>
        <v>0</v>
      </c>
      <c r="G16" s="67">
        <f t="shared" si="9"/>
        <v>0.2</v>
      </c>
      <c r="H16" s="67">
        <f t="shared" si="10"/>
        <v>0.2</v>
      </c>
      <c r="I16" s="53">
        <f t="shared" si="11"/>
        <v>14140</v>
      </c>
      <c r="J16" s="31" t="str">
        <f t="shared" si="12"/>
        <v>Kenaikan IU</v>
      </c>
      <c r="K16" s="42"/>
      <c r="O16" s="86" t="s">
        <v>35</v>
      </c>
      <c r="P16" s="87" t="s">
        <v>11</v>
      </c>
      <c r="Q16" t="s">
        <v>642</v>
      </c>
      <c r="V16" s="4"/>
      <c r="X16" s="3" t="s">
        <v>23</v>
      </c>
      <c r="Y16" t="s">
        <v>24</v>
      </c>
      <c r="Z16" t="s">
        <v>4</v>
      </c>
      <c r="AA16" s="10">
        <v>48</v>
      </c>
      <c r="AB16" t="s">
        <v>25</v>
      </c>
      <c r="AC16" s="10">
        <v>17760</v>
      </c>
      <c r="AD16" s="4">
        <v>852480</v>
      </c>
      <c r="AG16" s="82" t="s">
        <v>35</v>
      </c>
      <c r="AH16" s="83" t="s">
        <v>11</v>
      </c>
      <c r="AI16" s="18" t="s">
        <v>846</v>
      </c>
      <c r="AJ16" s="18"/>
      <c r="AK16" s="18"/>
      <c r="AL16" s="18"/>
      <c r="AM16" s="18"/>
      <c r="AN16" s="19"/>
      <c r="AP16" s="20" t="s">
        <v>23</v>
      </c>
      <c r="AQ16" s="18" t="s">
        <v>24</v>
      </c>
      <c r="AR16" s="18" t="s">
        <v>4</v>
      </c>
      <c r="AS16" s="21">
        <v>38</v>
      </c>
      <c r="AT16" s="18" t="s">
        <v>25</v>
      </c>
      <c r="AU16" s="21">
        <v>17760</v>
      </c>
      <c r="AV16" s="19">
        <v>674880</v>
      </c>
      <c r="AX16" s="20" t="s">
        <v>23</v>
      </c>
      <c r="AY16" s="18" t="s">
        <v>24</v>
      </c>
      <c r="AZ16" s="18" t="s">
        <v>4</v>
      </c>
      <c r="BA16" s="21">
        <v>38</v>
      </c>
      <c r="BB16" s="18" t="s">
        <v>25</v>
      </c>
      <c r="BC16" s="21">
        <v>17760</v>
      </c>
      <c r="BD16" s="19">
        <v>674880</v>
      </c>
    </row>
    <row r="17" spans="1:56" x14ac:dyDescent="0.35">
      <c r="A17" s="38" t="str">
        <v>CECM0008</v>
      </c>
      <c r="B17" s="31" t="str">
        <f t="shared" si="4"/>
        <v>XYZ ANTI BACTERIAL HANDSOAP 5 L</v>
      </c>
      <c r="C17" s="31" t="str">
        <f t="shared" si="5"/>
        <v>CLEANING CHEMICAL</v>
      </c>
      <c r="D17" s="66" t="str">
        <f t="shared" si="6"/>
        <v>jerrycan</v>
      </c>
      <c r="E17" s="53">
        <f t="shared" si="7"/>
        <v>77700</v>
      </c>
      <c r="F17" s="48">
        <f t="shared" si="8"/>
        <v>0.8</v>
      </c>
      <c r="G17" s="67">
        <f t="shared" si="9"/>
        <v>0.3</v>
      </c>
      <c r="H17" s="67">
        <f t="shared" si="10"/>
        <v>-0.5</v>
      </c>
      <c r="I17" s="53">
        <f t="shared" si="11"/>
        <v>-38850</v>
      </c>
      <c r="J17" s="31" t="str">
        <f t="shared" si="12"/>
        <v>Penurunan IU</v>
      </c>
      <c r="K17" s="42"/>
      <c r="O17" s="3"/>
      <c r="V17" s="4"/>
      <c r="X17" s="3" t="s">
        <v>28</v>
      </c>
      <c r="Y17" t="s">
        <v>29</v>
      </c>
      <c r="Z17" t="s">
        <v>4</v>
      </c>
      <c r="AA17" s="10">
        <v>19</v>
      </c>
      <c r="AB17" t="s">
        <v>30</v>
      </c>
      <c r="AC17" s="10">
        <v>19760</v>
      </c>
      <c r="AD17" s="4">
        <v>375440</v>
      </c>
      <c r="AG17" s="20"/>
      <c r="AH17" s="18"/>
      <c r="AI17" s="18"/>
      <c r="AJ17" s="18"/>
      <c r="AK17" s="18"/>
      <c r="AL17" s="18"/>
      <c r="AM17" s="18"/>
      <c r="AN17" s="19"/>
      <c r="AP17" s="20" t="s">
        <v>28</v>
      </c>
      <c r="AQ17" s="18" t="s">
        <v>29</v>
      </c>
      <c r="AR17" s="18" t="s">
        <v>4</v>
      </c>
      <c r="AS17" s="21">
        <v>26</v>
      </c>
      <c r="AT17" s="18" t="s">
        <v>30</v>
      </c>
      <c r="AU17" s="21">
        <v>19760</v>
      </c>
      <c r="AV17" s="19">
        <v>513760</v>
      </c>
      <c r="AX17" s="20" t="s">
        <v>28</v>
      </c>
      <c r="AY17" s="18" t="s">
        <v>29</v>
      </c>
      <c r="AZ17" s="18" t="s">
        <v>4</v>
      </c>
      <c r="BA17" s="21">
        <v>26</v>
      </c>
      <c r="BB17" s="18" t="s">
        <v>30</v>
      </c>
      <c r="BC17" s="21">
        <v>19760</v>
      </c>
      <c r="BD17" s="19">
        <v>513760</v>
      </c>
    </row>
    <row r="18" spans="1:56" x14ac:dyDescent="0.35">
      <c r="A18" s="38" t="str">
        <v>CECM0009</v>
      </c>
      <c r="B18" s="31" t="str">
        <f t="shared" si="4"/>
        <v>HAND SANITIZER 5 L</v>
      </c>
      <c r="C18" s="31" t="str">
        <f t="shared" si="5"/>
        <v>CLEANING CHEMICAL</v>
      </c>
      <c r="D18" s="66" t="str">
        <f t="shared" si="6"/>
        <v>pcs</v>
      </c>
      <c r="E18" s="53">
        <f t="shared" si="7"/>
        <v>151400</v>
      </c>
      <c r="F18" s="48">
        <f t="shared" si="8"/>
        <v>0.7</v>
      </c>
      <c r="G18" s="67">
        <f t="shared" si="9"/>
        <v>0.3</v>
      </c>
      <c r="H18" s="67">
        <f t="shared" si="10"/>
        <v>-0.39999999999999997</v>
      </c>
      <c r="I18" s="53">
        <f t="shared" si="11"/>
        <v>-60559.999999999993</v>
      </c>
      <c r="J18" s="31" t="str">
        <f t="shared" si="12"/>
        <v>Penurunan IU</v>
      </c>
      <c r="K18" s="42"/>
      <c r="O18" s="3" t="s">
        <v>42</v>
      </c>
      <c r="P18" t="s">
        <v>43</v>
      </c>
      <c r="Q18" t="s">
        <v>44</v>
      </c>
      <c r="R18" t="s">
        <v>45</v>
      </c>
      <c r="S18" t="s">
        <v>46</v>
      </c>
      <c r="T18" t="s">
        <v>47</v>
      </c>
      <c r="U18" t="s">
        <v>48</v>
      </c>
      <c r="V18" s="4" t="s">
        <v>49</v>
      </c>
      <c r="X18" s="3" t="s">
        <v>33</v>
      </c>
      <c r="Y18" t="s">
        <v>34</v>
      </c>
      <c r="Z18" t="s">
        <v>4</v>
      </c>
      <c r="AA18" s="10">
        <v>20</v>
      </c>
      <c r="AB18" t="s">
        <v>30</v>
      </c>
      <c r="AC18" s="10">
        <v>13000</v>
      </c>
      <c r="AD18" s="4">
        <v>260000</v>
      </c>
      <c r="AG18" s="20" t="s">
        <v>42</v>
      </c>
      <c r="AH18" s="18" t="s">
        <v>43</v>
      </c>
      <c r="AI18" s="18" t="s">
        <v>44</v>
      </c>
      <c r="AJ18" s="18" t="s">
        <v>45</v>
      </c>
      <c r="AK18" s="18" t="s">
        <v>46</v>
      </c>
      <c r="AL18" s="18" t="s">
        <v>47</v>
      </c>
      <c r="AM18" s="18" t="s">
        <v>48</v>
      </c>
      <c r="AN18" s="19" t="s">
        <v>49</v>
      </c>
      <c r="AP18" s="20" t="s">
        <v>33</v>
      </c>
      <c r="AQ18" s="18" t="s">
        <v>34</v>
      </c>
      <c r="AR18" s="18" t="s">
        <v>4</v>
      </c>
      <c r="AS18" s="21">
        <v>20</v>
      </c>
      <c r="AT18" s="18" t="s">
        <v>30</v>
      </c>
      <c r="AU18" s="21">
        <v>13000</v>
      </c>
      <c r="AV18" s="19">
        <v>260000</v>
      </c>
      <c r="AX18" s="20" t="s">
        <v>33</v>
      </c>
      <c r="AY18" s="18" t="s">
        <v>34</v>
      </c>
      <c r="AZ18" s="18" t="s">
        <v>4</v>
      </c>
      <c r="BA18" s="21">
        <v>20</v>
      </c>
      <c r="BB18" s="18" t="s">
        <v>30</v>
      </c>
      <c r="BC18" s="21">
        <v>13000</v>
      </c>
      <c r="BD18" s="19">
        <v>260000</v>
      </c>
    </row>
    <row r="19" spans="1:56" x14ac:dyDescent="0.35">
      <c r="A19" s="38" t="str">
        <v>CECM0010</v>
      </c>
      <c r="B19" s="31" t="str">
        <f t="shared" si="4"/>
        <v>SUMA CRYSTAL 5 L</v>
      </c>
      <c r="C19" s="31" t="str">
        <f t="shared" si="5"/>
        <v>CLEANING CHEMICAL</v>
      </c>
      <c r="D19" s="66" t="str">
        <f t="shared" si="6"/>
        <v>ltr</v>
      </c>
      <c r="E19" s="53">
        <f t="shared" si="7"/>
        <v>58385.16</v>
      </c>
      <c r="F19" s="48">
        <f t="shared" si="8"/>
        <v>2.6</v>
      </c>
      <c r="G19" s="67">
        <f t="shared" si="9"/>
        <v>4</v>
      </c>
      <c r="H19" s="67">
        <f t="shared" si="10"/>
        <v>1.4</v>
      </c>
      <c r="I19" s="53">
        <f t="shared" si="11"/>
        <v>81739.224000000002</v>
      </c>
      <c r="J19" s="31" t="str">
        <f t="shared" si="12"/>
        <v>Kenaikan IU</v>
      </c>
      <c r="K19" s="42"/>
      <c r="O19" s="3">
        <v>1</v>
      </c>
      <c r="P19" t="s">
        <v>214</v>
      </c>
      <c r="Q19" t="s">
        <v>215</v>
      </c>
      <c r="R19" t="s">
        <v>4</v>
      </c>
      <c r="S19" s="10">
        <v>2.2000000000000002</v>
      </c>
      <c r="T19" t="s">
        <v>216</v>
      </c>
      <c r="U19" s="10">
        <v>55299.999999999993</v>
      </c>
      <c r="V19" s="4">
        <v>121660</v>
      </c>
      <c r="X19" s="3" t="s">
        <v>50</v>
      </c>
      <c r="Y19" t="s">
        <v>51</v>
      </c>
      <c r="Z19" t="s">
        <v>41</v>
      </c>
      <c r="AA19" s="10">
        <v>39</v>
      </c>
      <c r="AB19" t="s">
        <v>52</v>
      </c>
      <c r="AC19" s="10">
        <v>20500</v>
      </c>
      <c r="AD19" s="4">
        <v>799500</v>
      </c>
      <c r="AG19" s="20">
        <v>1</v>
      </c>
      <c r="AH19" s="18" t="s">
        <v>166</v>
      </c>
      <c r="AI19" s="18" t="s">
        <v>167</v>
      </c>
      <c r="AJ19" s="18" t="s">
        <v>165</v>
      </c>
      <c r="AK19" s="21">
        <v>2</v>
      </c>
      <c r="AL19" s="18" t="s">
        <v>20</v>
      </c>
      <c r="AM19" s="21">
        <v>25700.68</v>
      </c>
      <c r="AN19" s="19">
        <v>51401.36</v>
      </c>
      <c r="AP19" s="20" t="s">
        <v>50</v>
      </c>
      <c r="AQ19" s="18" t="s">
        <v>51</v>
      </c>
      <c r="AR19" s="18" t="s">
        <v>41</v>
      </c>
      <c r="AS19" s="21">
        <v>22</v>
      </c>
      <c r="AT19" s="18" t="s">
        <v>52</v>
      </c>
      <c r="AU19" s="21">
        <v>20500</v>
      </c>
      <c r="AV19" s="19">
        <v>451000</v>
      </c>
      <c r="AX19" s="20" t="s">
        <v>50</v>
      </c>
      <c r="AY19" s="18" t="s">
        <v>51</v>
      </c>
      <c r="AZ19" s="18" t="s">
        <v>41</v>
      </c>
      <c r="BA19" s="21">
        <v>22</v>
      </c>
      <c r="BB19" s="18" t="s">
        <v>52</v>
      </c>
      <c r="BC19" s="21">
        <v>20500</v>
      </c>
      <c r="BD19" s="19">
        <v>451000</v>
      </c>
    </row>
    <row r="20" spans="1:56" x14ac:dyDescent="0.35">
      <c r="A20" s="38" t="str">
        <v>CECM0012</v>
      </c>
      <c r="B20" s="31" t="str">
        <f t="shared" si="4"/>
        <v>NOBLA LIQUID 20 L</v>
      </c>
      <c r="C20" s="31" t="str">
        <f t="shared" si="5"/>
        <v>CLEANING CHEMICAL</v>
      </c>
      <c r="D20" s="66" t="str">
        <f t="shared" si="6"/>
        <v>ltr</v>
      </c>
      <c r="E20" s="53">
        <f t="shared" si="7"/>
        <v>17760</v>
      </c>
      <c r="F20" s="48">
        <f t="shared" si="8"/>
        <v>48</v>
      </c>
      <c r="G20" s="67">
        <f t="shared" si="9"/>
        <v>38</v>
      </c>
      <c r="H20" s="67">
        <f t="shared" si="10"/>
        <v>-10</v>
      </c>
      <c r="I20" s="53">
        <f t="shared" si="11"/>
        <v>-177600</v>
      </c>
      <c r="J20" s="31" t="str">
        <f t="shared" si="12"/>
        <v>Penurunan IU</v>
      </c>
      <c r="K20" s="42"/>
      <c r="O20" s="3">
        <v>2</v>
      </c>
      <c r="P20" t="s">
        <v>2</v>
      </c>
      <c r="Q20" t="s">
        <v>3</v>
      </c>
      <c r="R20" t="s">
        <v>4</v>
      </c>
      <c r="S20" s="10">
        <v>9</v>
      </c>
      <c r="T20" t="s">
        <v>5</v>
      </c>
      <c r="U20" s="10">
        <v>21000</v>
      </c>
      <c r="V20" s="4">
        <v>189000</v>
      </c>
      <c r="X20" s="3" t="s">
        <v>53</v>
      </c>
      <c r="Y20" t="s">
        <v>54</v>
      </c>
      <c r="Z20" t="s">
        <v>41</v>
      </c>
      <c r="AA20" s="10">
        <v>16</v>
      </c>
      <c r="AB20" t="s">
        <v>20</v>
      </c>
      <c r="AC20" s="10">
        <v>3221.9837000000002</v>
      </c>
      <c r="AD20" s="4">
        <v>51551.739200000004</v>
      </c>
      <c r="AG20" s="20">
        <v>2</v>
      </c>
      <c r="AH20" s="18" t="s">
        <v>168</v>
      </c>
      <c r="AI20" s="18" t="s">
        <v>169</v>
      </c>
      <c r="AJ20" s="18" t="s">
        <v>165</v>
      </c>
      <c r="AK20" s="21">
        <v>8</v>
      </c>
      <c r="AL20" s="18" t="s">
        <v>20</v>
      </c>
      <c r="AM20" s="21">
        <v>36156</v>
      </c>
      <c r="AN20" s="19">
        <v>289248</v>
      </c>
      <c r="AP20" s="20" t="s">
        <v>308</v>
      </c>
      <c r="AQ20" s="18" t="s">
        <v>309</v>
      </c>
      <c r="AR20" s="18" t="s">
        <v>41</v>
      </c>
      <c r="AS20" s="21">
        <v>9</v>
      </c>
      <c r="AT20" s="18" t="s">
        <v>20</v>
      </c>
      <c r="AU20" s="21">
        <v>7114.7187999999996</v>
      </c>
      <c r="AV20" s="19">
        <v>64032.4692</v>
      </c>
      <c r="AX20" s="20" t="s">
        <v>308</v>
      </c>
      <c r="AY20" s="18" t="s">
        <v>309</v>
      </c>
      <c r="AZ20" s="18" t="s">
        <v>41</v>
      </c>
      <c r="BA20" s="21">
        <v>9</v>
      </c>
      <c r="BB20" s="18" t="s">
        <v>20</v>
      </c>
      <c r="BC20" s="21">
        <v>7114.7187999999996</v>
      </c>
      <c r="BD20" s="19">
        <v>64032.4692</v>
      </c>
    </row>
    <row r="21" spans="1:56" x14ac:dyDescent="0.35">
      <c r="A21" s="38" t="str">
        <v>CECM0014</v>
      </c>
      <c r="B21" s="31" t="str">
        <f t="shared" si="4"/>
        <v>XYZ KARBOL LEMONGRASS 5 L</v>
      </c>
      <c r="C21" s="31" t="str">
        <f t="shared" si="5"/>
        <v>CLEANING CHEMICAL</v>
      </c>
      <c r="D21" s="66" t="str">
        <f t="shared" si="6"/>
        <v>liter</v>
      </c>
      <c r="E21" s="53">
        <f t="shared" si="7"/>
        <v>19760</v>
      </c>
      <c r="F21" s="48">
        <f t="shared" si="8"/>
        <v>19</v>
      </c>
      <c r="G21" s="67">
        <f t="shared" si="9"/>
        <v>26</v>
      </c>
      <c r="H21" s="67">
        <f t="shared" si="10"/>
        <v>7</v>
      </c>
      <c r="I21" s="53">
        <f t="shared" si="11"/>
        <v>138320</v>
      </c>
      <c r="J21" s="31" t="str">
        <f t="shared" si="12"/>
        <v>Kenaikan IU</v>
      </c>
      <c r="K21" s="42"/>
      <c r="O21" s="3">
        <v>3</v>
      </c>
      <c r="P21" t="s">
        <v>217</v>
      </c>
      <c r="Q21" t="s">
        <v>218</v>
      </c>
      <c r="R21" t="s">
        <v>4</v>
      </c>
      <c r="S21" s="10">
        <v>0.4</v>
      </c>
      <c r="T21" t="s">
        <v>9</v>
      </c>
      <c r="U21" s="10">
        <v>55300</v>
      </c>
      <c r="V21" s="4">
        <v>22120</v>
      </c>
      <c r="X21" s="3" t="s">
        <v>453</v>
      </c>
      <c r="Y21" t="s">
        <v>454</v>
      </c>
      <c r="Z21" t="s">
        <v>41</v>
      </c>
      <c r="AA21" s="10">
        <v>1</v>
      </c>
      <c r="AB21" t="s">
        <v>267</v>
      </c>
      <c r="AC21" s="10">
        <v>17539.232352941173</v>
      </c>
      <c r="AD21" s="4">
        <v>17539.232352999999</v>
      </c>
      <c r="AG21" s="20">
        <v>3</v>
      </c>
      <c r="AH21" s="18" t="s">
        <v>286</v>
      </c>
      <c r="AI21" s="18" t="s">
        <v>287</v>
      </c>
      <c r="AJ21" s="18" t="s">
        <v>165</v>
      </c>
      <c r="AK21" s="21">
        <v>1</v>
      </c>
      <c r="AL21" s="18" t="s">
        <v>20</v>
      </c>
      <c r="AM21" s="21">
        <v>43200</v>
      </c>
      <c r="AN21" s="19">
        <v>43200</v>
      </c>
      <c r="AP21" s="20" t="s">
        <v>53</v>
      </c>
      <c r="AQ21" s="18" t="s">
        <v>54</v>
      </c>
      <c r="AR21" s="18" t="s">
        <v>41</v>
      </c>
      <c r="AS21" s="21">
        <v>8</v>
      </c>
      <c r="AT21" s="18" t="s">
        <v>20</v>
      </c>
      <c r="AU21" s="21">
        <v>3221.9837000000002</v>
      </c>
      <c r="AV21" s="19">
        <v>25775.869600000002</v>
      </c>
      <c r="AX21" s="20" t="s">
        <v>53</v>
      </c>
      <c r="AY21" s="18" t="s">
        <v>54</v>
      </c>
      <c r="AZ21" s="18" t="s">
        <v>41</v>
      </c>
      <c r="BA21" s="21">
        <v>8</v>
      </c>
      <c r="BB21" s="18" t="s">
        <v>20</v>
      </c>
      <c r="BC21" s="21">
        <v>3221.9837000000002</v>
      </c>
      <c r="BD21" s="19">
        <v>25775.869600000002</v>
      </c>
    </row>
    <row r="22" spans="1:56" x14ac:dyDescent="0.35">
      <c r="A22" s="38" t="str">
        <v>CECM0018</v>
      </c>
      <c r="B22" s="31" t="str">
        <f t="shared" si="4"/>
        <v>XYZ GENERAL CLEANER  (CUCI PIRING LIME)</v>
      </c>
      <c r="C22" s="31" t="str">
        <f t="shared" si="5"/>
        <v>CLEANING CHEMICAL</v>
      </c>
      <c r="D22" s="66" t="str">
        <f t="shared" si="6"/>
        <v>liter</v>
      </c>
      <c r="E22" s="53">
        <f t="shared" si="7"/>
        <v>13000</v>
      </c>
      <c r="F22" s="48">
        <f t="shared" si="8"/>
        <v>20</v>
      </c>
      <c r="G22" s="67">
        <f t="shared" si="9"/>
        <v>20</v>
      </c>
      <c r="H22" s="67">
        <f t="shared" si="10"/>
        <v>0</v>
      </c>
      <c r="I22" s="53">
        <f t="shared" si="11"/>
        <v>0</v>
      </c>
      <c r="J22" s="31" t="str">
        <f t="shared" si="12"/>
        <v>Tidak Ada Perubahan</v>
      </c>
      <c r="K22" s="42"/>
      <c r="O22" s="3">
        <v>4</v>
      </c>
      <c r="P22" t="s">
        <v>7</v>
      </c>
      <c r="Q22" t="s">
        <v>8</v>
      </c>
      <c r="R22" t="s">
        <v>4</v>
      </c>
      <c r="S22" s="10">
        <v>0.7</v>
      </c>
      <c r="T22" t="s">
        <v>9</v>
      </c>
      <c r="U22" s="10">
        <v>133200</v>
      </c>
      <c r="V22" s="4">
        <v>93240</v>
      </c>
      <c r="X22" s="3" t="s">
        <v>643</v>
      </c>
      <c r="Y22" t="s">
        <v>644</v>
      </c>
      <c r="Z22" t="s">
        <v>41</v>
      </c>
      <c r="AA22" s="10">
        <v>1</v>
      </c>
      <c r="AB22" t="s">
        <v>20</v>
      </c>
      <c r="AC22" s="10">
        <v>7500</v>
      </c>
      <c r="AD22" s="4">
        <v>7500</v>
      </c>
      <c r="AG22" s="20">
        <v>4</v>
      </c>
      <c r="AH22" s="18" t="s">
        <v>847</v>
      </c>
      <c r="AI22" s="18" t="s">
        <v>848</v>
      </c>
      <c r="AJ22" s="18" t="s">
        <v>165</v>
      </c>
      <c r="AK22" s="21">
        <v>1</v>
      </c>
      <c r="AL22" s="18" t="s">
        <v>20</v>
      </c>
      <c r="AM22" s="21">
        <v>9300</v>
      </c>
      <c r="AN22" s="19">
        <v>9300</v>
      </c>
      <c r="AP22" s="20" t="s">
        <v>453</v>
      </c>
      <c r="AQ22" s="18" t="s">
        <v>454</v>
      </c>
      <c r="AR22" s="18" t="s">
        <v>41</v>
      </c>
      <c r="AS22" s="21">
        <v>2</v>
      </c>
      <c r="AT22" s="18" t="s">
        <v>267</v>
      </c>
      <c r="AU22" s="21">
        <v>17539.232352941173</v>
      </c>
      <c r="AV22" s="19">
        <v>35078.464705999999</v>
      </c>
      <c r="AX22" s="20" t="s">
        <v>453</v>
      </c>
      <c r="AY22" s="18" t="s">
        <v>454</v>
      </c>
      <c r="AZ22" s="18" t="s">
        <v>41</v>
      </c>
      <c r="BA22" s="21">
        <v>2</v>
      </c>
      <c r="BB22" s="18" t="s">
        <v>267</v>
      </c>
      <c r="BC22" s="21">
        <v>17539.232352941173</v>
      </c>
      <c r="BD22" s="19">
        <v>35078.464705999999</v>
      </c>
    </row>
    <row r="23" spans="1:56" x14ac:dyDescent="0.35">
      <c r="A23" s="38" t="str">
        <v>CETS00028</v>
      </c>
      <c r="B23" s="31" t="str">
        <f t="shared" si="4"/>
        <v>GLUE PAD</v>
      </c>
      <c r="C23" s="31" t="str">
        <f t="shared" si="5"/>
        <v>CLEANING TOOLS AND SUPPLIES</v>
      </c>
      <c r="D23" s="66" t="str">
        <f t="shared" si="6"/>
        <v>lembar</v>
      </c>
      <c r="E23" s="53">
        <f t="shared" si="7"/>
        <v>20500</v>
      </c>
      <c r="F23" s="48">
        <f t="shared" si="8"/>
        <v>39</v>
      </c>
      <c r="G23" s="67">
        <f t="shared" si="9"/>
        <v>22</v>
      </c>
      <c r="H23" s="67">
        <f t="shared" si="10"/>
        <v>-17</v>
      </c>
      <c r="I23" s="53">
        <f t="shared" si="11"/>
        <v>-348500</v>
      </c>
      <c r="J23" s="31" t="str">
        <f t="shared" si="12"/>
        <v>Penurunan IU</v>
      </c>
      <c r="K23" s="42"/>
      <c r="O23" s="3">
        <v>5</v>
      </c>
      <c r="P23" t="s">
        <v>13</v>
      </c>
      <c r="Q23" t="s">
        <v>14</v>
      </c>
      <c r="R23" t="s">
        <v>4</v>
      </c>
      <c r="S23" s="10">
        <v>0.8</v>
      </c>
      <c r="T23" t="s">
        <v>15</v>
      </c>
      <c r="U23" s="10">
        <v>77700</v>
      </c>
      <c r="V23" s="4">
        <v>62160</v>
      </c>
      <c r="X23" s="3" t="s">
        <v>310</v>
      </c>
      <c r="Y23" t="s">
        <v>311</v>
      </c>
      <c r="Z23" t="s">
        <v>41</v>
      </c>
      <c r="AA23" s="10">
        <v>2</v>
      </c>
      <c r="AB23" t="s">
        <v>20</v>
      </c>
      <c r="AC23" s="10">
        <v>7500</v>
      </c>
      <c r="AD23" s="4">
        <v>15000</v>
      </c>
      <c r="AG23" s="20">
        <v>5</v>
      </c>
      <c r="AH23" s="18" t="s">
        <v>536</v>
      </c>
      <c r="AI23" s="18" t="s">
        <v>537</v>
      </c>
      <c r="AJ23" s="18" t="s">
        <v>165</v>
      </c>
      <c r="AK23" s="21">
        <v>2</v>
      </c>
      <c r="AL23" s="18" t="s">
        <v>20</v>
      </c>
      <c r="AM23" s="21">
        <v>62500</v>
      </c>
      <c r="AN23" s="19">
        <v>125000</v>
      </c>
      <c r="AP23" s="20" t="s">
        <v>801</v>
      </c>
      <c r="AQ23" s="18" t="s">
        <v>802</v>
      </c>
      <c r="AR23" s="18" t="s">
        <v>41</v>
      </c>
      <c r="AS23" s="21">
        <v>1</v>
      </c>
      <c r="AT23" s="18" t="s">
        <v>20</v>
      </c>
      <c r="AU23" s="21">
        <v>7500</v>
      </c>
      <c r="AV23" s="19">
        <v>7500</v>
      </c>
      <c r="AX23" s="20" t="s">
        <v>801</v>
      </c>
      <c r="AY23" s="18" t="s">
        <v>802</v>
      </c>
      <c r="AZ23" s="18" t="s">
        <v>41</v>
      </c>
      <c r="BA23" s="21">
        <v>1</v>
      </c>
      <c r="BB23" s="18" t="s">
        <v>20</v>
      </c>
      <c r="BC23" s="21">
        <v>7500</v>
      </c>
      <c r="BD23" s="19">
        <v>7500</v>
      </c>
    </row>
    <row r="24" spans="1:56" x14ac:dyDescent="0.35">
      <c r="A24" s="38" t="str">
        <v>CETS0005</v>
      </c>
      <c r="B24" s="31" t="str">
        <f t="shared" si="4"/>
        <v>TOWEL ANJOLY HIJAU -KECIL</v>
      </c>
      <c r="C24" s="31" t="str">
        <f t="shared" si="5"/>
        <v>CLEANING TOOLS AND SUPPLIES</v>
      </c>
      <c r="D24" s="66" t="str">
        <f t="shared" si="6"/>
        <v>pcs</v>
      </c>
      <c r="E24" s="53">
        <f t="shared" si="7"/>
        <v>7114.72</v>
      </c>
      <c r="F24" s="48" t="str">
        <f t="shared" si="8"/>
        <v>0</v>
      </c>
      <c r="G24" s="67">
        <f t="shared" si="9"/>
        <v>9</v>
      </c>
      <c r="H24" s="67">
        <f t="shared" si="10"/>
        <v>9</v>
      </c>
      <c r="I24" s="53">
        <f t="shared" si="11"/>
        <v>64032.480000000003</v>
      </c>
      <c r="J24" s="31" t="str">
        <f t="shared" si="12"/>
        <v>Kenaikan IU</v>
      </c>
      <c r="K24" s="42"/>
      <c r="O24" s="3">
        <v>6</v>
      </c>
      <c r="P24" t="s">
        <v>18</v>
      </c>
      <c r="Q24" t="s">
        <v>19</v>
      </c>
      <c r="R24" t="s">
        <v>4</v>
      </c>
      <c r="S24" s="10">
        <v>0.7</v>
      </c>
      <c r="T24" t="s">
        <v>20</v>
      </c>
      <c r="U24" s="10">
        <v>151400</v>
      </c>
      <c r="V24" s="4">
        <v>105980</v>
      </c>
      <c r="X24" s="3" t="s">
        <v>57</v>
      </c>
      <c r="Y24" t="s">
        <v>58</v>
      </c>
      <c r="Z24" t="s">
        <v>41</v>
      </c>
      <c r="AA24" s="10">
        <v>8</v>
      </c>
      <c r="AB24" t="s">
        <v>5</v>
      </c>
      <c r="AC24" s="10">
        <v>7698.2756000000018</v>
      </c>
      <c r="AD24" s="4">
        <v>61586.2048</v>
      </c>
      <c r="AG24" s="20">
        <v>6</v>
      </c>
      <c r="AH24" s="18" t="s">
        <v>296</v>
      </c>
      <c r="AI24" s="18" t="s">
        <v>297</v>
      </c>
      <c r="AJ24" s="18" t="s">
        <v>165</v>
      </c>
      <c r="AK24" s="21">
        <v>7</v>
      </c>
      <c r="AL24" s="18" t="s">
        <v>20</v>
      </c>
      <c r="AM24" s="21">
        <v>18846.9208</v>
      </c>
      <c r="AN24" s="19">
        <v>131928.44560000001</v>
      </c>
      <c r="AP24" s="20" t="s">
        <v>310</v>
      </c>
      <c r="AQ24" s="18" t="s">
        <v>311</v>
      </c>
      <c r="AR24" s="18" t="s">
        <v>41</v>
      </c>
      <c r="AS24" s="21">
        <v>1</v>
      </c>
      <c r="AT24" s="18" t="s">
        <v>20</v>
      </c>
      <c r="AU24" s="21">
        <v>8315.0625</v>
      </c>
      <c r="AV24" s="19">
        <v>8315.0625</v>
      </c>
      <c r="AX24" s="20" t="s">
        <v>310</v>
      </c>
      <c r="AY24" s="18" t="s">
        <v>311</v>
      </c>
      <c r="AZ24" s="18" t="s">
        <v>41</v>
      </c>
      <c r="BA24" s="21">
        <v>1</v>
      </c>
      <c r="BB24" s="18" t="s">
        <v>20</v>
      </c>
      <c r="BC24" s="21">
        <v>8315.0625</v>
      </c>
      <c r="BD24" s="19">
        <v>8315.0625</v>
      </c>
    </row>
    <row r="25" spans="1:56" x14ac:dyDescent="0.35">
      <c r="A25" s="38" t="str">
        <v>CETS0006</v>
      </c>
      <c r="B25" s="31" t="str">
        <f t="shared" si="4"/>
        <v>SPONGE BUSA</v>
      </c>
      <c r="C25" s="31" t="str">
        <f t="shared" si="5"/>
        <v>CLEANING TOOLS AND SUPPLIES</v>
      </c>
      <c r="D25" s="66" t="str">
        <f t="shared" si="6"/>
        <v>pcs</v>
      </c>
      <c r="E25" s="53">
        <f t="shared" si="7"/>
        <v>3221.98</v>
      </c>
      <c r="F25" s="48">
        <f t="shared" si="8"/>
        <v>16</v>
      </c>
      <c r="G25" s="67">
        <f t="shared" si="9"/>
        <v>8</v>
      </c>
      <c r="H25" s="67">
        <f t="shared" si="10"/>
        <v>-8</v>
      </c>
      <c r="I25" s="53">
        <f t="shared" si="11"/>
        <v>-25775.84</v>
      </c>
      <c r="J25" s="31" t="str">
        <f t="shared" si="12"/>
        <v>Penurunan IU</v>
      </c>
      <c r="K25" s="42"/>
      <c r="O25" s="3">
        <v>7</v>
      </c>
      <c r="P25" t="s">
        <v>219</v>
      </c>
      <c r="Q25" t="s">
        <v>220</v>
      </c>
      <c r="R25" t="s">
        <v>4</v>
      </c>
      <c r="S25" s="10">
        <v>2.6</v>
      </c>
      <c r="T25" t="s">
        <v>25</v>
      </c>
      <c r="U25" s="10">
        <v>58385.157900000006</v>
      </c>
      <c r="V25" s="4">
        <v>151801.41054000001</v>
      </c>
      <c r="X25" s="3" t="s">
        <v>59</v>
      </c>
      <c r="Y25" t="s">
        <v>60</v>
      </c>
      <c r="Z25" t="s">
        <v>41</v>
      </c>
      <c r="AA25" s="10">
        <v>20</v>
      </c>
      <c r="AB25" t="s">
        <v>5</v>
      </c>
      <c r="AC25" s="10">
        <v>7699.7496999999994</v>
      </c>
      <c r="AD25" s="4">
        <v>153994.99400000001</v>
      </c>
      <c r="AG25" s="20">
        <v>7</v>
      </c>
      <c r="AH25" s="18" t="s">
        <v>547</v>
      </c>
      <c r="AI25" s="18" t="s">
        <v>548</v>
      </c>
      <c r="AJ25" s="18" t="s">
        <v>165</v>
      </c>
      <c r="AK25" s="21">
        <v>1</v>
      </c>
      <c r="AL25" s="18" t="s">
        <v>20</v>
      </c>
      <c r="AM25" s="21">
        <v>36830.14</v>
      </c>
      <c r="AN25" s="19">
        <v>36830.14</v>
      </c>
      <c r="AP25" s="20" t="s">
        <v>57</v>
      </c>
      <c r="AQ25" s="18" t="s">
        <v>58</v>
      </c>
      <c r="AR25" s="18" t="s">
        <v>41</v>
      </c>
      <c r="AS25" s="21">
        <v>3</v>
      </c>
      <c r="AT25" s="18" t="s">
        <v>5</v>
      </c>
      <c r="AU25" s="21">
        <v>7698.2756000000018</v>
      </c>
      <c r="AV25" s="19">
        <v>23094.826799999999</v>
      </c>
      <c r="AX25" s="20" t="s">
        <v>57</v>
      </c>
      <c r="AY25" s="18" t="s">
        <v>58</v>
      </c>
      <c r="AZ25" s="18" t="s">
        <v>41</v>
      </c>
      <c r="BA25" s="21">
        <v>3</v>
      </c>
      <c r="BB25" s="18" t="s">
        <v>5</v>
      </c>
      <c r="BC25" s="21">
        <v>7698.2756000000018</v>
      </c>
      <c r="BD25" s="19">
        <v>23094.826799999999</v>
      </c>
    </row>
    <row r="26" spans="1:56" x14ac:dyDescent="0.35">
      <c r="A26" s="38" t="str">
        <v>CETS0009</v>
      </c>
      <c r="B26" s="31" t="str">
        <f t="shared" si="4"/>
        <v>REFIL KAIN PEL/REFIL MOP PEL OBOR</v>
      </c>
      <c r="C26" s="31" t="str">
        <f t="shared" si="5"/>
        <v>CLEANING TOOLS AND SUPPLIES</v>
      </c>
      <c r="D26" s="66" t="str">
        <f t="shared" si="6"/>
        <v>unit</v>
      </c>
      <c r="E26" s="53">
        <f t="shared" si="7"/>
        <v>17539.23</v>
      </c>
      <c r="F26" s="48">
        <f t="shared" si="8"/>
        <v>1</v>
      </c>
      <c r="G26" s="67">
        <f t="shared" si="9"/>
        <v>2</v>
      </c>
      <c r="H26" s="67">
        <f t="shared" si="10"/>
        <v>1</v>
      </c>
      <c r="I26" s="53">
        <f t="shared" si="11"/>
        <v>17539.23</v>
      </c>
      <c r="J26" s="31" t="str">
        <f t="shared" si="12"/>
        <v>Kenaikan IU</v>
      </c>
      <c r="K26" s="42"/>
      <c r="O26" s="3">
        <v>8</v>
      </c>
      <c r="P26" t="s">
        <v>221</v>
      </c>
      <c r="Q26" t="s">
        <v>222</v>
      </c>
      <c r="R26" t="s">
        <v>4</v>
      </c>
      <c r="S26" s="10">
        <v>1</v>
      </c>
      <c r="T26" t="s">
        <v>25</v>
      </c>
      <c r="U26" s="10">
        <v>81910.111099999995</v>
      </c>
      <c r="V26" s="4">
        <v>81910.111099999995</v>
      </c>
      <c r="X26" s="3" t="s">
        <v>61</v>
      </c>
      <c r="Y26" t="s">
        <v>62</v>
      </c>
      <c r="Z26" t="s">
        <v>41</v>
      </c>
      <c r="AA26" s="10">
        <v>5</v>
      </c>
      <c r="AB26" t="s">
        <v>5</v>
      </c>
      <c r="AC26" s="10">
        <v>16684.142100000001</v>
      </c>
      <c r="AD26" s="4">
        <v>83420.710500000001</v>
      </c>
      <c r="AG26" s="20">
        <v>8</v>
      </c>
      <c r="AH26" s="18" t="s">
        <v>184</v>
      </c>
      <c r="AI26" s="18" t="s">
        <v>185</v>
      </c>
      <c r="AJ26" s="18" t="s">
        <v>182</v>
      </c>
      <c r="AK26" s="21">
        <v>20</v>
      </c>
      <c r="AL26" s="18" t="s">
        <v>20</v>
      </c>
      <c r="AM26" s="21">
        <v>1950</v>
      </c>
      <c r="AN26" s="19">
        <v>39000</v>
      </c>
      <c r="AP26" s="20" t="s">
        <v>59</v>
      </c>
      <c r="AQ26" s="18" t="s">
        <v>60</v>
      </c>
      <c r="AR26" s="18" t="s">
        <v>41</v>
      </c>
      <c r="AS26" s="21">
        <v>21</v>
      </c>
      <c r="AT26" s="18" t="s">
        <v>5</v>
      </c>
      <c r="AU26" s="21">
        <v>7699.7855</v>
      </c>
      <c r="AV26" s="19">
        <v>161695.49549999999</v>
      </c>
      <c r="AX26" s="20" t="s">
        <v>59</v>
      </c>
      <c r="AY26" s="18" t="s">
        <v>60</v>
      </c>
      <c r="AZ26" s="18" t="s">
        <v>41</v>
      </c>
      <c r="BA26" s="21">
        <v>21</v>
      </c>
      <c r="BB26" s="18" t="s">
        <v>5</v>
      </c>
      <c r="BC26" s="21">
        <v>7699.7855</v>
      </c>
      <c r="BD26" s="19">
        <v>161695.49549999999</v>
      </c>
    </row>
    <row r="27" spans="1:56" x14ac:dyDescent="0.35">
      <c r="A27" s="38" t="str">
        <v>CETS0019</v>
      </c>
      <c r="B27" s="31" t="str">
        <f t="shared" si="4"/>
        <v>LAP MICRO 40 X 40 320 GSM HIJAU</v>
      </c>
      <c r="C27" s="31" t="str">
        <f t="shared" si="5"/>
        <v>CLEANING TOOLS AND SUPPLIES</v>
      </c>
      <c r="D27" s="66" t="str">
        <f t="shared" si="6"/>
        <v>pcs</v>
      </c>
      <c r="E27" s="53">
        <f t="shared" si="7"/>
        <v>7500</v>
      </c>
      <c r="F27" s="48" t="str">
        <f t="shared" si="8"/>
        <v>0</v>
      </c>
      <c r="G27" s="67">
        <f t="shared" si="9"/>
        <v>1</v>
      </c>
      <c r="H27" s="67">
        <f t="shared" si="10"/>
        <v>1</v>
      </c>
      <c r="I27" s="53">
        <f t="shared" si="11"/>
        <v>7500</v>
      </c>
      <c r="J27" s="31" t="str">
        <f t="shared" si="12"/>
        <v>Kenaikan IU</v>
      </c>
      <c r="K27" s="42"/>
      <c r="O27" s="3">
        <v>9</v>
      </c>
      <c r="P27" t="s">
        <v>23</v>
      </c>
      <c r="Q27" t="s">
        <v>24</v>
      </c>
      <c r="R27" t="s">
        <v>4</v>
      </c>
      <c r="S27" s="10">
        <v>48</v>
      </c>
      <c r="T27" t="s">
        <v>25</v>
      </c>
      <c r="U27" s="10">
        <v>17760</v>
      </c>
      <c r="V27" s="4">
        <v>852480</v>
      </c>
      <c r="X27" s="3" t="s">
        <v>314</v>
      </c>
      <c r="Y27" t="s">
        <v>315</v>
      </c>
      <c r="Z27" t="s">
        <v>41</v>
      </c>
      <c r="AA27">
        <v>244</v>
      </c>
      <c r="AB27" t="s">
        <v>20</v>
      </c>
      <c r="AC27">
        <v>798.2826</v>
      </c>
      <c r="AD27" s="4">
        <v>194780.95439999999</v>
      </c>
      <c r="AG27" s="20">
        <v>9</v>
      </c>
      <c r="AH27" s="18" t="s">
        <v>187</v>
      </c>
      <c r="AI27" s="18" t="s">
        <v>188</v>
      </c>
      <c r="AJ27" s="18" t="s">
        <v>182</v>
      </c>
      <c r="AK27" s="21">
        <v>11</v>
      </c>
      <c r="AL27" s="18" t="s">
        <v>20</v>
      </c>
      <c r="AM27" s="21">
        <v>3254.6929</v>
      </c>
      <c r="AN27" s="19">
        <v>35801.621899999998</v>
      </c>
      <c r="AP27" s="20" t="s">
        <v>61</v>
      </c>
      <c r="AQ27" s="18" t="s">
        <v>62</v>
      </c>
      <c r="AR27" s="18" t="s">
        <v>41</v>
      </c>
      <c r="AS27" s="18">
        <v>5</v>
      </c>
      <c r="AT27" s="18" t="s">
        <v>5</v>
      </c>
      <c r="AU27" s="18">
        <v>16684.142100000001</v>
      </c>
      <c r="AV27" s="19">
        <v>83420.710500000001</v>
      </c>
      <c r="AX27" s="20" t="s">
        <v>61</v>
      </c>
      <c r="AY27" s="18" t="s">
        <v>62</v>
      </c>
      <c r="AZ27" s="18" t="s">
        <v>41</v>
      </c>
      <c r="BA27" s="18">
        <v>5</v>
      </c>
      <c r="BB27" s="18" t="s">
        <v>5</v>
      </c>
      <c r="BC27" s="18">
        <v>16684.142100000001</v>
      </c>
      <c r="BD27" s="19">
        <v>83420.710500000001</v>
      </c>
    </row>
    <row r="28" spans="1:56" x14ac:dyDescent="0.35">
      <c r="A28" s="38" t="str">
        <v>CETS0021</v>
      </c>
      <c r="B28" s="31" t="str">
        <f t="shared" si="4"/>
        <v>LAP MICRO 40 X 40 320 GSM BIRU MUDA</v>
      </c>
      <c r="C28" s="31" t="str">
        <f t="shared" si="5"/>
        <v>CLEANING TOOLS AND SUPPLIES</v>
      </c>
      <c r="D28" s="66" t="str">
        <f t="shared" si="6"/>
        <v>pcs</v>
      </c>
      <c r="E28" s="53">
        <f t="shared" si="7"/>
        <v>8315.06</v>
      </c>
      <c r="F28" s="48">
        <f t="shared" si="8"/>
        <v>2</v>
      </c>
      <c r="G28" s="67">
        <f t="shared" si="9"/>
        <v>1</v>
      </c>
      <c r="H28" s="67">
        <f t="shared" si="10"/>
        <v>-1</v>
      </c>
      <c r="I28" s="53">
        <f t="shared" si="11"/>
        <v>-8315.06</v>
      </c>
      <c r="J28" s="31" t="str">
        <f t="shared" si="12"/>
        <v>Penurunan IU</v>
      </c>
      <c r="K28" s="42"/>
      <c r="O28" s="3">
        <v>10</v>
      </c>
      <c r="P28" t="s">
        <v>28</v>
      </c>
      <c r="Q28" t="s">
        <v>29</v>
      </c>
      <c r="R28" t="s">
        <v>4</v>
      </c>
      <c r="S28" s="10">
        <v>19</v>
      </c>
      <c r="T28" t="s">
        <v>30</v>
      </c>
      <c r="U28" s="10">
        <v>19760</v>
      </c>
      <c r="V28" s="4">
        <v>375440</v>
      </c>
      <c r="X28" s="3" t="s">
        <v>65</v>
      </c>
      <c r="Y28" t="s">
        <v>66</v>
      </c>
      <c r="Z28" t="s">
        <v>67</v>
      </c>
      <c r="AA28" s="10">
        <v>20</v>
      </c>
      <c r="AB28" t="s">
        <v>20</v>
      </c>
      <c r="AC28" s="10">
        <v>320</v>
      </c>
      <c r="AD28" s="4">
        <v>6400</v>
      </c>
      <c r="AG28" s="20">
        <v>10</v>
      </c>
      <c r="AH28" s="18" t="s">
        <v>333</v>
      </c>
      <c r="AI28" s="18" t="s">
        <v>334</v>
      </c>
      <c r="AJ28" s="18" t="s">
        <v>192</v>
      </c>
      <c r="AK28" s="18">
        <v>11</v>
      </c>
      <c r="AL28" s="18" t="s">
        <v>20</v>
      </c>
      <c r="AM28" s="18">
        <v>3666.67</v>
      </c>
      <c r="AN28" s="19">
        <v>40333.370000000003</v>
      </c>
      <c r="AP28" s="20" t="s">
        <v>121</v>
      </c>
      <c r="AQ28" s="18" t="s">
        <v>122</v>
      </c>
      <c r="AR28" s="18" t="s">
        <v>123</v>
      </c>
      <c r="AS28" s="21">
        <v>2</v>
      </c>
      <c r="AT28" s="18" t="s">
        <v>5</v>
      </c>
      <c r="AU28" s="21">
        <v>5333.5403999999999</v>
      </c>
      <c r="AV28" s="19">
        <v>10667.0808</v>
      </c>
      <c r="AX28" s="20" t="s">
        <v>121</v>
      </c>
      <c r="AY28" s="18" t="s">
        <v>122</v>
      </c>
      <c r="AZ28" s="18" t="s">
        <v>123</v>
      </c>
      <c r="BA28" s="21">
        <v>2</v>
      </c>
      <c r="BB28" s="18" t="s">
        <v>5</v>
      </c>
      <c r="BC28" s="21">
        <v>5333.5403999999999</v>
      </c>
      <c r="BD28" s="19">
        <v>10667.0808</v>
      </c>
    </row>
    <row r="29" spans="1:56" ht="15" thickBot="1" x14ac:dyDescent="0.4">
      <c r="A29" s="38" t="str">
        <v>CETS0025</v>
      </c>
      <c r="B29" s="31" t="str">
        <f t="shared" si="4"/>
        <v>PLASTIK SAMPAH 60 x 100 (10 LEMBAR)</v>
      </c>
      <c r="C29" s="31" t="str">
        <f t="shared" si="5"/>
        <v>CLEANING TOOLS AND SUPPLIES</v>
      </c>
      <c r="D29" s="66" t="str">
        <f t="shared" si="6"/>
        <v>pack</v>
      </c>
      <c r="E29" s="53">
        <f t="shared" si="7"/>
        <v>7698.28</v>
      </c>
      <c r="F29" s="48">
        <f t="shared" si="8"/>
        <v>8</v>
      </c>
      <c r="G29" s="67">
        <f t="shared" si="9"/>
        <v>3</v>
      </c>
      <c r="H29" s="67">
        <f t="shared" si="10"/>
        <v>-5</v>
      </c>
      <c r="I29" s="53">
        <f t="shared" si="11"/>
        <v>-38491.4</v>
      </c>
      <c r="J29" s="31" t="str">
        <f t="shared" si="12"/>
        <v>Penurunan IU</v>
      </c>
      <c r="K29" s="42"/>
      <c r="O29" s="3">
        <v>11</v>
      </c>
      <c r="P29" t="s">
        <v>33</v>
      </c>
      <c r="Q29" t="s">
        <v>34</v>
      </c>
      <c r="R29" t="s">
        <v>4</v>
      </c>
      <c r="S29" s="10">
        <v>20</v>
      </c>
      <c r="T29" t="s">
        <v>30</v>
      </c>
      <c r="U29" s="10">
        <v>13000</v>
      </c>
      <c r="V29" s="4">
        <v>260000</v>
      </c>
      <c r="X29" s="3" t="s">
        <v>355</v>
      </c>
      <c r="Y29" t="s">
        <v>356</v>
      </c>
      <c r="Z29" t="s">
        <v>67</v>
      </c>
      <c r="AA29" s="10">
        <v>1</v>
      </c>
      <c r="AB29" t="s">
        <v>160</v>
      </c>
      <c r="AC29" s="10">
        <v>4000</v>
      </c>
      <c r="AD29" s="4">
        <v>4000</v>
      </c>
      <c r="AG29" s="22" t="s">
        <v>223</v>
      </c>
      <c r="AH29" s="23" t="s">
        <v>223</v>
      </c>
      <c r="AI29" s="23" t="s">
        <v>223</v>
      </c>
      <c r="AJ29" s="23" t="s">
        <v>223</v>
      </c>
      <c r="AK29" s="23" t="s">
        <v>223</v>
      </c>
      <c r="AL29" s="23" t="s">
        <v>223</v>
      </c>
      <c r="AM29" s="23" t="s">
        <v>224</v>
      </c>
      <c r="AN29" s="24">
        <v>802042.9375</v>
      </c>
      <c r="AP29" s="20" t="s">
        <v>124</v>
      </c>
      <c r="AQ29" s="18" t="s">
        <v>125</v>
      </c>
      <c r="AR29" s="18" t="s">
        <v>123</v>
      </c>
      <c r="AS29" s="21">
        <v>23</v>
      </c>
      <c r="AT29" s="18" t="s">
        <v>5</v>
      </c>
      <c r="AU29" s="21">
        <v>5634.6886000000004</v>
      </c>
      <c r="AV29" s="19">
        <v>129597.83779999999</v>
      </c>
      <c r="AX29" s="20" t="s">
        <v>124</v>
      </c>
      <c r="AY29" s="18" t="s">
        <v>125</v>
      </c>
      <c r="AZ29" s="18" t="s">
        <v>123</v>
      </c>
      <c r="BA29" s="21">
        <v>23</v>
      </c>
      <c r="BB29" s="18" t="s">
        <v>5</v>
      </c>
      <c r="BC29" s="21">
        <v>5634.6886000000004</v>
      </c>
      <c r="BD29" s="19">
        <v>129597.83779999999</v>
      </c>
    </row>
    <row r="30" spans="1:56" x14ac:dyDescent="0.35">
      <c r="A30" s="38" t="str">
        <v>CETS0026</v>
      </c>
      <c r="B30" s="31" t="str">
        <f t="shared" si="4"/>
        <v>PLASTIK SAMPAH 90 x 120 (5 LEMBAR)</v>
      </c>
      <c r="C30" s="31" t="str">
        <f t="shared" si="5"/>
        <v>CLEANING TOOLS AND SUPPLIES</v>
      </c>
      <c r="D30" s="66" t="str">
        <f t="shared" si="6"/>
        <v>pack</v>
      </c>
      <c r="E30" s="53">
        <f t="shared" si="7"/>
        <v>7699.79</v>
      </c>
      <c r="F30" s="48">
        <f t="shared" si="8"/>
        <v>20</v>
      </c>
      <c r="G30" s="67">
        <f t="shared" si="9"/>
        <v>21</v>
      </c>
      <c r="H30" s="67">
        <f t="shared" si="10"/>
        <v>1</v>
      </c>
      <c r="I30" s="53">
        <f t="shared" si="11"/>
        <v>7699.79</v>
      </c>
      <c r="J30" s="31" t="str">
        <f t="shared" si="12"/>
        <v>Kenaikan IU</v>
      </c>
      <c r="K30" s="42"/>
      <c r="O30" s="3">
        <v>12</v>
      </c>
      <c r="P30" t="s">
        <v>50</v>
      </c>
      <c r="Q30" t="s">
        <v>51</v>
      </c>
      <c r="R30" t="s">
        <v>41</v>
      </c>
      <c r="S30" s="10">
        <v>39</v>
      </c>
      <c r="T30" t="s">
        <v>52</v>
      </c>
      <c r="U30" s="10">
        <v>20500</v>
      </c>
      <c r="V30" s="4">
        <v>799500</v>
      </c>
      <c r="X30" s="3" t="s">
        <v>509</v>
      </c>
      <c r="Y30" t="s">
        <v>510</v>
      </c>
      <c r="Z30" t="s">
        <v>67</v>
      </c>
      <c r="AA30" s="10">
        <v>0.2</v>
      </c>
      <c r="AB30" t="s">
        <v>5</v>
      </c>
      <c r="AC30" s="10">
        <v>6250</v>
      </c>
      <c r="AD30" s="4">
        <v>1250</v>
      </c>
      <c r="AP30" s="20" t="s">
        <v>126</v>
      </c>
      <c r="AQ30" s="18" t="s">
        <v>127</v>
      </c>
      <c r="AR30" s="18" t="s">
        <v>123</v>
      </c>
      <c r="AS30" s="21">
        <v>25</v>
      </c>
      <c r="AT30" s="18" t="s">
        <v>5</v>
      </c>
      <c r="AU30" s="21">
        <v>6804.2385000000004</v>
      </c>
      <c r="AV30" s="19">
        <v>170105.96249999999</v>
      </c>
      <c r="AX30" s="20" t="s">
        <v>126</v>
      </c>
      <c r="AY30" s="18" t="s">
        <v>127</v>
      </c>
      <c r="AZ30" s="18" t="s">
        <v>123</v>
      </c>
      <c r="BA30" s="21">
        <v>25</v>
      </c>
      <c r="BB30" s="18" t="s">
        <v>5</v>
      </c>
      <c r="BC30" s="21">
        <v>6804.2385000000004</v>
      </c>
      <c r="BD30" s="19">
        <v>170105.96249999999</v>
      </c>
    </row>
    <row r="31" spans="1:56" ht="15" thickBot="1" x14ac:dyDescent="0.4">
      <c r="A31" s="38" t="str">
        <v>CETS0027</v>
      </c>
      <c r="B31" s="31" t="str">
        <f t="shared" si="4"/>
        <v>PLASTIK KRESEK HITAM 35 (Utk Tong Sampah)</v>
      </c>
      <c r="C31" s="31" t="str">
        <f t="shared" si="5"/>
        <v>CLEANING TOOLS AND SUPPLIES</v>
      </c>
      <c r="D31" s="66" t="str">
        <f t="shared" si="6"/>
        <v>pack</v>
      </c>
      <c r="E31" s="53">
        <f t="shared" si="7"/>
        <v>16684.14</v>
      </c>
      <c r="F31" s="48">
        <f t="shared" si="8"/>
        <v>5</v>
      </c>
      <c r="G31" s="67">
        <f t="shared" si="9"/>
        <v>5</v>
      </c>
      <c r="H31" s="67">
        <f t="shared" si="10"/>
        <v>0</v>
      </c>
      <c r="I31" s="53">
        <f t="shared" si="11"/>
        <v>0</v>
      </c>
      <c r="J31" s="31" t="str">
        <f t="shared" si="12"/>
        <v>Tidak Ada Perubahan</v>
      </c>
      <c r="K31" s="42"/>
      <c r="O31" s="3">
        <v>13</v>
      </c>
      <c r="P31" t="s">
        <v>53</v>
      </c>
      <c r="Q31" t="s">
        <v>54</v>
      </c>
      <c r="R31" t="s">
        <v>41</v>
      </c>
      <c r="S31" s="10">
        <v>16</v>
      </c>
      <c r="T31" t="s">
        <v>20</v>
      </c>
      <c r="U31" s="10">
        <v>3221.9837000000002</v>
      </c>
      <c r="V31" s="4">
        <v>51551.739200000004</v>
      </c>
      <c r="X31" s="3" t="s">
        <v>72</v>
      </c>
      <c r="Y31" t="s">
        <v>73</v>
      </c>
      <c r="Z31" t="s">
        <v>67</v>
      </c>
      <c r="AA31" s="10">
        <v>5</v>
      </c>
      <c r="AB31" t="s">
        <v>74</v>
      </c>
      <c r="AC31" s="10">
        <v>3000</v>
      </c>
      <c r="AD31" s="4">
        <v>15000</v>
      </c>
      <c r="AP31" s="20" t="s">
        <v>128</v>
      </c>
      <c r="AQ31" s="18" t="s">
        <v>129</v>
      </c>
      <c r="AR31" s="18" t="s">
        <v>123</v>
      </c>
      <c r="AS31" s="21">
        <v>3.3</v>
      </c>
      <c r="AT31" s="18" t="s">
        <v>74</v>
      </c>
      <c r="AU31" s="21">
        <v>142067.9852</v>
      </c>
      <c r="AV31" s="19">
        <v>468824.35116000002</v>
      </c>
      <c r="AX31" s="20" t="s">
        <v>128</v>
      </c>
      <c r="AY31" s="18" t="s">
        <v>129</v>
      </c>
      <c r="AZ31" s="18" t="s">
        <v>123</v>
      </c>
      <c r="BA31" s="21">
        <v>3.3</v>
      </c>
      <c r="BB31" s="18" t="s">
        <v>74</v>
      </c>
      <c r="BC31" s="21">
        <v>142067.9852</v>
      </c>
      <c r="BD31" s="19">
        <v>468824.35116000002</v>
      </c>
    </row>
    <row r="32" spans="1:56" x14ac:dyDescent="0.35">
      <c r="A32" s="38" t="str">
        <v>NCG00018</v>
      </c>
      <c r="B32" s="31" t="str">
        <f t="shared" si="4"/>
        <v>SARUNG TANGAN PELASTIK</v>
      </c>
      <c r="C32" s="31" t="str">
        <f t="shared" si="5"/>
        <v>NCG</v>
      </c>
      <c r="D32" s="66" t="str">
        <f t="shared" si="6"/>
        <v>pack</v>
      </c>
      <c r="E32" s="53">
        <f t="shared" si="7"/>
        <v>5333.54</v>
      </c>
      <c r="F32" s="48">
        <f t="shared" si="8"/>
        <v>8</v>
      </c>
      <c r="G32" s="67">
        <f t="shared" si="9"/>
        <v>2</v>
      </c>
      <c r="H32" s="67">
        <f t="shared" si="10"/>
        <v>-6</v>
      </c>
      <c r="I32" s="53">
        <f t="shared" si="11"/>
        <v>-32001.239999999998</v>
      </c>
      <c r="J32" s="31" t="str">
        <f t="shared" si="12"/>
        <v>Penurunan IU</v>
      </c>
      <c r="K32" s="42"/>
      <c r="O32" s="3">
        <v>14</v>
      </c>
      <c r="P32" t="s">
        <v>453</v>
      </c>
      <c r="Q32" t="s">
        <v>454</v>
      </c>
      <c r="R32" t="s">
        <v>41</v>
      </c>
      <c r="S32" s="10">
        <v>1</v>
      </c>
      <c r="T32" t="s">
        <v>267</v>
      </c>
      <c r="U32" s="10">
        <v>17539.232352941173</v>
      </c>
      <c r="V32" s="4">
        <v>17539.232352999999</v>
      </c>
      <c r="X32" s="3" t="s">
        <v>75</v>
      </c>
      <c r="Y32" t="s">
        <v>76</v>
      </c>
      <c r="Z32" t="s">
        <v>67</v>
      </c>
      <c r="AA32" s="10">
        <v>3</v>
      </c>
      <c r="AB32" t="s">
        <v>74</v>
      </c>
      <c r="AC32" s="10">
        <v>6000</v>
      </c>
      <c r="AD32" s="4">
        <v>18000</v>
      </c>
      <c r="AG32" s="84" t="s">
        <v>0</v>
      </c>
      <c r="AH32" s="85"/>
      <c r="AI32" s="85"/>
      <c r="AJ32" s="85"/>
      <c r="AK32" s="85"/>
      <c r="AL32" s="16"/>
      <c r="AM32" s="16"/>
      <c r="AN32" s="17"/>
      <c r="AP32" s="20" t="s">
        <v>130</v>
      </c>
      <c r="AQ32" s="18" t="s">
        <v>131</v>
      </c>
      <c r="AR32" s="18" t="s">
        <v>123</v>
      </c>
      <c r="AS32" s="21">
        <v>72</v>
      </c>
      <c r="AT32" s="18" t="s">
        <v>5</v>
      </c>
      <c r="AU32" s="21">
        <v>6355.4911000000002</v>
      </c>
      <c r="AV32" s="19">
        <v>457595.35920000001</v>
      </c>
      <c r="AX32" s="20" t="s">
        <v>130</v>
      </c>
      <c r="AY32" s="18" t="s">
        <v>131</v>
      </c>
      <c r="AZ32" s="18" t="s">
        <v>123</v>
      </c>
      <c r="BA32" s="21">
        <v>72</v>
      </c>
      <c r="BB32" s="18" t="s">
        <v>5</v>
      </c>
      <c r="BC32" s="21">
        <v>6355.4911000000002</v>
      </c>
      <c r="BD32" s="19">
        <v>457595.35920000001</v>
      </c>
    </row>
    <row r="33" spans="1:56" x14ac:dyDescent="0.35">
      <c r="A33" s="38" t="str">
        <v>NCGK0001</v>
      </c>
      <c r="B33" s="31" t="str">
        <f t="shared" si="4"/>
        <v>PLASTIK PE 2 KG 20 x 35 (Kitchen)</v>
      </c>
      <c r="C33" s="31" t="str">
        <f t="shared" si="5"/>
        <v>NCG</v>
      </c>
      <c r="D33" s="66" t="str">
        <f t="shared" si="6"/>
        <v>pack</v>
      </c>
      <c r="E33" s="53">
        <f t="shared" si="7"/>
        <v>5634.69</v>
      </c>
      <c r="F33" s="48">
        <f t="shared" si="8"/>
        <v>37</v>
      </c>
      <c r="G33" s="67">
        <f t="shared" si="9"/>
        <v>23</v>
      </c>
      <c r="H33" s="67">
        <f t="shared" si="10"/>
        <v>-14</v>
      </c>
      <c r="I33" s="53">
        <f t="shared" si="11"/>
        <v>-78885.659999999989</v>
      </c>
      <c r="J33" s="31" t="str">
        <f t="shared" si="12"/>
        <v>Penurunan IU</v>
      </c>
      <c r="K33" s="42"/>
      <c r="O33" s="3">
        <v>15</v>
      </c>
      <c r="P33" t="s">
        <v>643</v>
      </c>
      <c r="Q33" t="s">
        <v>644</v>
      </c>
      <c r="R33" t="s">
        <v>41</v>
      </c>
      <c r="S33" s="10">
        <v>1</v>
      </c>
      <c r="T33" t="s">
        <v>20</v>
      </c>
      <c r="U33" s="10">
        <v>7500</v>
      </c>
      <c r="V33" s="4">
        <v>7500</v>
      </c>
      <c r="X33" s="3" t="s">
        <v>393</v>
      </c>
      <c r="Y33" t="s">
        <v>394</v>
      </c>
      <c r="Z33" t="s">
        <v>67</v>
      </c>
      <c r="AA33" s="10">
        <v>1</v>
      </c>
      <c r="AB33" t="s">
        <v>20</v>
      </c>
      <c r="AC33" s="10">
        <v>18200</v>
      </c>
      <c r="AD33" s="4">
        <v>18200</v>
      </c>
      <c r="AG33" s="82" t="s">
        <v>1</v>
      </c>
      <c r="AH33" s="83"/>
      <c r="AI33" s="83"/>
      <c r="AJ33" s="83"/>
      <c r="AK33" s="83"/>
      <c r="AL33" s="18"/>
      <c r="AM33" s="18"/>
      <c r="AN33" s="19"/>
      <c r="AP33" s="20" t="s">
        <v>132</v>
      </c>
      <c r="AQ33" s="18" t="s">
        <v>133</v>
      </c>
      <c r="AR33" s="18" t="s">
        <v>123</v>
      </c>
      <c r="AS33" s="21">
        <v>200</v>
      </c>
      <c r="AT33" s="18" t="s">
        <v>134</v>
      </c>
      <c r="AU33" s="21">
        <v>13006.830535146442</v>
      </c>
      <c r="AV33" s="19">
        <v>2601366.1070289998</v>
      </c>
      <c r="AX33" s="20" t="s">
        <v>132</v>
      </c>
      <c r="AY33" s="18" t="s">
        <v>133</v>
      </c>
      <c r="AZ33" s="18" t="s">
        <v>123</v>
      </c>
      <c r="BA33" s="21">
        <v>200</v>
      </c>
      <c r="BB33" s="18" t="s">
        <v>134</v>
      </c>
      <c r="BC33" s="21">
        <v>13006.830535146442</v>
      </c>
      <c r="BD33" s="19">
        <v>2601366.1070289998</v>
      </c>
    </row>
    <row r="34" spans="1:56" x14ac:dyDescent="0.35">
      <c r="A34" s="38" t="str">
        <v>NCGK0003</v>
      </c>
      <c r="B34" s="31" t="str">
        <f t="shared" si="4"/>
        <v>PLASTIK PE 1 KG 15 x 30</v>
      </c>
      <c r="C34" s="31" t="str">
        <f t="shared" si="5"/>
        <v>NCG</v>
      </c>
      <c r="D34" s="66" t="str">
        <f t="shared" si="6"/>
        <v>pack</v>
      </c>
      <c r="E34" s="53">
        <f t="shared" si="7"/>
        <v>6804.24</v>
      </c>
      <c r="F34" s="48">
        <f t="shared" si="8"/>
        <v>5</v>
      </c>
      <c r="G34" s="67">
        <f t="shared" si="9"/>
        <v>25</v>
      </c>
      <c r="H34" s="67">
        <f t="shared" si="10"/>
        <v>20</v>
      </c>
      <c r="I34" s="53">
        <f t="shared" si="11"/>
        <v>136084.79999999999</v>
      </c>
      <c r="J34" s="31" t="str">
        <f t="shared" si="12"/>
        <v>Kenaikan IU</v>
      </c>
      <c r="K34" s="42"/>
      <c r="O34" s="3">
        <v>16</v>
      </c>
      <c r="P34" t="s">
        <v>310</v>
      </c>
      <c r="Q34" t="s">
        <v>311</v>
      </c>
      <c r="R34" t="s">
        <v>41</v>
      </c>
      <c r="S34" s="10">
        <v>2</v>
      </c>
      <c r="T34" t="s">
        <v>20</v>
      </c>
      <c r="U34" s="10">
        <v>7500</v>
      </c>
      <c r="V34" s="4">
        <v>15000</v>
      </c>
      <c r="X34" s="3" t="s">
        <v>236</v>
      </c>
      <c r="Y34" t="s">
        <v>237</v>
      </c>
      <c r="Z34" t="s">
        <v>67</v>
      </c>
      <c r="AA34" s="10">
        <v>1</v>
      </c>
      <c r="AB34" t="s">
        <v>20</v>
      </c>
      <c r="AC34" s="10">
        <v>7500</v>
      </c>
      <c r="AD34" s="4">
        <v>7500</v>
      </c>
      <c r="AG34" s="20"/>
      <c r="AH34" s="18"/>
      <c r="AI34" s="18"/>
      <c r="AJ34" s="18"/>
      <c r="AK34" s="18"/>
      <c r="AL34" s="18"/>
      <c r="AM34" s="18"/>
      <c r="AN34" s="19"/>
      <c r="AP34" s="20" t="s">
        <v>135</v>
      </c>
      <c r="AQ34" s="18" t="s">
        <v>136</v>
      </c>
      <c r="AR34" s="18" t="s">
        <v>123</v>
      </c>
      <c r="AS34" s="21">
        <v>30</v>
      </c>
      <c r="AT34" s="18" t="s">
        <v>5</v>
      </c>
      <c r="AU34" s="21">
        <v>5701.0945000000011</v>
      </c>
      <c r="AV34" s="19">
        <v>171032.83499999999</v>
      </c>
      <c r="AX34" s="20" t="s">
        <v>135</v>
      </c>
      <c r="AY34" s="18" t="s">
        <v>136</v>
      </c>
      <c r="AZ34" s="18" t="s">
        <v>123</v>
      </c>
      <c r="BA34" s="21">
        <v>30</v>
      </c>
      <c r="BB34" s="18" t="s">
        <v>5</v>
      </c>
      <c r="BC34" s="21">
        <v>5701.0945000000011</v>
      </c>
      <c r="BD34" s="19">
        <v>171032.83499999999</v>
      </c>
    </row>
    <row r="35" spans="1:56" x14ac:dyDescent="0.35">
      <c r="A35" s="38" t="str">
        <v>NCGK0005</v>
      </c>
      <c r="B35" s="31" t="str">
        <f t="shared" si="4"/>
        <v>CLING WRAP 45 x 50 @ 6 ROLL</v>
      </c>
      <c r="C35" s="31" t="str">
        <f t="shared" si="5"/>
        <v>NCG</v>
      </c>
      <c r="D35" s="66" t="str">
        <f t="shared" si="6"/>
        <v>roll</v>
      </c>
      <c r="E35" s="53">
        <f t="shared" si="7"/>
        <v>142067.99</v>
      </c>
      <c r="F35" s="48">
        <f t="shared" si="8"/>
        <v>1.5</v>
      </c>
      <c r="G35" s="67">
        <f t="shared" si="9"/>
        <v>3.3</v>
      </c>
      <c r="H35" s="67">
        <f t="shared" si="10"/>
        <v>1.7999999999999998</v>
      </c>
      <c r="I35" s="53">
        <f t="shared" si="11"/>
        <v>255722.38199999995</v>
      </c>
      <c r="J35" s="31" t="str">
        <f t="shared" si="12"/>
        <v>Kenaikan IU</v>
      </c>
      <c r="K35" s="42"/>
      <c r="O35" s="3">
        <v>17</v>
      </c>
      <c r="P35" t="s">
        <v>57</v>
      </c>
      <c r="Q35" t="s">
        <v>58</v>
      </c>
      <c r="R35" t="s">
        <v>41</v>
      </c>
      <c r="S35" s="10">
        <v>8</v>
      </c>
      <c r="T35" t="s">
        <v>5</v>
      </c>
      <c r="U35" s="10">
        <v>7698.2756000000018</v>
      </c>
      <c r="V35" s="4">
        <v>61586.2048</v>
      </c>
      <c r="X35" s="3" t="s">
        <v>512</v>
      </c>
      <c r="Y35" t="s">
        <v>513</v>
      </c>
      <c r="Z35" t="s">
        <v>67</v>
      </c>
      <c r="AA35" s="10">
        <v>1</v>
      </c>
      <c r="AB35" t="s">
        <v>486</v>
      </c>
      <c r="AC35" s="10">
        <v>27666.666700000002</v>
      </c>
      <c r="AD35" s="4">
        <v>27666.666700000002</v>
      </c>
      <c r="AG35" s="82" t="s">
        <v>10</v>
      </c>
      <c r="AH35" s="83" t="s">
        <v>11</v>
      </c>
      <c r="AI35" s="18" t="s">
        <v>849</v>
      </c>
      <c r="AJ35" s="18"/>
      <c r="AK35" s="18"/>
      <c r="AL35" s="18"/>
      <c r="AM35" s="18"/>
      <c r="AN35" s="19"/>
      <c r="AP35" s="20" t="s">
        <v>137</v>
      </c>
      <c r="AQ35" s="18" t="s">
        <v>138</v>
      </c>
      <c r="AR35" s="18" t="s">
        <v>123</v>
      </c>
      <c r="AS35" s="21">
        <v>46</v>
      </c>
      <c r="AT35" s="18" t="s">
        <v>5</v>
      </c>
      <c r="AU35" s="21">
        <v>16092.4892</v>
      </c>
      <c r="AV35" s="19">
        <v>740254.50320000004</v>
      </c>
      <c r="AX35" s="20" t="s">
        <v>137</v>
      </c>
      <c r="AY35" s="18" t="s">
        <v>138</v>
      </c>
      <c r="AZ35" s="18" t="s">
        <v>123</v>
      </c>
      <c r="BA35" s="21">
        <v>46</v>
      </c>
      <c r="BB35" s="18" t="s">
        <v>5</v>
      </c>
      <c r="BC35" s="21">
        <v>16092.4892</v>
      </c>
      <c r="BD35" s="19">
        <v>740254.50320000004</v>
      </c>
    </row>
    <row r="36" spans="1:56" x14ac:dyDescent="0.35">
      <c r="A36" s="38" t="str">
        <v>NCGK0006</v>
      </c>
      <c r="B36" s="31" t="str">
        <f t="shared" si="4"/>
        <v>TISSUE SEE-U HANDTOWELS @ 20 PACK</v>
      </c>
      <c r="C36" s="31" t="str">
        <f t="shared" si="5"/>
        <v>NCG</v>
      </c>
      <c r="D36" s="66" t="str">
        <f t="shared" si="6"/>
        <v>pack</v>
      </c>
      <c r="E36" s="53">
        <f t="shared" si="7"/>
        <v>6355.49</v>
      </c>
      <c r="F36" s="48">
        <f t="shared" si="8"/>
        <v>68</v>
      </c>
      <c r="G36" s="67">
        <f t="shared" si="9"/>
        <v>72</v>
      </c>
      <c r="H36" s="67">
        <f t="shared" si="10"/>
        <v>4</v>
      </c>
      <c r="I36" s="53">
        <f t="shared" si="11"/>
        <v>25421.96</v>
      </c>
      <c r="J36" s="31" t="str">
        <f t="shared" si="12"/>
        <v>Kenaikan IU</v>
      </c>
      <c r="K36" s="42"/>
      <c r="O36" s="3">
        <v>18</v>
      </c>
      <c r="P36" t="s">
        <v>59</v>
      </c>
      <c r="Q36" t="s">
        <v>60</v>
      </c>
      <c r="R36" t="s">
        <v>41</v>
      </c>
      <c r="S36" s="10">
        <v>20</v>
      </c>
      <c r="T36" t="s">
        <v>5</v>
      </c>
      <c r="U36" s="10">
        <v>7699.7496999999994</v>
      </c>
      <c r="V36" s="4">
        <v>153994.99400000001</v>
      </c>
      <c r="X36" s="3" t="s">
        <v>484</v>
      </c>
      <c r="Y36" t="s">
        <v>485</v>
      </c>
      <c r="Z36" t="s">
        <v>67</v>
      </c>
      <c r="AA36" s="10">
        <v>1</v>
      </c>
      <c r="AB36" t="s">
        <v>486</v>
      </c>
      <c r="AC36" s="10">
        <v>8500</v>
      </c>
      <c r="AD36" s="4">
        <v>8500</v>
      </c>
      <c r="AG36" s="82" t="s">
        <v>16</v>
      </c>
      <c r="AH36" s="83" t="s">
        <v>11</v>
      </c>
      <c r="AI36" s="18" t="s">
        <v>211</v>
      </c>
      <c r="AJ36" s="18"/>
      <c r="AK36" s="18"/>
      <c r="AL36" s="18"/>
      <c r="AM36" s="18"/>
      <c r="AN36" s="19"/>
      <c r="AP36" s="20" t="s">
        <v>139</v>
      </c>
      <c r="AQ36" s="18" t="s">
        <v>140</v>
      </c>
      <c r="AR36" s="18" t="s">
        <v>123</v>
      </c>
      <c r="AS36" s="21">
        <v>20</v>
      </c>
      <c r="AT36" s="18" t="s">
        <v>5</v>
      </c>
      <c r="AU36" s="21">
        <v>42951.9663</v>
      </c>
      <c r="AV36" s="19">
        <v>859039.326</v>
      </c>
      <c r="AX36" s="20" t="s">
        <v>139</v>
      </c>
      <c r="AY36" s="18" t="s">
        <v>140</v>
      </c>
      <c r="AZ36" s="18" t="s">
        <v>123</v>
      </c>
      <c r="BA36" s="21">
        <v>20</v>
      </c>
      <c r="BB36" s="18" t="s">
        <v>5</v>
      </c>
      <c r="BC36" s="21">
        <v>42951.9663</v>
      </c>
      <c r="BD36" s="19">
        <v>859039.326</v>
      </c>
    </row>
    <row r="37" spans="1:56" x14ac:dyDescent="0.35">
      <c r="A37" s="38" t="str">
        <v>NCGK0007</v>
      </c>
      <c r="B37" s="31" t="str">
        <f t="shared" si="4"/>
        <v>GAS BUTANE PORTABLE PURITY 230G @24 CAN</v>
      </c>
      <c r="C37" s="31" t="str">
        <f t="shared" si="5"/>
        <v>NCG</v>
      </c>
      <c r="D37" s="66" t="str">
        <f t="shared" si="6"/>
        <v>can</v>
      </c>
      <c r="E37" s="53">
        <f t="shared" si="7"/>
        <v>13006.83</v>
      </c>
      <c r="F37" s="48">
        <f t="shared" si="8"/>
        <v>204</v>
      </c>
      <c r="G37" s="67">
        <f t="shared" si="9"/>
        <v>200</v>
      </c>
      <c r="H37" s="67">
        <f t="shared" si="10"/>
        <v>-4</v>
      </c>
      <c r="I37" s="53">
        <f t="shared" si="11"/>
        <v>-52027.32</v>
      </c>
      <c r="J37" s="31" t="str">
        <f t="shared" si="12"/>
        <v>Penurunan IU</v>
      </c>
      <c r="K37" s="42"/>
      <c r="O37" s="3">
        <v>19</v>
      </c>
      <c r="P37" t="s">
        <v>61</v>
      </c>
      <c r="Q37" t="s">
        <v>62</v>
      </c>
      <c r="R37" t="s">
        <v>41</v>
      </c>
      <c r="S37" s="10">
        <v>5</v>
      </c>
      <c r="T37" t="s">
        <v>5</v>
      </c>
      <c r="U37" s="10">
        <v>16684.142100000001</v>
      </c>
      <c r="V37" s="4">
        <v>83420.710500000001</v>
      </c>
      <c r="X37" s="3" t="s">
        <v>81</v>
      </c>
      <c r="Y37" t="s">
        <v>82</v>
      </c>
      <c r="Z37" t="s">
        <v>67</v>
      </c>
      <c r="AA37" s="10">
        <v>2</v>
      </c>
      <c r="AB37" t="s">
        <v>20</v>
      </c>
      <c r="AC37" s="10">
        <v>12312.5</v>
      </c>
      <c r="AD37" s="4">
        <v>24625</v>
      </c>
      <c r="AG37" s="82" t="s">
        <v>21</v>
      </c>
      <c r="AH37" s="83" t="s">
        <v>11</v>
      </c>
      <c r="AI37" s="18" t="s">
        <v>640</v>
      </c>
      <c r="AJ37" s="18"/>
      <c r="AK37" s="18"/>
      <c r="AL37" s="18"/>
      <c r="AM37" s="18"/>
      <c r="AN37" s="19"/>
      <c r="AP37" s="20" t="s">
        <v>141</v>
      </c>
      <c r="AQ37" s="18" t="s">
        <v>142</v>
      </c>
      <c r="AR37" s="18" t="s">
        <v>123</v>
      </c>
      <c r="AS37" s="21">
        <v>1</v>
      </c>
      <c r="AT37" s="18" t="s">
        <v>5</v>
      </c>
      <c r="AU37" s="21">
        <v>41526.315799999997</v>
      </c>
      <c r="AV37" s="19">
        <v>41526.315799999997</v>
      </c>
      <c r="AX37" s="20" t="s">
        <v>141</v>
      </c>
      <c r="AY37" s="18" t="s">
        <v>142</v>
      </c>
      <c r="AZ37" s="18" t="s">
        <v>123</v>
      </c>
      <c r="BA37" s="21">
        <v>1</v>
      </c>
      <c r="BB37" s="18" t="s">
        <v>5</v>
      </c>
      <c r="BC37" s="21">
        <v>41526.315799999997</v>
      </c>
      <c r="BD37" s="19">
        <v>41526.315799999997</v>
      </c>
    </row>
    <row r="38" spans="1:56" x14ac:dyDescent="0.35">
      <c r="A38" s="38" t="str">
        <v>NCGK0008</v>
      </c>
      <c r="B38" s="31" t="str">
        <f t="shared" si="4"/>
        <v>PLASTIK PE 1/4 KG 10x20</v>
      </c>
      <c r="C38" s="31" t="str">
        <f t="shared" si="5"/>
        <v>NCG</v>
      </c>
      <c r="D38" s="66" t="str">
        <f t="shared" si="6"/>
        <v>pack</v>
      </c>
      <c r="E38" s="53">
        <f t="shared" si="7"/>
        <v>5701.09</v>
      </c>
      <c r="F38" s="48">
        <f t="shared" si="8"/>
        <v>20</v>
      </c>
      <c r="G38" s="67">
        <f t="shared" si="9"/>
        <v>30</v>
      </c>
      <c r="H38" s="67">
        <f t="shared" si="10"/>
        <v>10</v>
      </c>
      <c r="I38" s="53">
        <f t="shared" si="11"/>
        <v>57010.9</v>
      </c>
      <c r="J38" s="31" t="str">
        <f t="shared" si="12"/>
        <v>Kenaikan IU</v>
      </c>
      <c r="K38" s="42"/>
      <c r="O38" s="3">
        <v>20</v>
      </c>
      <c r="P38" t="s">
        <v>314</v>
      </c>
      <c r="Q38" t="s">
        <v>315</v>
      </c>
      <c r="R38" t="s">
        <v>41</v>
      </c>
      <c r="S38">
        <v>244</v>
      </c>
      <c r="T38" t="s">
        <v>20</v>
      </c>
      <c r="U38">
        <v>798.2826</v>
      </c>
      <c r="V38" s="4">
        <v>194780.95439999999</v>
      </c>
      <c r="X38" s="3" t="s">
        <v>395</v>
      </c>
      <c r="Y38" t="s">
        <v>396</v>
      </c>
      <c r="Z38" t="s">
        <v>67</v>
      </c>
      <c r="AA38" s="10">
        <v>0.5</v>
      </c>
      <c r="AB38" t="s">
        <v>216</v>
      </c>
      <c r="AC38" s="10">
        <v>6000</v>
      </c>
      <c r="AD38" s="4">
        <v>3000</v>
      </c>
      <c r="AG38" s="82" t="s">
        <v>26</v>
      </c>
      <c r="AH38" s="83" t="s">
        <v>11</v>
      </c>
      <c r="AI38" s="18" t="s">
        <v>850</v>
      </c>
      <c r="AJ38" s="18"/>
      <c r="AK38" s="18"/>
      <c r="AL38" s="18"/>
      <c r="AM38" s="18"/>
      <c r="AN38" s="19"/>
      <c r="AP38" s="20" t="s">
        <v>145</v>
      </c>
      <c r="AQ38" s="18" t="s">
        <v>146</v>
      </c>
      <c r="AR38" s="18" t="s">
        <v>123</v>
      </c>
      <c r="AS38" s="21">
        <v>131</v>
      </c>
      <c r="AT38" s="18" t="s">
        <v>5</v>
      </c>
      <c r="AU38" s="21">
        <v>4604.1441999999997</v>
      </c>
      <c r="AV38" s="19">
        <v>603142.89020000002</v>
      </c>
      <c r="AX38" s="20" t="s">
        <v>145</v>
      </c>
      <c r="AY38" s="18" t="s">
        <v>146</v>
      </c>
      <c r="AZ38" s="18" t="s">
        <v>123</v>
      </c>
      <c r="BA38" s="21">
        <v>131</v>
      </c>
      <c r="BB38" s="18" t="s">
        <v>5</v>
      </c>
      <c r="BC38" s="21">
        <v>4604.1441999999997</v>
      </c>
      <c r="BD38" s="19">
        <v>603142.89020000002</v>
      </c>
    </row>
    <row r="39" spans="1:56" ht="15" thickBot="1" x14ac:dyDescent="0.4">
      <c r="A39" s="38" t="str">
        <v>NCGK0009</v>
      </c>
      <c r="B39" s="31" t="str">
        <f t="shared" si="4"/>
        <v>PLASTIK PE 10 KG 40 x 60</v>
      </c>
      <c r="C39" s="31" t="str">
        <f t="shared" si="5"/>
        <v>NCG</v>
      </c>
      <c r="D39" s="66" t="str">
        <f t="shared" si="6"/>
        <v>pack</v>
      </c>
      <c r="E39" s="53">
        <f t="shared" si="7"/>
        <v>16092.49</v>
      </c>
      <c r="F39" s="48">
        <f t="shared" si="8"/>
        <v>50</v>
      </c>
      <c r="G39" s="67">
        <f t="shared" si="9"/>
        <v>46</v>
      </c>
      <c r="H39" s="67">
        <f t="shared" si="10"/>
        <v>-4</v>
      </c>
      <c r="I39" s="53">
        <f t="shared" si="11"/>
        <v>-64369.96</v>
      </c>
      <c r="J39" s="31" t="str">
        <f t="shared" si="12"/>
        <v>Penurunan IU</v>
      </c>
      <c r="K39" s="42"/>
      <c r="O39" s="11" t="s">
        <v>223</v>
      </c>
      <c r="P39" s="12" t="s">
        <v>223</v>
      </c>
      <c r="Q39" s="12" t="s">
        <v>223</v>
      </c>
      <c r="R39" s="12" t="s">
        <v>223</v>
      </c>
      <c r="S39" s="12" t="s">
        <v>223</v>
      </c>
      <c r="T39" s="12" t="s">
        <v>223</v>
      </c>
      <c r="U39" s="12" t="s">
        <v>224</v>
      </c>
      <c r="V39" s="13">
        <v>3700665.3568930002</v>
      </c>
      <c r="X39" s="3" t="s">
        <v>83</v>
      </c>
      <c r="Y39" t="s">
        <v>84</v>
      </c>
      <c r="Z39" t="s">
        <v>67</v>
      </c>
      <c r="AA39" s="10">
        <v>1</v>
      </c>
      <c r="AB39" t="s">
        <v>20</v>
      </c>
      <c r="AC39" s="10">
        <v>7250</v>
      </c>
      <c r="AD39" s="4">
        <v>7250</v>
      </c>
      <c r="AG39" s="82" t="s">
        <v>31</v>
      </c>
      <c r="AH39" s="83" t="s">
        <v>11</v>
      </c>
      <c r="AI39" s="18" t="s">
        <v>109</v>
      </c>
      <c r="AJ39" s="18"/>
      <c r="AK39" s="18"/>
      <c r="AL39" s="18"/>
      <c r="AM39" s="18"/>
      <c r="AN39" s="19"/>
      <c r="AP39" s="20" t="s">
        <v>147</v>
      </c>
      <c r="AQ39" s="18" t="s">
        <v>148</v>
      </c>
      <c r="AR39" s="18" t="s">
        <v>123</v>
      </c>
      <c r="AS39" s="21">
        <v>2.5</v>
      </c>
      <c r="AT39" s="18" t="s">
        <v>5</v>
      </c>
      <c r="AU39" s="21">
        <v>15000</v>
      </c>
      <c r="AV39" s="19">
        <v>37500</v>
      </c>
      <c r="AX39" s="20" t="s">
        <v>147</v>
      </c>
      <c r="AY39" s="18" t="s">
        <v>148</v>
      </c>
      <c r="AZ39" s="18" t="s">
        <v>123</v>
      </c>
      <c r="BA39" s="21">
        <v>2.5</v>
      </c>
      <c r="BB39" s="18" t="s">
        <v>5</v>
      </c>
      <c r="BC39" s="21">
        <v>15000</v>
      </c>
      <c r="BD39" s="19">
        <v>37500</v>
      </c>
    </row>
    <row r="40" spans="1:56" ht="15.5" thickTop="1" thickBot="1" x14ac:dyDescent="0.4">
      <c r="A40" s="38" t="str">
        <v>NCGK0011</v>
      </c>
      <c r="B40" s="31" t="str">
        <f t="shared" si="4"/>
        <v>HAND GLOVES NITRILE SIZE M</v>
      </c>
      <c r="C40" s="31" t="str">
        <f t="shared" si="5"/>
        <v>NCG</v>
      </c>
      <c r="D40" s="66" t="str">
        <f t="shared" si="6"/>
        <v>pack</v>
      </c>
      <c r="E40" s="53">
        <f t="shared" si="7"/>
        <v>42951.97</v>
      </c>
      <c r="F40" s="48">
        <f t="shared" si="8"/>
        <v>19</v>
      </c>
      <c r="G40" s="67">
        <f t="shared" si="9"/>
        <v>20</v>
      </c>
      <c r="H40" s="67">
        <f t="shared" si="10"/>
        <v>1</v>
      </c>
      <c r="I40" s="53">
        <f t="shared" si="11"/>
        <v>42951.97</v>
      </c>
      <c r="J40" s="31" t="str">
        <f t="shared" si="12"/>
        <v>Kenaikan IU</v>
      </c>
      <c r="K40" s="42"/>
      <c r="X40" s="3" t="s">
        <v>85</v>
      </c>
      <c r="Y40" t="s">
        <v>86</v>
      </c>
      <c r="Z40" t="s">
        <v>67</v>
      </c>
      <c r="AA40" s="10">
        <v>3.5</v>
      </c>
      <c r="AB40" t="s">
        <v>87</v>
      </c>
      <c r="AC40" s="10">
        <v>18500</v>
      </c>
      <c r="AD40" s="4">
        <v>64750</v>
      </c>
      <c r="AG40" s="82" t="s">
        <v>35</v>
      </c>
      <c r="AH40" s="83" t="s">
        <v>11</v>
      </c>
      <c r="AI40" s="18" t="s">
        <v>851</v>
      </c>
      <c r="AJ40" s="18"/>
      <c r="AK40" s="18"/>
      <c r="AL40" s="18"/>
      <c r="AM40" s="18"/>
      <c r="AN40" s="19"/>
      <c r="AP40" s="20" t="s">
        <v>154</v>
      </c>
      <c r="AQ40" s="18" t="s">
        <v>155</v>
      </c>
      <c r="AR40" s="18" t="s">
        <v>151</v>
      </c>
      <c r="AS40" s="21">
        <v>20</v>
      </c>
      <c r="AT40" s="18" t="s">
        <v>20</v>
      </c>
      <c r="AU40" s="21">
        <v>968.92899999999997</v>
      </c>
      <c r="AV40" s="19">
        <v>19378.580000000002</v>
      </c>
      <c r="AX40" s="20" t="s">
        <v>154</v>
      </c>
      <c r="AY40" s="18" t="s">
        <v>155</v>
      </c>
      <c r="AZ40" s="18" t="s">
        <v>151</v>
      </c>
      <c r="BA40" s="21">
        <v>20</v>
      </c>
      <c r="BB40" s="18" t="s">
        <v>20</v>
      </c>
      <c r="BC40" s="21">
        <v>968.92899999999997</v>
      </c>
      <c r="BD40" s="19">
        <v>19378.580000000002</v>
      </c>
    </row>
    <row r="41" spans="1:56" ht="15" thickTop="1" x14ac:dyDescent="0.35">
      <c r="A41" s="38" t="str">
        <v>NCGK0012</v>
      </c>
      <c r="B41" s="31" t="str">
        <f t="shared" si="4"/>
        <v>HAND GLOVES NITRILE SIZE L</v>
      </c>
      <c r="C41" s="31" t="str">
        <f t="shared" si="5"/>
        <v>NCG</v>
      </c>
      <c r="D41" s="66" t="str">
        <f t="shared" si="6"/>
        <v>pack</v>
      </c>
      <c r="E41" s="53">
        <f t="shared" si="7"/>
        <v>41526.32</v>
      </c>
      <c r="F41" s="48">
        <f t="shared" si="8"/>
        <v>1</v>
      </c>
      <c r="G41" s="67">
        <f t="shared" si="9"/>
        <v>1</v>
      </c>
      <c r="H41" s="67">
        <f t="shared" si="10"/>
        <v>0</v>
      </c>
      <c r="I41" s="53">
        <f t="shared" si="11"/>
        <v>0</v>
      </c>
      <c r="J41" s="31" t="str">
        <f t="shared" si="12"/>
        <v>Tidak Ada Perubahan</v>
      </c>
      <c r="K41" s="42"/>
      <c r="O41" s="88" t="s">
        <v>0</v>
      </c>
      <c r="P41" s="89"/>
      <c r="Q41" s="89"/>
      <c r="R41" s="89"/>
      <c r="S41" s="89"/>
      <c r="T41" s="1"/>
      <c r="U41" s="1"/>
      <c r="V41" s="2"/>
      <c r="X41" s="3" t="s">
        <v>242</v>
      </c>
      <c r="Y41" t="s">
        <v>243</v>
      </c>
      <c r="Z41" t="s">
        <v>67</v>
      </c>
      <c r="AA41" s="10">
        <v>4</v>
      </c>
      <c r="AB41" t="s">
        <v>87</v>
      </c>
      <c r="AC41" s="10">
        <v>14500</v>
      </c>
      <c r="AD41" s="4">
        <v>58000</v>
      </c>
      <c r="AG41" s="20"/>
      <c r="AH41" s="18"/>
      <c r="AI41" s="18"/>
      <c r="AJ41" s="18"/>
      <c r="AK41" s="18"/>
      <c r="AL41" s="18"/>
      <c r="AM41" s="18"/>
      <c r="AN41" s="19"/>
      <c r="AP41" s="20" t="s">
        <v>156</v>
      </c>
      <c r="AQ41" s="18" t="s">
        <v>157</v>
      </c>
      <c r="AR41" s="18" t="s">
        <v>151</v>
      </c>
      <c r="AS41" s="21">
        <v>15</v>
      </c>
      <c r="AT41" s="18" t="s">
        <v>20</v>
      </c>
      <c r="AU41" s="21">
        <v>2647.1298999999999</v>
      </c>
      <c r="AV41" s="19">
        <v>39706.948499999999</v>
      </c>
      <c r="AX41" s="20" t="s">
        <v>156</v>
      </c>
      <c r="AY41" s="18" t="s">
        <v>157</v>
      </c>
      <c r="AZ41" s="18" t="s">
        <v>151</v>
      </c>
      <c r="BA41" s="21">
        <v>15</v>
      </c>
      <c r="BB41" s="18" t="s">
        <v>20</v>
      </c>
      <c r="BC41" s="21">
        <v>2647.1298999999999</v>
      </c>
      <c r="BD41" s="19">
        <v>39706.948499999999</v>
      </c>
    </row>
    <row r="42" spans="1:56" x14ac:dyDescent="0.35">
      <c r="A42" s="38" t="str">
        <v>NCGS0001</v>
      </c>
      <c r="B42" s="31" t="str">
        <f t="shared" si="4"/>
        <v>TISSUE COCKTAIL NAPKIN 11x11 (48 PACK)</v>
      </c>
      <c r="C42" s="31" t="str">
        <f t="shared" si="5"/>
        <v>NCG</v>
      </c>
      <c r="D42" s="66" t="str">
        <f t="shared" si="6"/>
        <v>pack</v>
      </c>
      <c r="E42" s="53">
        <f t="shared" si="7"/>
        <v>4604.1400000000003</v>
      </c>
      <c r="F42" s="48">
        <f t="shared" si="8"/>
        <v>140</v>
      </c>
      <c r="G42" s="67">
        <f t="shared" si="9"/>
        <v>131</v>
      </c>
      <c r="H42" s="67">
        <f t="shared" si="10"/>
        <v>-9</v>
      </c>
      <c r="I42" s="53">
        <f t="shared" si="11"/>
        <v>-41437.26</v>
      </c>
      <c r="J42" s="31" t="str">
        <f t="shared" si="12"/>
        <v>Penurunan IU</v>
      </c>
      <c r="K42" s="42"/>
      <c r="O42" s="86" t="s">
        <v>1</v>
      </c>
      <c r="P42" s="87"/>
      <c r="Q42" s="87"/>
      <c r="R42" s="87"/>
      <c r="S42" s="87"/>
      <c r="V42" s="4"/>
      <c r="X42" s="3" t="s">
        <v>88</v>
      </c>
      <c r="Y42" t="s">
        <v>89</v>
      </c>
      <c r="Z42" t="s">
        <v>67</v>
      </c>
      <c r="AA42" s="10">
        <v>1</v>
      </c>
      <c r="AB42" t="s">
        <v>5</v>
      </c>
      <c r="AC42" s="10">
        <v>1750</v>
      </c>
      <c r="AD42" s="4">
        <v>1750</v>
      </c>
      <c r="AG42" s="20" t="s">
        <v>42</v>
      </c>
      <c r="AH42" s="18" t="s">
        <v>43</v>
      </c>
      <c r="AI42" s="18" t="s">
        <v>44</v>
      </c>
      <c r="AJ42" s="18" t="s">
        <v>45</v>
      </c>
      <c r="AK42" s="18" t="s">
        <v>46</v>
      </c>
      <c r="AL42" s="18" t="s">
        <v>47</v>
      </c>
      <c r="AM42" s="18" t="s">
        <v>48</v>
      </c>
      <c r="AN42" s="19" t="s">
        <v>49</v>
      </c>
      <c r="AP42" s="20" t="s">
        <v>468</v>
      </c>
      <c r="AQ42" s="18" t="s">
        <v>469</v>
      </c>
      <c r="AR42" s="18" t="s">
        <v>151</v>
      </c>
      <c r="AS42" s="21">
        <v>176</v>
      </c>
      <c r="AT42" s="18" t="s">
        <v>20</v>
      </c>
      <c r="AU42" s="21">
        <v>994.91219999999998</v>
      </c>
      <c r="AV42" s="19">
        <v>175104.5472</v>
      </c>
      <c r="AX42" s="20" t="s">
        <v>468</v>
      </c>
      <c r="AY42" s="18" t="s">
        <v>469</v>
      </c>
      <c r="AZ42" s="18" t="s">
        <v>151</v>
      </c>
      <c r="BA42" s="21">
        <v>176</v>
      </c>
      <c r="BB42" s="18" t="s">
        <v>20</v>
      </c>
      <c r="BC42" s="21">
        <v>994.91219999999998</v>
      </c>
      <c r="BD42" s="19">
        <v>175104.5472</v>
      </c>
    </row>
    <row r="43" spans="1:56" x14ac:dyDescent="0.35">
      <c r="A43" s="38" t="str">
        <v>NCGS0002</v>
      </c>
      <c r="B43" s="31" t="str">
        <f t="shared" si="4"/>
        <v>TUSUK GIGI ION @ 500 PCS</v>
      </c>
      <c r="C43" s="31" t="str">
        <f t="shared" si="5"/>
        <v>NCG</v>
      </c>
      <c r="D43" s="66" t="str">
        <f t="shared" si="6"/>
        <v>pack</v>
      </c>
      <c r="E43" s="53">
        <f t="shared" si="7"/>
        <v>15000</v>
      </c>
      <c r="F43" s="48">
        <f t="shared" si="8"/>
        <v>2.5</v>
      </c>
      <c r="G43" s="67">
        <f t="shared" si="9"/>
        <v>2.5</v>
      </c>
      <c r="H43" s="67">
        <f t="shared" si="10"/>
        <v>0</v>
      </c>
      <c r="I43" s="53">
        <f t="shared" si="11"/>
        <v>0</v>
      </c>
      <c r="J43" s="31" t="str">
        <f t="shared" si="12"/>
        <v>Tidak Ada Perubahan</v>
      </c>
      <c r="K43" s="42"/>
      <c r="O43" s="3"/>
      <c r="V43" s="4"/>
      <c r="X43" s="3" t="s">
        <v>327</v>
      </c>
      <c r="Y43" t="s">
        <v>328</v>
      </c>
      <c r="Z43" t="s">
        <v>67</v>
      </c>
      <c r="AA43" s="10">
        <v>0.5</v>
      </c>
      <c r="AB43" t="s">
        <v>5</v>
      </c>
      <c r="AC43" s="10">
        <v>6250</v>
      </c>
      <c r="AD43" s="4">
        <v>3125</v>
      </c>
      <c r="AG43" s="20">
        <v>1</v>
      </c>
      <c r="AH43" s="18" t="s">
        <v>65</v>
      </c>
      <c r="AI43" s="18" t="s">
        <v>66</v>
      </c>
      <c r="AJ43" s="18" t="s">
        <v>67</v>
      </c>
      <c r="AK43" s="21">
        <v>16</v>
      </c>
      <c r="AL43" s="18" t="s">
        <v>20</v>
      </c>
      <c r="AM43" s="21">
        <v>415.38459999999998</v>
      </c>
      <c r="AN43" s="19">
        <v>6646.1535999999996</v>
      </c>
      <c r="AP43" s="20" t="s">
        <v>276</v>
      </c>
      <c r="AQ43" s="18" t="s">
        <v>277</v>
      </c>
      <c r="AR43" s="18" t="s">
        <v>151</v>
      </c>
      <c r="AS43" s="18">
        <v>10</v>
      </c>
      <c r="AT43" s="18" t="s">
        <v>52</v>
      </c>
      <c r="AU43" s="18">
        <v>1756.05</v>
      </c>
      <c r="AV43" s="19">
        <v>17560.5</v>
      </c>
      <c r="AX43" s="20" t="s">
        <v>276</v>
      </c>
      <c r="AY43" s="18" t="s">
        <v>277</v>
      </c>
      <c r="AZ43" s="18" t="s">
        <v>151</v>
      </c>
      <c r="BA43" s="18">
        <v>10</v>
      </c>
      <c r="BB43" s="18" t="s">
        <v>52</v>
      </c>
      <c r="BC43" s="18">
        <v>1756.05</v>
      </c>
      <c r="BD43" s="19">
        <v>17560.5</v>
      </c>
    </row>
    <row r="44" spans="1:56" x14ac:dyDescent="0.35">
      <c r="A44" s="38" t="str">
        <v>OTH00064</v>
      </c>
      <c r="B44" s="31" t="str">
        <f t="shared" si="4"/>
        <v>LILIN MEJA / TEALIGHT</v>
      </c>
      <c r="C44" s="31" t="str">
        <f t="shared" si="5"/>
        <v>OTHERS</v>
      </c>
      <c r="D44" s="66" t="str">
        <f t="shared" si="6"/>
        <v>pcs</v>
      </c>
      <c r="E44" s="53">
        <f t="shared" si="7"/>
        <v>968.93</v>
      </c>
      <c r="F44" s="48">
        <f t="shared" si="8"/>
        <v>30</v>
      </c>
      <c r="G44" s="67">
        <f t="shared" si="9"/>
        <v>20</v>
      </c>
      <c r="H44" s="67">
        <f t="shared" si="10"/>
        <v>-10</v>
      </c>
      <c r="I44" s="53">
        <f t="shared" si="11"/>
        <v>-9689.2999999999993</v>
      </c>
      <c r="J44" s="31" t="str">
        <f t="shared" si="12"/>
        <v>Penurunan IU</v>
      </c>
      <c r="K44" s="42"/>
      <c r="O44" s="86" t="s">
        <v>10</v>
      </c>
      <c r="P44" s="87" t="s">
        <v>11</v>
      </c>
      <c r="Q44" t="s">
        <v>645</v>
      </c>
      <c r="V44" s="4"/>
      <c r="X44" s="3" t="s">
        <v>90</v>
      </c>
      <c r="Y44" t="s">
        <v>91</v>
      </c>
      <c r="Z44" t="s">
        <v>67</v>
      </c>
      <c r="AA44" s="10">
        <v>0.1</v>
      </c>
      <c r="AB44" t="s">
        <v>5</v>
      </c>
      <c r="AC44" s="10">
        <v>6250</v>
      </c>
      <c r="AD44" s="4">
        <v>625</v>
      </c>
      <c r="AG44" s="20">
        <v>2</v>
      </c>
      <c r="AH44" s="18" t="s">
        <v>70</v>
      </c>
      <c r="AI44" s="18" t="s">
        <v>71</v>
      </c>
      <c r="AJ44" s="18" t="s">
        <v>67</v>
      </c>
      <c r="AK44" s="21">
        <v>10</v>
      </c>
      <c r="AL44" s="18" t="s">
        <v>5</v>
      </c>
      <c r="AM44" s="21">
        <v>9413.2668000000012</v>
      </c>
      <c r="AN44" s="19">
        <v>94132.668000000005</v>
      </c>
      <c r="AP44" s="20" t="s">
        <v>65</v>
      </c>
      <c r="AQ44" s="18" t="s">
        <v>66</v>
      </c>
      <c r="AR44" s="18" t="s">
        <v>67</v>
      </c>
      <c r="AS44" s="21">
        <v>16</v>
      </c>
      <c r="AT44" s="18" t="s">
        <v>20</v>
      </c>
      <c r="AU44" s="21">
        <v>415.38459999999998</v>
      </c>
      <c r="AV44" s="19">
        <v>6646.1535999999996</v>
      </c>
      <c r="AX44" s="20" t="s">
        <v>65</v>
      </c>
      <c r="AY44" s="18" t="s">
        <v>66</v>
      </c>
      <c r="AZ44" s="18" t="s">
        <v>67</v>
      </c>
      <c r="BA44" s="21">
        <v>16</v>
      </c>
      <c r="BB44" s="18" t="s">
        <v>20</v>
      </c>
      <c r="BC44" s="21">
        <v>415.38459999999998</v>
      </c>
      <c r="BD44" s="19">
        <v>6646.1535999999996</v>
      </c>
    </row>
    <row r="45" spans="1:56" x14ac:dyDescent="0.35">
      <c r="A45" s="38" t="str">
        <v>OTH00073</v>
      </c>
      <c r="B45" s="31" t="str">
        <f t="shared" si="4"/>
        <v>MASKER</v>
      </c>
      <c r="C45" s="31" t="str">
        <f t="shared" si="5"/>
        <v>OTHERS</v>
      </c>
      <c r="D45" s="66" t="str">
        <f t="shared" si="6"/>
        <v>pcs</v>
      </c>
      <c r="E45" s="53">
        <f t="shared" si="7"/>
        <v>2647.13</v>
      </c>
      <c r="F45" s="48">
        <f t="shared" si="8"/>
        <v>7</v>
      </c>
      <c r="G45" s="67">
        <f t="shared" si="9"/>
        <v>15</v>
      </c>
      <c r="H45" s="67">
        <f t="shared" si="10"/>
        <v>8</v>
      </c>
      <c r="I45" s="53">
        <f t="shared" si="11"/>
        <v>21177.040000000001</v>
      </c>
      <c r="J45" s="31" t="str">
        <f t="shared" si="12"/>
        <v>Kenaikan IU</v>
      </c>
      <c r="K45" s="42"/>
      <c r="O45" s="86" t="s">
        <v>16</v>
      </c>
      <c r="P45" s="87" t="s">
        <v>11</v>
      </c>
      <c r="Q45" t="s">
        <v>17</v>
      </c>
      <c r="V45" s="4"/>
      <c r="X45" s="3" t="s">
        <v>516</v>
      </c>
      <c r="Y45" t="s">
        <v>517</v>
      </c>
      <c r="Z45" t="s">
        <v>67</v>
      </c>
      <c r="AA45" s="10">
        <v>0.5</v>
      </c>
      <c r="AB45" t="s">
        <v>5</v>
      </c>
      <c r="AC45" s="10">
        <v>10000</v>
      </c>
      <c r="AD45" s="4">
        <v>5000</v>
      </c>
      <c r="AG45" s="20">
        <v>3</v>
      </c>
      <c r="AH45" s="18" t="s">
        <v>230</v>
      </c>
      <c r="AI45" s="18" t="s">
        <v>231</v>
      </c>
      <c r="AJ45" s="18" t="s">
        <v>67</v>
      </c>
      <c r="AK45" s="21">
        <v>4</v>
      </c>
      <c r="AL45" s="18" t="s">
        <v>5</v>
      </c>
      <c r="AM45" s="21">
        <v>9000</v>
      </c>
      <c r="AN45" s="19">
        <v>36000</v>
      </c>
      <c r="AP45" s="20" t="s">
        <v>70</v>
      </c>
      <c r="AQ45" s="18" t="s">
        <v>71</v>
      </c>
      <c r="AR45" s="18" t="s">
        <v>67</v>
      </c>
      <c r="AS45" s="21">
        <v>10</v>
      </c>
      <c r="AT45" s="18" t="s">
        <v>5</v>
      </c>
      <c r="AU45" s="21">
        <v>9413.2668000000012</v>
      </c>
      <c r="AV45" s="19">
        <v>94132.668000000005</v>
      </c>
      <c r="AX45" s="20" t="s">
        <v>70</v>
      </c>
      <c r="AY45" s="18" t="s">
        <v>71</v>
      </c>
      <c r="AZ45" s="18" t="s">
        <v>67</v>
      </c>
      <c r="BA45" s="21">
        <v>10</v>
      </c>
      <c r="BB45" s="18" t="s">
        <v>5</v>
      </c>
      <c r="BC45" s="21">
        <v>9413.2668000000012</v>
      </c>
      <c r="BD45" s="19">
        <v>94132.668000000005</v>
      </c>
    </row>
    <row r="46" spans="1:56" x14ac:dyDescent="0.35">
      <c r="A46" s="38" t="str">
        <v>OTH00190</v>
      </c>
      <c r="B46" s="31" t="str">
        <f t="shared" si="4"/>
        <v>SUMBU LILIN PELAMPUNG SERAT KAYU</v>
      </c>
      <c r="C46" s="31" t="str">
        <f t="shared" si="5"/>
        <v>OTHERS</v>
      </c>
      <c r="D46" s="66" t="str">
        <f t="shared" si="6"/>
        <v>pcs</v>
      </c>
      <c r="E46" s="53">
        <f t="shared" si="7"/>
        <v>994.91</v>
      </c>
      <c r="F46" s="48">
        <f t="shared" si="8"/>
        <v>44</v>
      </c>
      <c r="G46" s="67">
        <f t="shared" si="9"/>
        <v>176</v>
      </c>
      <c r="H46" s="67">
        <f t="shared" si="10"/>
        <v>132</v>
      </c>
      <c r="I46" s="53">
        <f t="shared" si="11"/>
        <v>131328.12</v>
      </c>
      <c r="J46" s="31" t="str">
        <f t="shared" si="12"/>
        <v>Kenaikan IU</v>
      </c>
      <c r="K46" s="42"/>
      <c r="O46" s="86" t="s">
        <v>21</v>
      </c>
      <c r="P46" s="87" t="s">
        <v>11</v>
      </c>
      <c r="Q46" t="s">
        <v>640</v>
      </c>
      <c r="V46" s="4"/>
      <c r="X46" s="3" t="s">
        <v>92</v>
      </c>
      <c r="Y46" t="s">
        <v>93</v>
      </c>
      <c r="Z46" t="s">
        <v>67</v>
      </c>
      <c r="AA46" s="10">
        <v>56</v>
      </c>
      <c r="AB46" t="s">
        <v>94</v>
      </c>
      <c r="AC46" s="10">
        <v>11800.754800000001</v>
      </c>
      <c r="AD46" s="4">
        <v>660842.26879999996</v>
      </c>
      <c r="AG46" s="20">
        <v>4</v>
      </c>
      <c r="AH46" s="18" t="s">
        <v>509</v>
      </c>
      <c r="AI46" s="18" t="s">
        <v>510</v>
      </c>
      <c r="AJ46" s="18" t="s">
        <v>67</v>
      </c>
      <c r="AK46" s="21">
        <v>0.8</v>
      </c>
      <c r="AL46" s="18" t="s">
        <v>5</v>
      </c>
      <c r="AM46" s="21">
        <v>6250</v>
      </c>
      <c r="AN46" s="19">
        <v>5000</v>
      </c>
      <c r="AP46" s="20" t="s">
        <v>230</v>
      </c>
      <c r="AQ46" s="18" t="s">
        <v>231</v>
      </c>
      <c r="AR46" s="18" t="s">
        <v>67</v>
      </c>
      <c r="AS46" s="21">
        <v>4</v>
      </c>
      <c r="AT46" s="18" t="s">
        <v>5</v>
      </c>
      <c r="AU46" s="21">
        <v>9000</v>
      </c>
      <c r="AV46" s="19">
        <v>36000</v>
      </c>
      <c r="AX46" s="20" t="s">
        <v>230</v>
      </c>
      <c r="AY46" s="18" t="s">
        <v>231</v>
      </c>
      <c r="AZ46" s="18" t="s">
        <v>67</v>
      </c>
      <c r="BA46" s="21">
        <v>4</v>
      </c>
      <c r="BB46" s="18" t="s">
        <v>5</v>
      </c>
      <c r="BC46" s="21">
        <v>9000</v>
      </c>
      <c r="BD46" s="19">
        <v>36000</v>
      </c>
    </row>
    <row r="47" spans="1:56" x14ac:dyDescent="0.35">
      <c r="A47" s="38" t="str">
        <v>OTH00208</v>
      </c>
      <c r="B47" s="31" t="str">
        <f t="shared" si="4"/>
        <v>STICKER PIPI MERAH PUTIH</v>
      </c>
      <c r="C47" s="31" t="str">
        <f t="shared" si="5"/>
        <v>OTHERS</v>
      </c>
      <c r="D47" s="66" t="str">
        <f t="shared" si="6"/>
        <v>lembar</v>
      </c>
      <c r="E47" s="53">
        <f t="shared" si="7"/>
        <v>1756.05</v>
      </c>
      <c r="F47" s="48" t="str">
        <f t="shared" si="8"/>
        <v>0</v>
      </c>
      <c r="G47" s="67">
        <f t="shared" si="9"/>
        <v>10</v>
      </c>
      <c r="H47" s="67">
        <f t="shared" si="10"/>
        <v>10</v>
      </c>
      <c r="I47" s="53">
        <f t="shared" si="11"/>
        <v>17560.5</v>
      </c>
      <c r="J47" s="31" t="str">
        <f t="shared" si="12"/>
        <v>Kenaikan IU</v>
      </c>
      <c r="K47" s="42"/>
      <c r="O47" s="86" t="s">
        <v>26</v>
      </c>
      <c r="P47" s="87" t="s">
        <v>11</v>
      </c>
      <c r="Q47" t="s">
        <v>646</v>
      </c>
      <c r="V47" s="4"/>
      <c r="X47" s="3" t="s">
        <v>518</v>
      </c>
      <c r="Y47" t="s">
        <v>519</v>
      </c>
      <c r="Z47" t="s">
        <v>67</v>
      </c>
      <c r="AA47" s="10">
        <v>1</v>
      </c>
      <c r="AB47" t="s">
        <v>98</v>
      </c>
      <c r="AC47" s="10">
        <v>18000</v>
      </c>
      <c r="AD47" s="4">
        <v>18000</v>
      </c>
      <c r="AG47" s="20">
        <v>5</v>
      </c>
      <c r="AH47" s="18" t="s">
        <v>72</v>
      </c>
      <c r="AI47" s="18" t="s">
        <v>73</v>
      </c>
      <c r="AJ47" s="18" t="s">
        <v>67</v>
      </c>
      <c r="AK47" s="21">
        <v>11</v>
      </c>
      <c r="AL47" s="18" t="s">
        <v>74</v>
      </c>
      <c r="AM47" s="21">
        <v>2887.5</v>
      </c>
      <c r="AN47" s="19">
        <v>31762.5</v>
      </c>
      <c r="AP47" s="20" t="s">
        <v>509</v>
      </c>
      <c r="AQ47" s="18" t="s">
        <v>510</v>
      </c>
      <c r="AR47" s="18" t="s">
        <v>67</v>
      </c>
      <c r="AS47" s="21">
        <v>0.8</v>
      </c>
      <c r="AT47" s="18" t="s">
        <v>5</v>
      </c>
      <c r="AU47" s="21">
        <v>6250</v>
      </c>
      <c r="AV47" s="19">
        <v>5000</v>
      </c>
      <c r="AX47" s="20" t="s">
        <v>509</v>
      </c>
      <c r="AY47" s="18" t="s">
        <v>510</v>
      </c>
      <c r="AZ47" s="18" t="s">
        <v>67</v>
      </c>
      <c r="BA47" s="21">
        <v>0.8</v>
      </c>
      <c r="BB47" s="18" t="s">
        <v>5</v>
      </c>
      <c r="BC47" s="21">
        <v>6250</v>
      </c>
      <c r="BD47" s="19">
        <v>5000</v>
      </c>
    </row>
    <row r="48" spans="1:56" x14ac:dyDescent="0.35">
      <c r="A48" s="38" t="str">
        <v>STA00003</v>
      </c>
      <c r="B48" s="31" t="str">
        <f t="shared" si="4"/>
        <v>AMPLOP COKLAT</v>
      </c>
      <c r="C48" s="31" t="str">
        <f t="shared" si="5"/>
        <v>STATIONARY AND OFFICE SUPPLIES</v>
      </c>
      <c r="D48" s="66" t="str">
        <f t="shared" si="6"/>
        <v>pcs</v>
      </c>
      <c r="E48" s="53">
        <f t="shared" si="7"/>
        <v>415.38</v>
      </c>
      <c r="F48" s="48">
        <f t="shared" si="8"/>
        <v>20</v>
      </c>
      <c r="G48" s="67">
        <f t="shared" si="9"/>
        <v>16</v>
      </c>
      <c r="H48" s="67">
        <f t="shared" si="10"/>
        <v>-4</v>
      </c>
      <c r="I48" s="53">
        <f t="shared" si="11"/>
        <v>-1661.52</v>
      </c>
      <c r="J48" s="31" t="str">
        <f t="shared" si="12"/>
        <v>Penurunan IU</v>
      </c>
      <c r="K48" s="42"/>
      <c r="O48" s="86" t="s">
        <v>31</v>
      </c>
      <c r="P48" s="87" t="s">
        <v>11</v>
      </c>
      <c r="Q48" t="s">
        <v>109</v>
      </c>
      <c r="V48" s="4"/>
      <c r="X48" s="3" t="s">
        <v>96</v>
      </c>
      <c r="Y48" t="s">
        <v>97</v>
      </c>
      <c r="Z48" t="s">
        <v>67</v>
      </c>
      <c r="AA48" s="10">
        <v>1</v>
      </c>
      <c r="AB48" t="s">
        <v>98</v>
      </c>
      <c r="AC48" s="10">
        <v>8500</v>
      </c>
      <c r="AD48" s="4">
        <v>8500</v>
      </c>
      <c r="AG48" s="20">
        <v>6</v>
      </c>
      <c r="AH48" s="18" t="s">
        <v>512</v>
      </c>
      <c r="AI48" s="18" t="s">
        <v>513</v>
      </c>
      <c r="AJ48" s="18" t="s">
        <v>67</v>
      </c>
      <c r="AK48" s="21">
        <v>2</v>
      </c>
      <c r="AL48" s="18" t="s">
        <v>486</v>
      </c>
      <c r="AM48" s="21">
        <v>27666.666700000002</v>
      </c>
      <c r="AN48" s="19">
        <v>55333.333400000003</v>
      </c>
      <c r="AP48" s="20" t="s">
        <v>72</v>
      </c>
      <c r="AQ48" s="18" t="s">
        <v>73</v>
      </c>
      <c r="AR48" s="18" t="s">
        <v>67</v>
      </c>
      <c r="AS48" s="21">
        <v>11</v>
      </c>
      <c r="AT48" s="18" t="s">
        <v>74</v>
      </c>
      <c r="AU48" s="21">
        <v>2887.5</v>
      </c>
      <c r="AV48" s="19">
        <v>31762.5</v>
      </c>
      <c r="AX48" s="20" t="s">
        <v>72</v>
      </c>
      <c r="AY48" s="18" t="s">
        <v>73</v>
      </c>
      <c r="AZ48" s="18" t="s">
        <v>67</v>
      </c>
      <c r="BA48" s="21">
        <v>11</v>
      </c>
      <c r="BB48" s="18" t="s">
        <v>74</v>
      </c>
      <c r="BC48" s="21">
        <v>2887.5</v>
      </c>
      <c r="BD48" s="19">
        <v>31762.5</v>
      </c>
    </row>
    <row r="49" spans="1:56" x14ac:dyDescent="0.35">
      <c r="A49" s="38" t="str">
        <v>STA00019</v>
      </c>
      <c r="B49" s="31" t="str">
        <f t="shared" si="4"/>
        <v>BATERAI AAA</v>
      </c>
      <c r="C49" s="31" t="str">
        <f t="shared" si="5"/>
        <v>STATIONARY AND OFFICE SUPPLIES</v>
      </c>
      <c r="D49" s="66" t="str">
        <f t="shared" si="6"/>
        <v>pack</v>
      </c>
      <c r="E49" s="53">
        <f t="shared" si="7"/>
        <v>9413.27</v>
      </c>
      <c r="F49" s="48" t="str">
        <f t="shared" si="8"/>
        <v>0</v>
      </c>
      <c r="G49" s="67">
        <f t="shared" si="9"/>
        <v>10</v>
      </c>
      <c r="H49" s="67">
        <f t="shared" si="10"/>
        <v>10</v>
      </c>
      <c r="I49" s="53">
        <f t="shared" si="11"/>
        <v>94132.700000000012</v>
      </c>
      <c r="J49" s="31" t="str">
        <f t="shared" si="12"/>
        <v>Kenaikan IU</v>
      </c>
      <c r="K49" s="42"/>
      <c r="O49" s="86" t="s">
        <v>35</v>
      </c>
      <c r="P49" s="87" t="s">
        <v>11</v>
      </c>
      <c r="Q49" t="s">
        <v>647</v>
      </c>
      <c r="V49" s="4"/>
      <c r="X49" s="3" t="s">
        <v>520</v>
      </c>
      <c r="Y49" t="s">
        <v>521</v>
      </c>
      <c r="Z49" t="s">
        <v>67</v>
      </c>
      <c r="AA49" s="10">
        <v>1</v>
      </c>
      <c r="AB49" t="s">
        <v>5</v>
      </c>
      <c r="AC49" s="10">
        <v>10000</v>
      </c>
      <c r="AD49" s="4">
        <v>10000</v>
      </c>
      <c r="AG49" s="20">
        <v>7</v>
      </c>
      <c r="AH49" s="18" t="s">
        <v>83</v>
      </c>
      <c r="AI49" s="18" t="s">
        <v>84</v>
      </c>
      <c r="AJ49" s="18" t="s">
        <v>67</v>
      </c>
      <c r="AK49" s="21">
        <v>1</v>
      </c>
      <c r="AL49" s="18" t="s">
        <v>20</v>
      </c>
      <c r="AM49" s="21">
        <v>7250</v>
      </c>
      <c r="AN49" s="19">
        <v>7250</v>
      </c>
      <c r="AP49" s="20" t="s">
        <v>512</v>
      </c>
      <c r="AQ49" s="18" t="s">
        <v>513</v>
      </c>
      <c r="AR49" s="18" t="s">
        <v>67</v>
      </c>
      <c r="AS49" s="21">
        <v>2</v>
      </c>
      <c r="AT49" s="18" t="s">
        <v>486</v>
      </c>
      <c r="AU49" s="21">
        <v>27666.666700000002</v>
      </c>
      <c r="AV49" s="19">
        <v>55333.333400000003</v>
      </c>
      <c r="AX49" s="20" t="s">
        <v>512</v>
      </c>
      <c r="AY49" s="18" t="s">
        <v>513</v>
      </c>
      <c r="AZ49" s="18" t="s">
        <v>67</v>
      </c>
      <c r="BA49" s="21">
        <v>2</v>
      </c>
      <c r="BB49" s="18" t="s">
        <v>486</v>
      </c>
      <c r="BC49" s="21">
        <v>27666.666700000002</v>
      </c>
      <c r="BD49" s="19">
        <v>55333.333400000003</v>
      </c>
    </row>
    <row r="50" spans="1:56" x14ac:dyDescent="0.35">
      <c r="A50" s="38" t="str">
        <v>STA00020</v>
      </c>
      <c r="B50" s="31" t="str">
        <f t="shared" si="4"/>
        <v>BATERAI AA</v>
      </c>
      <c r="C50" s="31" t="str">
        <f t="shared" si="5"/>
        <v>STATIONARY AND OFFICE SUPPLIES</v>
      </c>
      <c r="D50" s="66" t="str">
        <f t="shared" si="6"/>
        <v>pack</v>
      </c>
      <c r="E50" s="53">
        <f t="shared" si="7"/>
        <v>9000</v>
      </c>
      <c r="F50" s="48" t="str">
        <f t="shared" si="8"/>
        <v>0</v>
      </c>
      <c r="G50" s="67">
        <f t="shared" si="9"/>
        <v>4</v>
      </c>
      <c r="H50" s="67">
        <f t="shared" si="10"/>
        <v>4</v>
      </c>
      <c r="I50" s="53">
        <f t="shared" si="11"/>
        <v>36000</v>
      </c>
      <c r="J50" s="31" t="str">
        <f t="shared" si="12"/>
        <v>Kenaikan IU</v>
      </c>
      <c r="K50" s="42"/>
      <c r="O50" s="3"/>
      <c r="V50" s="4"/>
      <c r="X50" s="3" t="s">
        <v>100</v>
      </c>
      <c r="Y50" t="s">
        <v>101</v>
      </c>
      <c r="Z50" t="s">
        <v>67</v>
      </c>
      <c r="AA50" s="10">
        <v>1</v>
      </c>
      <c r="AB50" t="s">
        <v>87</v>
      </c>
      <c r="AC50" s="10">
        <v>8318.75</v>
      </c>
      <c r="AD50" s="4">
        <v>8318.75</v>
      </c>
      <c r="AG50" s="20">
        <v>8</v>
      </c>
      <c r="AH50" s="18" t="s">
        <v>85</v>
      </c>
      <c r="AI50" s="18" t="s">
        <v>86</v>
      </c>
      <c r="AJ50" s="18" t="s">
        <v>67</v>
      </c>
      <c r="AK50" s="21">
        <v>1.1000000000000001</v>
      </c>
      <c r="AL50" s="18" t="s">
        <v>87</v>
      </c>
      <c r="AM50" s="21">
        <v>15500</v>
      </c>
      <c r="AN50" s="19">
        <v>17050</v>
      </c>
      <c r="AP50" s="20" t="s">
        <v>83</v>
      </c>
      <c r="AQ50" s="18" t="s">
        <v>84</v>
      </c>
      <c r="AR50" s="18" t="s">
        <v>67</v>
      </c>
      <c r="AS50" s="21">
        <v>1</v>
      </c>
      <c r="AT50" s="18" t="s">
        <v>20</v>
      </c>
      <c r="AU50" s="21">
        <v>7250</v>
      </c>
      <c r="AV50" s="19">
        <v>7250</v>
      </c>
      <c r="AX50" s="20" t="s">
        <v>83</v>
      </c>
      <c r="AY50" s="18" t="s">
        <v>84</v>
      </c>
      <c r="AZ50" s="18" t="s">
        <v>67</v>
      </c>
      <c r="BA50" s="21">
        <v>1</v>
      </c>
      <c r="BB50" s="18" t="s">
        <v>20</v>
      </c>
      <c r="BC50" s="21">
        <v>7250</v>
      </c>
      <c r="BD50" s="19">
        <v>7250</v>
      </c>
    </row>
    <row r="51" spans="1:56" x14ac:dyDescent="0.35">
      <c r="A51" s="38" t="str">
        <v>STA00024</v>
      </c>
      <c r="B51" s="31" t="str">
        <f t="shared" si="4"/>
        <v>TOM&amp;JERRY 112</v>
      </c>
      <c r="C51" s="31" t="str">
        <f t="shared" si="5"/>
        <v>STATIONARY AND OFFICE SUPPLIES</v>
      </c>
      <c r="D51" s="66" t="str">
        <f t="shared" si="6"/>
        <v>pack</v>
      </c>
      <c r="E51" s="53">
        <f t="shared" si="7"/>
        <v>6250</v>
      </c>
      <c r="F51" s="48">
        <f t="shared" si="8"/>
        <v>0.2</v>
      </c>
      <c r="G51" s="67">
        <f t="shared" si="9"/>
        <v>0.8</v>
      </c>
      <c r="H51" s="67">
        <f t="shared" si="10"/>
        <v>0.60000000000000009</v>
      </c>
      <c r="I51" s="53">
        <f t="shared" si="11"/>
        <v>3750.0000000000005</v>
      </c>
      <c r="J51" s="31" t="str">
        <f t="shared" si="12"/>
        <v>Kenaikan IU</v>
      </c>
      <c r="K51" s="42"/>
      <c r="O51" s="3" t="s">
        <v>42</v>
      </c>
      <c r="P51" t="s">
        <v>43</v>
      </c>
      <c r="Q51" t="s">
        <v>44</v>
      </c>
      <c r="R51" t="s">
        <v>45</v>
      </c>
      <c r="S51" t="s">
        <v>46</v>
      </c>
      <c r="T51" t="s">
        <v>47</v>
      </c>
      <c r="U51" t="s">
        <v>48</v>
      </c>
      <c r="V51" s="4" t="s">
        <v>49</v>
      </c>
      <c r="X51" s="3" t="s">
        <v>254</v>
      </c>
      <c r="Y51" t="s">
        <v>255</v>
      </c>
      <c r="Z51" t="s">
        <v>67</v>
      </c>
      <c r="AA51" s="10">
        <v>0.86</v>
      </c>
      <c r="AB51" t="s">
        <v>5</v>
      </c>
      <c r="AC51" s="10">
        <v>34500</v>
      </c>
      <c r="AD51" s="4">
        <v>29670</v>
      </c>
      <c r="AG51" s="20">
        <v>9</v>
      </c>
      <c r="AH51" s="18" t="s">
        <v>242</v>
      </c>
      <c r="AI51" s="18" t="s">
        <v>243</v>
      </c>
      <c r="AJ51" s="18" t="s">
        <v>67</v>
      </c>
      <c r="AK51" s="21">
        <v>1.2</v>
      </c>
      <c r="AL51" s="18" t="s">
        <v>87</v>
      </c>
      <c r="AM51" s="21">
        <v>13375</v>
      </c>
      <c r="AN51" s="19">
        <v>16050</v>
      </c>
      <c r="AP51" s="20" t="s">
        <v>85</v>
      </c>
      <c r="AQ51" s="18" t="s">
        <v>86</v>
      </c>
      <c r="AR51" s="18" t="s">
        <v>67</v>
      </c>
      <c r="AS51" s="21">
        <v>1.1000000000000001</v>
      </c>
      <c r="AT51" s="18" t="s">
        <v>87</v>
      </c>
      <c r="AU51" s="21">
        <v>15500</v>
      </c>
      <c r="AV51" s="19">
        <v>17050</v>
      </c>
      <c r="AX51" s="20" t="s">
        <v>85</v>
      </c>
      <c r="AY51" s="18" t="s">
        <v>86</v>
      </c>
      <c r="AZ51" s="18" t="s">
        <v>67</v>
      </c>
      <c r="BA51" s="21">
        <v>1.1000000000000001</v>
      </c>
      <c r="BB51" s="18" t="s">
        <v>87</v>
      </c>
      <c r="BC51" s="21">
        <v>15500</v>
      </c>
      <c r="BD51" s="19">
        <v>17050</v>
      </c>
    </row>
    <row r="52" spans="1:56" x14ac:dyDescent="0.35">
      <c r="A52" s="38" t="str">
        <v>STA00028</v>
      </c>
      <c r="B52" s="31" t="str">
        <f t="shared" si="4"/>
        <v>SOLATIP KECIL 12 MM</v>
      </c>
      <c r="C52" s="31" t="str">
        <f t="shared" si="5"/>
        <v>STATIONARY AND OFFICE SUPPLIES</v>
      </c>
      <c r="D52" s="66" t="str">
        <f t="shared" si="6"/>
        <v>roll</v>
      </c>
      <c r="E52" s="53">
        <f t="shared" si="7"/>
        <v>2887.5</v>
      </c>
      <c r="F52" s="48">
        <f t="shared" si="8"/>
        <v>5</v>
      </c>
      <c r="G52" s="67">
        <f t="shared" si="9"/>
        <v>11</v>
      </c>
      <c r="H52" s="67">
        <f t="shared" si="10"/>
        <v>6</v>
      </c>
      <c r="I52" s="53">
        <f t="shared" si="11"/>
        <v>17325</v>
      </c>
      <c r="J52" s="31" t="str">
        <f t="shared" si="12"/>
        <v>Kenaikan IU</v>
      </c>
      <c r="K52" s="42"/>
      <c r="O52" s="3">
        <v>1</v>
      </c>
      <c r="P52" t="s">
        <v>65</v>
      </c>
      <c r="Q52" t="s">
        <v>66</v>
      </c>
      <c r="R52" t="s">
        <v>67</v>
      </c>
      <c r="S52" s="10">
        <v>20</v>
      </c>
      <c r="T52" t="s">
        <v>20</v>
      </c>
      <c r="U52" s="10">
        <v>320</v>
      </c>
      <c r="V52" s="4">
        <v>6400</v>
      </c>
      <c r="X52" s="3" t="s">
        <v>522</v>
      </c>
      <c r="Y52" t="s">
        <v>523</v>
      </c>
      <c r="Z52" t="s">
        <v>67</v>
      </c>
      <c r="AA52" s="10">
        <v>1</v>
      </c>
      <c r="AB52" t="s">
        <v>160</v>
      </c>
      <c r="AC52" s="10">
        <v>10500</v>
      </c>
      <c r="AD52" s="4">
        <v>10500</v>
      </c>
      <c r="AG52" s="20">
        <v>10</v>
      </c>
      <c r="AH52" s="18" t="s">
        <v>246</v>
      </c>
      <c r="AI52" s="18" t="s">
        <v>247</v>
      </c>
      <c r="AJ52" s="18" t="s">
        <v>67</v>
      </c>
      <c r="AK52" s="21">
        <v>3</v>
      </c>
      <c r="AL52" s="18" t="s">
        <v>5</v>
      </c>
      <c r="AM52" s="21">
        <v>2857.8571000000002</v>
      </c>
      <c r="AN52" s="19">
        <v>8573.5712999999996</v>
      </c>
      <c r="AP52" s="20" t="s">
        <v>242</v>
      </c>
      <c r="AQ52" s="18" t="s">
        <v>243</v>
      </c>
      <c r="AR52" s="18" t="s">
        <v>67</v>
      </c>
      <c r="AS52" s="21">
        <v>1.2</v>
      </c>
      <c r="AT52" s="18" t="s">
        <v>87</v>
      </c>
      <c r="AU52" s="21">
        <v>13375</v>
      </c>
      <c r="AV52" s="19">
        <v>16050</v>
      </c>
      <c r="AX52" s="20" t="s">
        <v>242</v>
      </c>
      <c r="AY52" s="18" t="s">
        <v>243</v>
      </c>
      <c r="AZ52" s="18" t="s">
        <v>67</v>
      </c>
      <c r="BA52" s="21">
        <v>1.2</v>
      </c>
      <c r="BB52" s="18" t="s">
        <v>87</v>
      </c>
      <c r="BC52" s="21">
        <v>13375</v>
      </c>
      <c r="BD52" s="19">
        <v>16050</v>
      </c>
    </row>
    <row r="53" spans="1:56" x14ac:dyDescent="0.35">
      <c r="A53" s="38" t="str">
        <v>STA00039</v>
      </c>
      <c r="B53" s="31" t="str">
        <f t="shared" si="4"/>
        <v>BUKU FOLIO 200 LBR</v>
      </c>
      <c r="C53" s="31" t="str">
        <f t="shared" si="5"/>
        <v>STATIONARY AND OFFICE SUPPLIES</v>
      </c>
      <c r="D53" s="66" t="str">
        <f t="shared" si="6"/>
        <v>bk</v>
      </c>
      <c r="E53" s="53">
        <f t="shared" si="7"/>
        <v>27666.67</v>
      </c>
      <c r="F53" s="48">
        <f t="shared" si="8"/>
        <v>1</v>
      </c>
      <c r="G53" s="67">
        <f t="shared" si="9"/>
        <v>2</v>
      </c>
      <c r="H53" s="67">
        <f t="shared" si="10"/>
        <v>1</v>
      </c>
      <c r="I53" s="53">
        <f t="shared" si="11"/>
        <v>27666.67</v>
      </c>
      <c r="J53" s="31" t="str">
        <f t="shared" si="12"/>
        <v>Kenaikan IU</v>
      </c>
      <c r="K53" s="42"/>
      <c r="O53" s="3">
        <v>2</v>
      </c>
      <c r="P53" t="s">
        <v>355</v>
      </c>
      <c r="Q53" t="s">
        <v>356</v>
      </c>
      <c r="R53" t="s">
        <v>67</v>
      </c>
      <c r="S53" s="10">
        <v>1</v>
      </c>
      <c r="T53" t="s">
        <v>160</v>
      </c>
      <c r="U53" s="10">
        <v>4000</v>
      </c>
      <c r="V53" s="4">
        <v>4000</v>
      </c>
      <c r="X53" s="3" t="s">
        <v>107</v>
      </c>
      <c r="Y53" t="s">
        <v>108</v>
      </c>
      <c r="Z53" t="s">
        <v>67</v>
      </c>
      <c r="AA53" s="10">
        <v>3</v>
      </c>
      <c r="AB53" t="s">
        <v>5</v>
      </c>
      <c r="AC53" s="10">
        <v>16250</v>
      </c>
      <c r="AD53" s="4">
        <v>48750</v>
      </c>
      <c r="AG53" s="20">
        <v>11</v>
      </c>
      <c r="AH53" s="18" t="s">
        <v>327</v>
      </c>
      <c r="AI53" s="18" t="s">
        <v>328</v>
      </c>
      <c r="AJ53" s="18" t="s">
        <v>67</v>
      </c>
      <c r="AK53" s="21">
        <v>0.5</v>
      </c>
      <c r="AL53" s="18" t="s">
        <v>5</v>
      </c>
      <c r="AM53" s="21">
        <v>6250</v>
      </c>
      <c r="AN53" s="19">
        <v>3125</v>
      </c>
      <c r="AP53" s="20" t="s">
        <v>246</v>
      </c>
      <c r="AQ53" s="18" t="s">
        <v>247</v>
      </c>
      <c r="AR53" s="18" t="s">
        <v>67</v>
      </c>
      <c r="AS53" s="21">
        <v>3</v>
      </c>
      <c r="AT53" s="18" t="s">
        <v>5</v>
      </c>
      <c r="AU53" s="21">
        <v>2857.8571000000002</v>
      </c>
      <c r="AV53" s="19">
        <v>8573.5712999999996</v>
      </c>
      <c r="AX53" s="20" t="s">
        <v>246</v>
      </c>
      <c r="AY53" s="18" t="s">
        <v>247</v>
      </c>
      <c r="AZ53" s="18" t="s">
        <v>67</v>
      </c>
      <c r="BA53" s="21">
        <v>3</v>
      </c>
      <c r="BB53" s="18" t="s">
        <v>5</v>
      </c>
      <c r="BC53" s="21">
        <v>2857.8571000000002</v>
      </c>
      <c r="BD53" s="19">
        <v>8573.5712999999996</v>
      </c>
    </row>
    <row r="54" spans="1:56" x14ac:dyDescent="0.35">
      <c r="A54" s="38" t="str">
        <v>STA00050</v>
      </c>
      <c r="B54" s="31" t="str">
        <f t="shared" si="4"/>
        <v>MINYAK KAYU PUTIH</v>
      </c>
      <c r="C54" s="31" t="str">
        <f t="shared" si="5"/>
        <v>STATIONARY AND OFFICE SUPPLIES</v>
      </c>
      <c r="D54" s="66" t="str">
        <f t="shared" si="6"/>
        <v>pcs</v>
      </c>
      <c r="E54" s="53">
        <f t="shared" si="7"/>
        <v>7250</v>
      </c>
      <c r="F54" s="48">
        <f t="shared" si="8"/>
        <v>1</v>
      </c>
      <c r="G54" s="67">
        <f t="shared" si="9"/>
        <v>1</v>
      </c>
      <c r="H54" s="67">
        <f t="shared" si="10"/>
        <v>0</v>
      </c>
      <c r="I54" s="53">
        <f t="shared" si="11"/>
        <v>0</v>
      </c>
      <c r="J54" s="31" t="str">
        <f t="shared" si="12"/>
        <v>Tidak Ada Perubahan</v>
      </c>
      <c r="K54" s="42"/>
      <c r="O54" s="3">
        <v>3</v>
      </c>
      <c r="P54" t="s">
        <v>509</v>
      </c>
      <c r="Q54" t="s">
        <v>510</v>
      </c>
      <c r="R54" t="s">
        <v>67</v>
      </c>
      <c r="S54" s="10">
        <v>0.2</v>
      </c>
      <c r="T54" t="s">
        <v>5</v>
      </c>
      <c r="U54" s="10">
        <v>6250</v>
      </c>
      <c r="V54" s="4">
        <v>1250</v>
      </c>
      <c r="X54" s="3" t="s">
        <v>110</v>
      </c>
      <c r="Y54" t="s">
        <v>111</v>
      </c>
      <c r="Z54" t="s">
        <v>67</v>
      </c>
      <c r="AA54" s="10">
        <v>1</v>
      </c>
      <c r="AB54" t="s">
        <v>94</v>
      </c>
      <c r="AC54" s="10">
        <v>10500</v>
      </c>
      <c r="AD54" s="4">
        <v>10500</v>
      </c>
      <c r="AG54" s="20">
        <v>12</v>
      </c>
      <c r="AH54" s="18" t="s">
        <v>90</v>
      </c>
      <c r="AI54" s="18" t="s">
        <v>91</v>
      </c>
      <c r="AJ54" s="18" t="s">
        <v>67</v>
      </c>
      <c r="AK54" s="21">
        <v>0.9</v>
      </c>
      <c r="AL54" s="18" t="s">
        <v>5</v>
      </c>
      <c r="AM54" s="21">
        <v>6250</v>
      </c>
      <c r="AN54" s="19">
        <v>5625</v>
      </c>
      <c r="AP54" s="20" t="s">
        <v>327</v>
      </c>
      <c r="AQ54" s="18" t="s">
        <v>328</v>
      </c>
      <c r="AR54" s="18" t="s">
        <v>67</v>
      </c>
      <c r="AS54" s="21">
        <v>0.5</v>
      </c>
      <c r="AT54" s="18" t="s">
        <v>5</v>
      </c>
      <c r="AU54" s="21">
        <v>6250</v>
      </c>
      <c r="AV54" s="19">
        <v>3125</v>
      </c>
      <c r="AX54" s="20" t="s">
        <v>327</v>
      </c>
      <c r="AY54" s="18" t="s">
        <v>328</v>
      </c>
      <c r="AZ54" s="18" t="s">
        <v>67</v>
      </c>
      <c r="BA54" s="21">
        <v>0.5</v>
      </c>
      <c r="BB54" s="18" t="s">
        <v>5</v>
      </c>
      <c r="BC54" s="21">
        <v>6250</v>
      </c>
      <c r="BD54" s="19">
        <v>3125</v>
      </c>
    </row>
    <row r="55" spans="1:56" x14ac:dyDescent="0.35">
      <c r="A55" s="38" t="str">
        <v>STA00051</v>
      </c>
      <c r="B55" s="31" t="str">
        <f t="shared" si="4"/>
        <v>PANADOL HIJAU</v>
      </c>
      <c r="C55" s="31" t="str">
        <f t="shared" si="5"/>
        <v>STATIONARY AND OFFICE SUPPLIES</v>
      </c>
      <c r="D55" s="66" t="str">
        <f t="shared" si="6"/>
        <v>str</v>
      </c>
      <c r="E55" s="53">
        <f t="shared" si="7"/>
        <v>15500</v>
      </c>
      <c r="F55" s="48">
        <f t="shared" si="8"/>
        <v>3.5</v>
      </c>
      <c r="G55" s="67">
        <f t="shared" si="9"/>
        <v>1.1000000000000001</v>
      </c>
      <c r="H55" s="67">
        <f t="shared" si="10"/>
        <v>-2.4</v>
      </c>
      <c r="I55" s="53">
        <f t="shared" si="11"/>
        <v>-37200</v>
      </c>
      <c r="J55" s="31" t="str">
        <f t="shared" si="12"/>
        <v>Penurunan IU</v>
      </c>
      <c r="K55" s="42"/>
      <c r="O55" s="3">
        <v>4</v>
      </c>
      <c r="P55" t="s">
        <v>72</v>
      </c>
      <c r="Q55" t="s">
        <v>73</v>
      </c>
      <c r="R55" t="s">
        <v>67</v>
      </c>
      <c r="S55" s="10">
        <v>5</v>
      </c>
      <c r="T55" t="s">
        <v>74</v>
      </c>
      <c r="U55" s="10">
        <v>3000</v>
      </c>
      <c r="V55" s="4">
        <v>15000</v>
      </c>
      <c r="X55" s="3" t="s">
        <v>630</v>
      </c>
      <c r="Y55" t="s">
        <v>631</v>
      </c>
      <c r="Z55" t="s">
        <v>67</v>
      </c>
      <c r="AA55" s="10">
        <v>12</v>
      </c>
      <c r="AB55" t="s">
        <v>20</v>
      </c>
      <c r="AC55" s="10">
        <v>1762</v>
      </c>
      <c r="AD55" s="4">
        <v>21144</v>
      </c>
      <c r="AG55" s="20">
        <v>13</v>
      </c>
      <c r="AH55" s="18" t="s">
        <v>92</v>
      </c>
      <c r="AI55" s="18" t="s">
        <v>93</v>
      </c>
      <c r="AJ55" s="18" t="s">
        <v>67</v>
      </c>
      <c r="AK55" s="21">
        <v>62</v>
      </c>
      <c r="AL55" s="18" t="s">
        <v>94</v>
      </c>
      <c r="AM55" s="21">
        <v>11800.408600000001</v>
      </c>
      <c r="AN55" s="19">
        <v>731625.33319999999</v>
      </c>
      <c r="AP55" s="20" t="s">
        <v>90</v>
      </c>
      <c r="AQ55" s="18" t="s">
        <v>91</v>
      </c>
      <c r="AR55" s="18" t="s">
        <v>67</v>
      </c>
      <c r="AS55" s="21">
        <v>0.9</v>
      </c>
      <c r="AT55" s="18" t="s">
        <v>5</v>
      </c>
      <c r="AU55" s="21">
        <v>6250</v>
      </c>
      <c r="AV55" s="19">
        <v>5625</v>
      </c>
      <c r="AX55" s="20" t="s">
        <v>90</v>
      </c>
      <c r="AY55" s="18" t="s">
        <v>91</v>
      </c>
      <c r="AZ55" s="18" t="s">
        <v>67</v>
      </c>
      <c r="BA55" s="21">
        <v>0.9</v>
      </c>
      <c r="BB55" s="18" t="s">
        <v>5</v>
      </c>
      <c r="BC55" s="21">
        <v>6250</v>
      </c>
      <c r="BD55" s="19">
        <v>5625</v>
      </c>
    </row>
    <row r="56" spans="1:56" x14ac:dyDescent="0.35">
      <c r="A56" s="38" t="str">
        <v>STA00052</v>
      </c>
      <c r="B56" s="31" t="str">
        <f t="shared" si="4"/>
        <v>PANADOL MERAH</v>
      </c>
      <c r="C56" s="31" t="str">
        <f t="shared" si="5"/>
        <v>STATIONARY AND OFFICE SUPPLIES</v>
      </c>
      <c r="D56" s="66" t="str">
        <f t="shared" si="6"/>
        <v>str</v>
      </c>
      <c r="E56" s="53">
        <f t="shared" si="7"/>
        <v>13375</v>
      </c>
      <c r="F56" s="48">
        <f t="shared" si="8"/>
        <v>4</v>
      </c>
      <c r="G56" s="67">
        <f t="shared" si="9"/>
        <v>1.2</v>
      </c>
      <c r="H56" s="67">
        <f t="shared" si="10"/>
        <v>-2.8</v>
      </c>
      <c r="I56" s="53">
        <f t="shared" si="11"/>
        <v>-37450</v>
      </c>
      <c r="J56" s="31" t="str">
        <f t="shared" si="12"/>
        <v>Penurunan IU</v>
      </c>
      <c r="K56" s="42"/>
      <c r="O56" s="3">
        <v>5</v>
      </c>
      <c r="P56" t="s">
        <v>75</v>
      </c>
      <c r="Q56" t="s">
        <v>76</v>
      </c>
      <c r="R56" t="s">
        <v>67</v>
      </c>
      <c r="S56" s="10">
        <v>3</v>
      </c>
      <c r="T56" t="s">
        <v>74</v>
      </c>
      <c r="U56" s="10">
        <v>6000</v>
      </c>
      <c r="V56" s="4">
        <v>18000</v>
      </c>
      <c r="X56" s="3" t="s">
        <v>364</v>
      </c>
      <c r="Y56" t="s">
        <v>365</v>
      </c>
      <c r="Z56" t="s">
        <v>67</v>
      </c>
      <c r="AA56" s="10">
        <v>0.5</v>
      </c>
      <c r="AB56" t="s">
        <v>52</v>
      </c>
      <c r="AC56" s="10">
        <v>16546</v>
      </c>
      <c r="AD56" s="4">
        <v>8273</v>
      </c>
      <c r="AG56" s="20">
        <v>14</v>
      </c>
      <c r="AH56" s="18" t="s">
        <v>518</v>
      </c>
      <c r="AI56" s="18" t="s">
        <v>519</v>
      </c>
      <c r="AJ56" s="18" t="s">
        <v>67</v>
      </c>
      <c r="AK56" s="21">
        <v>2</v>
      </c>
      <c r="AL56" s="18" t="s">
        <v>98</v>
      </c>
      <c r="AM56" s="21">
        <v>18000</v>
      </c>
      <c r="AN56" s="19">
        <v>36000</v>
      </c>
      <c r="AP56" s="20" t="s">
        <v>92</v>
      </c>
      <c r="AQ56" s="18" t="s">
        <v>93</v>
      </c>
      <c r="AR56" s="18" t="s">
        <v>67</v>
      </c>
      <c r="AS56" s="21">
        <v>62</v>
      </c>
      <c r="AT56" s="18" t="s">
        <v>94</v>
      </c>
      <c r="AU56" s="21">
        <v>11800.408600000001</v>
      </c>
      <c r="AV56" s="19">
        <v>731625.33319999999</v>
      </c>
      <c r="AX56" s="20" t="s">
        <v>92</v>
      </c>
      <c r="AY56" s="18" t="s">
        <v>93</v>
      </c>
      <c r="AZ56" s="18" t="s">
        <v>67</v>
      </c>
      <c r="BA56" s="21">
        <v>62</v>
      </c>
      <c r="BB56" s="18" t="s">
        <v>94</v>
      </c>
      <c r="BC56" s="21">
        <v>11800.408600000001</v>
      </c>
      <c r="BD56" s="19">
        <v>731625.33319999999</v>
      </c>
    </row>
    <row r="57" spans="1:56" x14ac:dyDescent="0.35">
      <c r="A57" s="38" t="str">
        <v>STA00057</v>
      </c>
      <c r="B57" s="31" t="str">
        <f t="shared" si="4"/>
        <v>ISI STAPLER</v>
      </c>
      <c r="C57" s="31" t="str">
        <f t="shared" si="5"/>
        <v>STATIONARY AND OFFICE SUPPLIES</v>
      </c>
      <c r="D57" s="66" t="str">
        <f t="shared" si="6"/>
        <v>pack</v>
      </c>
      <c r="E57" s="53">
        <f t="shared" si="7"/>
        <v>2857.86</v>
      </c>
      <c r="F57" s="48" t="str">
        <f t="shared" si="8"/>
        <v>0</v>
      </c>
      <c r="G57" s="67">
        <f t="shared" si="9"/>
        <v>3</v>
      </c>
      <c r="H57" s="67">
        <f t="shared" si="10"/>
        <v>3</v>
      </c>
      <c r="I57" s="53">
        <f t="shared" si="11"/>
        <v>8573.58</v>
      </c>
      <c r="J57" s="31" t="str">
        <f t="shared" si="12"/>
        <v>Kenaikan IU</v>
      </c>
      <c r="K57" s="42"/>
      <c r="O57" s="3">
        <v>6</v>
      </c>
      <c r="P57" t="s">
        <v>393</v>
      </c>
      <c r="Q57" t="s">
        <v>394</v>
      </c>
      <c r="R57" t="s">
        <v>67</v>
      </c>
      <c r="S57" s="10">
        <v>1</v>
      </c>
      <c r="T57" t="s">
        <v>20</v>
      </c>
      <c r="U57" s="10">
        <v>18200</v>
      </c>
      <c r="V57" s="4">
        <v>18200</v>
      </c>
      <c r="X57" s="3" t="s">
        <v>258</v>
      </c>
      <c r="Y57" t="s">
        <v>259</v>
      </c>
      <c r="Z57" t="s">
        <v>67</v>
      </c>
      <c r="AA57" s="10">
        <v>1</v>
      </c>
      <c r="AB57" t="s">
        <v>5</v>
      </c>
      <c r="AC57" s="10">
        <v>24500</v>
      </c>
      <c r="AD57" s="4">
        <v>24500</v>
      </c>
      <c r="AG57" s="20">
        <v>15</v>
      </c>
      <c r="AH57" s="18" t="s">
        <v>100</v>
      </c>
      <c r="AI57" s="18" t="s">
        <v>101</v>
      </c>
      <c r="AJ57" s="18" t="s">
        <v>67</v>
      </c>
      <c r="AK57" s="21">
        <v>0.1</v>
      </c>
      <c r="AL57" s="18" t="s">
        <v>87</v>
      </c>
      <c r="AM57" s="21">
        <v>8318.75</v>
      </c>
      <c r="AN57" s="19">
        <v>831.875</v>
      </c>
      <c r="AP57" s="20" t="s">
        <v>518</v>
      </c>
      <c r="AQ57" s="18" t="s">
        <v>519</v>
      </c>
      <c r="AR57" s="18" t="s">
        <v>67</v>
      </c>
      <c r="AS57" s="21">
        <v>2</v>
      </c>
      <c r="AT57" s="18" t="s">
        <v>98</v>
      </c>
      <c r="AU57" s="21">
        <v>18000</v>
      </c>
      <c r="AV57" s="19">
        <v>36000</v>
      </c>
      <c r="AX57" s="20" t="s">
        <v>518</v>
      </c>
      <c r="AY57" s="18" t="s">
        <v>519</v>
      </c>
      <c r="AZ57" s="18" t="s">
        <v>67</v>
      </c>
      <c r="BA57" s="21">
        <v>2</v>
      </c>
      <c r="BB57" s="18" t="s">
        <v>98</v>
      </c>
      <c r="BC57" s="21">
        <v>18000</v>
      </c>
      <c r="BD57" s="19">
        <v>36000</v>
      </c>
    </row>
    <row r="58" spans="1:56" x14ac:dyDescent="0.35">
      <c r="A58" s="38" t="str">
        <v>STA00074</v>
      </c>
      <c r="B58" s="31" t="str">
        <f t="shared" si="4"/>
        <v>LABEL/STICKER TOM &amp; JERRY 103</v>
      </c>
      <c r="C58" s="31" t="str">
        <f t="shared" si="5"/>
        <v>STATIONARY AND OFFICE SUPPLIES</v>
      </c>
      <c r="D58" s="66" t="str">
        <f t="shared" si="6"/>
        <v>pack</v>
      </c>
      <c r="E58" s="53">
        <f t="shared" si="7"/>
        <v>6250</v>
      </c>
      <c r="F58" s="48">
        <f t="shared" si="8"/>
        <v>0.5</v>
      </c>
      <c r="G58" s="67">
        <f t="shared" si="9"/>
        <v>0.5</v>
      </c>
      <c r="H58" s="67">
        <f t="shared" si="10"/>
        <v>0</v>
      </c>
      <c r="I58" s="53">
        <f t="shared" si="11"/>
        <v>0</v>
      </c>
      <c r="J58" s="31" t="str">
        <f t="shared" si="12"/>
        <v>Tidak Ada Perubahan</v>
      </c>
      <c r="K58" s="42"/>
      <c r="O58" s="3">
        <v>7</v>
      </c>
      <c r="P58" t="s">
        <v>236</v>
      </c>
      <c r="Q58" t="s">
        <v>237</v>
      </c>
      <c r="R58" t="s">
        <v>67</v>
      </c>
      <c r="S58" s="10">
        <v>1</v>
      </c>
      <c r="T58" t="s">
        <v>20</v>
      </c>
      <c r="U58" s="10">
        <v>7500</v>
      </c>
      <c r="V58" s="4">
        <v>7500</v>
      </c>
      <c r="X58" s="3" t="s">
        <v>260</v>
      </c>
      <c r="Y58" t="s">
        <v>261</v>
      </c>
      <c r="Z58" t="s">
        <v>67</v>
      </c>
      <c r="AA58">
        <v>2</v>
      </c>
      <c r="AB58" t="s">
        <v>5</v>
      </c>
      <c r="AC58">
        <v>2100</v>
      </c>
      <c r="AD58" s="4">
        <v>4200</v>
      </c>
      <c r="AG58" s="20">
        <v>16</v>
      </c>
      <c r="AH58" s="18" t="s">
        <v>254</v>
      </c>
      <c r="AI58" s="18" t="s">
        <v>255</v>
      </c>
      <c r="AJ58" s="18" t="s">
        <v>67</v>
      </c>
      <c r="AK58" s="21">
        <v>0.14000000000000001</v>
      </c>
      <c r="AL58" s="18" t="s">
        <v>5</v>
      </c>
      <c r="AM58" s="21">
        <v>34500</v>
      </c>
      <c r="AN58" s="19">
        <v>4830</v>
      </c>
      <c r="AP58" s="20" t="s">
        <v>100</v>
      </c>
      <c r="AQ58" s="18" t="s">
        <v>101</v>
      </c>
      <c r="AR58" s="18" t="s">
        <v>67</v>
      </c>
      <c r="AS58" s="21">
        <v>0.1</v>
      </c>
      <c r="AT58" s="18" t="s">
        <v>87</v>
      </c>
      <c r="AU58" s="21">
        <v>8318.75</v>
      </c>
      <c r="AV58" s="19">
        <v>831.875</v>
      </c>
      <c r="AX58" s="20" t="s">
        <v>100</v>
      </c>
      <c r="AY58" s="18" t="s">
        <v>101</v>
      </c>
      <c r="AZ58" s="18" t="s">
        <v>67</v>
      </c>
      <c r="BA58" s="21">
        <v>0.1</v>
      </c>
      <c r="BB58" s="18" t="s">
        <v>87</v>
      </c>
      <c r="BC58" s="21">
        <v>8318.75</v>
      </c>
      <c r="BD58" s="19">
        <v>831.875</v>
      </c>
    </row>
    <row r="59" spans="1:56" x14ac:dyDescent="0.35">
      <c r="A59" s="38" t="str">
        <v>STA00075</v>
      </c>
      <c r="B59" s="31" t="str">
        <f t="shared" si="4"/>
        <v>LABEL/STICKER TOM &amp; JERRY 109</v>
      </c>
      <c r="C59" s="31" t="str">
        <f t="shared" si="5"/>
        <v>STATIONARY AND OFFICE SUPPLIES</v>
      </c>
      <c r="D59" s="66" t="str">
        <f t="shared" si="6"/>
        <v>pack</v>
      </c>
      <c r="E59" s="53">
        <f t="shared" si="7"/>
        <v>6250</v>
      </c>
      <c r="F59" s="48">
        <f t="shared" si="8"/>
        <v>0.1</v>
      </c>
      <c r="G59" s="67">
        <f t="shared" si="9"/>
        <v>0.9</v>
      </c>
      <c r="H59" s="67">
        <f t="shared" si="10"/>
        <v>0.8</v>
      </c>
      <c r="I59" s="53">
        <f t="shared" si="11"/>
        <v>5000</v>
      </c>
      <c r="J59" s="31" t="str">
        <f t="shared" si="12"/>
        <v>Kenaikan IU</v>
      </c>
      <c r="K59" s="42"/>
      <c r="O59" s="3">
        <v>8</v>
      </c>
      <c r="P59" t="s">
        <v>512</v>
      </c>
      <c r="Q59" t="s">
        <v>513</v>
      </c>
      <c r="R59" t="s">
        <v>67</v>
      </c>
      <c r="S59" s="10">
        <v>1</v>
      </c>
      <c r="T59" t="s">
        <v>486</v>
      </c>
      <c r="U59" s="10">
        <v>27666.666700000002</v>
      </c>
      <c r="V59" s="4">
        <v>27666.666700000002</v>
      </c>
      <c r="X59" s="3" t="s">
        <v>166</v>
      </c>
      <c r="Y59" t="s">
        <v>167</v>
      </c>
      <c r="Z59" t="s">
        <v>165</v>
      </c>
      <c r="AA59" s="10">
        <v>1</v>
      </c>
      <c r="AB59" t="s">
        <v>20</v>
      </c>
      <c r="AC59" s="10">
        <v>25700.68</v>
      </c>
      <c r="AD59" s="4">
        <v>25700.68</v>
      </c>
      <c r="AG59" s="20">
        <v>17</v>
      </c>
      <c r="AH59" s="18" t="s">
        <v>628</v>
      </c>
      <c r="AI59" s="18" t="s">
        <v>629</v>
      </c>
      <c r="AJ59" s="18" t="s">
        <v>67</v>
      </c>
      <c r="AK59" s="21">
        <v>1</v>
      </c>
      <c r="AL59" s="18" t="s">
        <v>20</v>
      </c>
      <c r="AM59" s="21">
        <v>28500</v>
      </c>
      <c r="AN59" s="19">
        <v>28500</v>
      </c>
      <c r="AP59" s="20" t="s">
        <v>254</v>
      </c>
      <c r="AQ59" s="18" t="s">
        <v>255</v>
      </c>
      <c r="AR59" s="18" t="s">
        <v>67</v>
      </c>
      <c r="AS59" s="21">
        <v>0.14000000000000001</v>
      </c>
      <c r="AT59" s="18" t="s">
        <v>5</v>
      </c>
      <c r="AU59" s="21">
        <v>34500</v>
      </c>
      <c r="AV59" s="19">
        <v>4830</v>
      </c>
      <c r="AX59" s="20" t="s">
        <v>254</v>
      </c>
      <c r="AY59" s="18" t="s">
        <v>255</v>
      </c>
      <c r="AZ59" s="18" t="s">
        <v>67</v>
      </c>
      <c r="BA59" s="21">
        <v>0.14000000000000001</v>
      </c>
      <c r="BB59" s="18" t="s">
        <v>5</v>
      </c>
      <c r="BC59" s="21">
        <v>34500</v>
      </c>
      <c r="BD59" s="19">
        <v>4830</v>
      </c>
    </row>
    <row r="60" spans="1:56" x14ac:dyDescent="0.35">
      <c r="A60" s="38" t="str">
        <v>STA00080</v>
      </c>
      <c r="B60" s="31" t="str">
        <f t="shared" si="4"/>
        <v>KERTAS THERMAL 80 X 80</v>
      </c>
      <c r="C60" s="31" t="str">
        <f t="shared" si="5"/>
        <v>STATIONARY AND OFFICE SUPPLIES</v>
      </c>
      <c r="D60" s="66" t="str">
        <f t="shared" si="6"/>
        <v>ROLL</v>
      </c>
      <c r="E60" s="53">
        <f t="shared" si="7"/>
        <v>11800.41</v>
      </c>
      <c r="F60" s="48">
        <f t="shared" si="8"/>
        <v>56</v>
      </c>
      <c r="G60" s="67">
        <f t="shared" si="9"/>
        <v>62</v>
      </c>
      <c r="H60" s="67">
        <f t="shared" si="10"/>
        <v>6</v>
      </c>
      <c r="I60" s="53">
        <f t="shared" si="11"/>
        <v>70802.459999999992</v>
      </c>
      <c r="J60" s="31" t="str">
        <f t="shared" si="12"/>
        <v>Kenaikan IU</v>
      </c>
      <c r="K60" s="42"/>
      <c r="O60" s="3">
        <v>9</v>
      </c>
      <c r="P60" t="s">
        <v>484</v>
      </c>
      <c r="Q60" t="s">
        <v>485</v>
      </c>
      <c r="R60" t="s">
        <v>67</v>
      </c>
      <c r="S60" s="10">
        <v>1</v>
      </c>
      <c r="T60" t="s">
        <v>486</v>
      </c>
      <c r="U60" s="10">
        <v>8500</v>
      </c>
      <c r="V60" s="4">
        <v>8500</v>
      </c>
      <c r="X60" s="3" t="s">
        <v>427</v>
      </c>
      <c r="Y60" t="s">
        <v>428</v>
      </c>
      <c r="Z60" t="s">
        <v>165</v>
      </c>
      <c r="AA60" s="10">
        <v>1</v>
      </c>
      <c r="AB60" t="s">
        <v>20</v>
      </c>
      <c r="AC60" s="10">
        <v>32500</v>
      </c>
      <c r="AD60" s="4">
        <v>32500</v>
      </c>
      <c r="AG60" s="20">
        <v>18</v>
      </c>
      <c r="AH60" s="18" t="s">
        <v>107</v>
      </c>
      <c r="AI60" s="18" t="s">
        <v>108</v>
      </c>
      <c r="AJ60" s="18" t="s">
        <v>67</v>
      </c>
      <c r="AK60" s="21">
        <v>2</v>
      </c>
      <c r="AL60" s="18" t="s">
        <v>5</v>
      </c>
      <c r="AM60" s="21">
        <v>18969.3269</v>
      </c>
      <c r="AN60" s="19">
        <v>37938.6538</v>
      </c>
      <c r="AP60" s="20" t="s">
        <v>628</v>
      </c>
      <c r="AQ60" s="18" t="s">
        <v>629</v>
      </c>
      <c r="AR60" s="18" t="s">
        <v>67</v>
      </c>
      <c r="AS60" s="21">
        <v>1</v>
      </c>
      <c r="AT60" s="18" t="s">
        <v>20</v>
      </c>
      <c r="AU60" s="21">
        <v>28500</v>
      </c>
      <c r="AV60" s="19">
        <v>28500</v>
      </c>
      <c r="AX60" s="20" t="s">
        <v>628</v>
      </c>
      <c r="AY60" s="18" t="s">
        <v>629</v>
      </c>
      <c r="AZ60" s="18" t="s">
        <v>67</v>
      </c>
      <c r="BA60" s="21">
        <v>1</v>
      </c>
      <c r="BB60" s="18" t="s">
        <v>20</v>
      </c>
      <c r="BC60" s="21">
        <v>28500</v>
      </c>
      <c r="BD60" s="19">
        <v>28500</v>
      </c>
    </row>
    <row r="61" spans="1:56" x14ac:dyDescent="0.35">
      <c r="A61" s="38" t="str">
        <v>STA00091</v>
      </c>
      <c r="B61" s="31" t="str">
        <f t="shared" si="4"/>
        <v>BUKU LOG FOLIO BERGARIS</v>
      </c>
      <c r="C61" s="31" t="str">
        <f t="shared" si="5"/>
        <v>STATIONARY AND OFFICE SUPPLIES</v>
      </c>
      <c r="D61" s="66" t="str">
        <f t="shared" si="6"/>
        <v>buku</v>
      </c>
      <c r="E61" s="53">
        <f t="shared" si="7"/>
        <v>18000</v>
      </c>
      <c r="F61" s="48">
        <f t="shared" si="8"/>
        <v>1</v>
      </c>
      <c r="G61" s="67">
        <f t="shared" si="9"/>
        <v>2</v>
      </c>
      <c r="H61" s="67">
        <f t="shared" si="10"/>
        <v>1</v>
      </c>
      <c r="I61" s="53">
        <f t="shared" si="11"/>
        <v>18000</v>
      </c>
      <c r="J61" s="31" t="str">
        <f t="shared" si="12"/>
        <v>Kenaikan IU</v>
      </c>
      <c r="K61" s="42"/>
      <c r="O61" s="3">
        <v>10</v>
      </c>
      <c r="P61" t="s">
        <v>81</v>
      </c>
      <c r="Q61" t="s">
        <v>82</v>
      </c>
      <c r="R61" t="s">
        <v>67</v>
      </c>
      <c r="S61" s="10">
        <v>2</v>
      </c>
      <c r="T61" t="s">
        <v>20</v>
      </c>
      <c r="U61" s="10">
        <v>12312.5</v>
      </c>
      <c r="V61" s="4">
        <v>24625</v>
      </c>
      <c r="X61" s="3" t="s">
        <v>286</v>
      </c>
      <c r="Y61" t="s">
        <v>287</v>
      </c>
      <c r="Z61" t="s">
        <v>165</v>
      </c>
      <c r="AA61" s="10">
        <v>1</v>
      </c>
      <c r="AB61" t="s">
        <v>20</v>
      </c>
      <c r="AC61" s="10">
        <v>43200</v>
      </c>
      <c r="AD61" s="4">
        <v>43200</v>
      </c>
      <c r="AG61" s="20">
        <v>19</v>
      </c>
      <c r="AH61" s="18" t="s">
        <v>630</v>
      </c>
      <c r="AI61" s="18" t="s">
        <v>631</v>
      </c>
      <c r="AJ61" s="18" t="s">
        <v>67</v>
      </c>
      <c r="AK61" s="21">
        <v>7</v>
      </c>
      <c r="AL61" s="18" t="s">
        <v>20</v>
      </c>
      <c r="AM61" s="21">
        <v>2193.8182000000002</v>
      </c>
      <c r="AN61" s="19">
        <v>15356.7274</v>
      </c>
      <c r="AP61" s="20" t="s">
        <v>107</v>
      </c>
      <c r="AQ61" s="18" t="s">
        <v>108</v>
      </c>
      <c r="AR61" s="18" t="s">
        <v>67</v>
      </c>
      <c r="AS61" s="21">
        <v>2</v>
      </c>
      <c r="AT61" s="18" t="s">
        <v>5</v>
      </c>
      <c r="AU61" s="21">
        <v>18969.3269</v>
      </c>
      <c r="AV61" s="19">
        <v>37938.6538</v>
      </c>
      <c r="AX61" s="20" t="s">
        <v>107</v>
      </c>
      <c r="AY61" s="18" t="s">
        <v>108</v>
      </c>
      <c r="AZ61" s="18" t="s">
        <v>67</v>
      </c>
      <c r="BA61" s="21">
        <v>2</v>
      </c>
      <c r="BB61" s="18" t="s">
        <v>5</v>
      </c>
      <c r="BC61" s="21">
        <v>18969.3269</v>
      </c>
      <c r="BD61" s="19">
        <v>37938.6538</v>
      </c>
    </row>
    <row r="62" spans="1:56" x14ac:dyDescent="0.35">
      <c r="A62" s="38" t="str">
        <v>STA00094</v>
      </c>
      <c r="B62" s="31" t="str">
        <f t="shared" si="4"/>
        <v>OBAT PROMAG</v>
      </c>
      <c r="C62" s="31" t="str">
        <f t="shared" si="5"/>
        <v>STATIONARY AND OFFICE SUPPLIES</v>
      </c>
      <c r="D62" s="66" t="str">
        <f t="shared" si="6"/>
        <v>str</v>
      </c>
      <c r="E62" s="53">
        <f t="shared" si="7"/>
        <v>8318.75</v>
      </c>
      <c r="F62" s="48">
        <f t="shared" si="8"/>
        <v>1</v>
      </c>
      <c r="G62" s="67">
        <f t="shared" si="9"/>
        <v>0.1</v>
      </c>
      <c r="H62" s="67">
        <f t="shared" si="10"/>
        <v>-0.9</v>
      </c>
      <c r="I62" s="53">
        <f t="shared" si="11"/>
        <v>-7486.875</v>
      </c>
      <c r="J62" s="31" t="str">
        <f t="shared" si="12"/>
        <v>Penurunan IU</v>
      </c>
      <c r="K62" s="42"/>
      <c r="O62" s="3">
        <v>11</v>
      </c>
      <c r="P62" t="s">
        <v>395</v>
      </c>
      <c r="Q62" t="s">
        <v>396</v>
      </c>
      <c r="R62" t="s">
        <v>67</v>
      </c>
      <c r="S62" s="10">
        <v>0.5</v>
      </c>
      <c r="T62" t="s">
        <v>216</v>
      </c>
      <c r="U62" s="10">
        <v>6000</v>
      </c>
      <c r="V62" s="4">
        <v>3000</v>
      </c>
      <c r="X62" s="3" t="s">
        <v>375</v>
      </c>
      <c r="Y62" t="s">
        <v>376</v>
      </c>
      <c r="Z62" t="s">
        <v>165</v>
      </c>
      <c r="AA62" s="10">
        <v>1</v>
      </c>
      <c r="AB62" t="s">
        <v>20</v>
      </c>
      <c r="AC62" s="10">
        <v>12389.928599999999</v>
      </c>
      <c r="AD62" s="4">
        <v>12389.928599999999</v>
      </c>
      <c r="AG62" s="20">
        <v>20</v>
      </c>
      <c r="AH62" s="18" t="s">
        <v>364</v>
      </c>
      <c r="AI62" s="18" t="s">
        <v>365</v>
      </c>
      <c r="AJ62" s="18" t="s">
        <v>67</v>
      </c>
      <c r="AK62" s="21">
        <v>5.5</v>
      </c>
      <c r="AL62" s="18" t="s">
        <v>52</v>
      </c>
      <c r="AM62" s="21">
        <v>16446.727299999999</v>
      </c>
      <c r="AN62" s="19">
        <v>90457.000150000007</v>
      </c>
      <c r="AP62" s="20" t="s">
        <v>630</v>
      </c>
      <c r="AQ62" s="18" t="s">
        <v>631</v>
      </c>
      <c r="AR62" s="18" t="s">
        <v>67</v>
      </c>
      <c r="AS62" s="21">
        <v>7</v>
      </c>
      <c r="AT62" s="18" t="s">
        <v>20</v>
      </c>
      <c r="AU62" s="21">
        <v>2193.8182000000002</v>
      </c>
      <c r="AV62" s="19">
        <v>15356.7274</v>
      </c>
      <c r="AX62" s="20" t="s">
        <v>630</v>
      </c>
      <c r="AY62" s="18" t="s">
        <v>631</v>
      </c>
      <c r="AZ62" s="18" t="s">
        <v>67</v>
      </c>
      <c r="BA62" s="21">
        <v>7</v>
      </c>
      <c r="BB62" s="18" t="s">
        <v>20</v>
      </c>
      <c r="BC62" s="21">
        <v>2193.8182000000002</v>
      </c>
      <c r="BD62" s="19">
        <v>15356.7274</v>
      </c>
    </row>
    <row r="63" spans="1:56" x14ac:dyDescent="0.35">
      <c r="A63" s="38" t="str">
        <v>STA00096</v>
      </c>
      <c r="B63" s="31" t="str">
        <f t="shared" si="4"/>
        <v>HANSAPLAS</v>
      </c>
      <c r="C63" s="31" t="str">
        <f t="shared" si="5"/>
        <v>STATIONARY AND OFFICE SUPPLIES</v>
      </c>
      <c r="D63" s="66" t="str">
        <f t="shared" si="6"/>
        <v>pack</v>
      </c>
      <c r="E63" s="53">
        <f t="shared" si="7"/>
        <v>34500</v>
      </c>
      <c r="F63" s="48">
        <f t="shared" si="8"/>
        <v>0.86</v>
      </c>
      <c r="G63" s="67">
        <f t="shared" si="9"/>
        <v>0.14000000000000001</v>
      </c>
      <c r="H63" s="67">
        <f t="shared" si="10"/>
        <v>-0.72</v>
      </c>
      <c r="I63" s="53">
        <f t="shared" si="11"/>
        <v>-24840</v>
      </c>
      <c r="J63" s="31" t="str">
        <f t="shared" si="12"/>
        <v>Penurunan IU</v>
      </c>
      <c r="K63" s="42"/>
      <c r="O63" s="3">
        <v>12</v>
      </c>
      <c r="P63" t="s">
        <v>83</v>
      </c>
      <c r="Q63" t="s">
        <v>84</v>
      </c>
      <c r="R63" t="s">
        <v>67</v>
      </c>
      <c r="S63" s="10">
        <v>1</v>
      </c>
      <c r="T63" t="s">
        <v>20</v>
      </c>
      <c r="U63" s="10">
        <v>7250</v>
      </c>
      <c r="V63" s="4">
        <v>7250</v>
      </c>
      <c r="X63" s="3" t="s">
        <v>288</v>
      </c>
      <c r="Y63" t="s">
        <v>289</v>
      </c>
      <c r="Z63" t="s">
        <v>165</v>
      </c>
      <c r="AA63" s="10">
        <v>1</v>
      </c>
      <c r="AB63" t="s">
        <v>20</v>
      </c>
      <c r="AC63" s="10">
        <v>45500</v>
      </c>
      <c r="AD63" s="4">
        <v>45500</v>
      </c>
      <c r="AG63" s="20">
        <v>21</v>
      </c>
      <c r="AH63" s="18" t="s">
        <v>258</v>
      </c>
      <c r="AI63" s="18" t="s">
        <v>259</v>
      </c>
      <c r="AJ63" s="18" t="s">
        <v>67</v>
      </c>
      <c r="AK63" s="21">
        <v>0.5</v>
      </c>
      <c r="AL63" s="18" t="s">
        <v>5</v>
      </c>
      <c r="AM63" s="21">
        <v>24500</v>
      </c>
      <c r="AN63" s="19">
        <v>12250</v>
      </c>
      <c r="AP63" s="20" t="s">
        <v>364</v>
      </c>
      <c r="AQ63" s="18" t="s">
        <v>365</v>
      </c>
      <c r="AR63" s="18" t="s">
        <v>67</v>
      </c>
      <c r="AS63" s="21">
        <v>5.5</v>
      </c>
      <c r="AT63" s="18" t="s">
        <v>52</v>
      </c>
      <c r="AU63" s="21">
        <v>16446.727299999999</v>
      </c>
      <c r="AV63" s="19">
        <v>90457.000150000007</v>
      </c>
      <c r="AX63" s="20" t="s">
        <v>364</v>
      </c>
      <c r="AY63" s="18" t="s">
        <v>365</v>
      </c>
      <c r="AZ63" s="18" t="s">
        <v>67</v>
      </c>
      <c r="BA63" s="21">
        <v>5.5</v>
      </c>
      <c r="BB63" s="18" t="s">
        <v>52</v>
      </c>
      <c r="BC63" s="21">
        <v>16446.727299999999</v>
      </c>
      <c r="BD63" s="19">
        <v>90457.000150000007</v>
      </c>
    </row>
    <row r="64" spans="1:56" x14ac:dyDescent="0.35">
      <c r="A64" s="38" t="str">
        <v>STA00097</v>
      </c>
      <c r="B64" s="31" t="str">
        <f t="shared" si="4"/>
        <v>BIOPLACENTON</v>
      </c>
      <c r="C64" s="31" t="str">
        <f t="shared" si="5"/>
        <v>STATIONARY AND OFFICE SUPPLIES</v>
      </c>
      <c r="D64" s="66" t="str">
        <f t="shared" si="6"/>
        <v>pcs</v>
      </c>
      <c r="E64" s="53">
        <f t="shared" si="7"/>
        <v>28500</v>
      </c>
      <c r="F64" s="48" t="str">
        <f t="shared" si="8"/>
        <v>0</v>
      </c>
      <c r="G64" s="67">
        <f t="shared" si="9"/>
        <v>1</v>
      </c>
      <c r="H64" s="67">
        <f t="shared" si="10"/>
        <v>1</v>
      </c>
      <c r="I64" s="53">
        <f t="shared" si="11"/>
        <v>28500</v>
      </c>
      <c r="J64" s="31" t="str">
        <f t="shared" si="12"/>
        <v>Kenaikan IU</v>
      </c>
      <c r="K64" s="42"/>
      <c r="O64" s="3">
        <v>13</v>
      </c>
      <c r="P64" t="s">
        <v>85</v>
      </c>
      <c r="Q64" t="s">
        <v>86</v>
      </c>
      <c r="R64" t="s">
        <v>67</v>
      </c>
      <c r="S64" s="10">
        <v>3.5</v>
      </c>
      <c r="T64" t="s">
        <v>87</v>
      </c>
      <c r="U64" s="10">
        <v>18500</v>
      </c>
      <c r="V64" s="4">
        <v>64750</v>
      </c>
      <c r="X64" s="3" t="s">
        <v>648</v>
      </c>
      <c r="Y64" t="s">
        <v>649</v>
      </c>
      <c r="Z64" t="s">
        <v>165</v>
      </c>
      <c r="AA64" s="10">
        <v>2</v>
      </c>
      <c r="AB64" t="s">
        <v>20</v>
      </c>
      <c r="AC64" s="10">
        <v>27480.833299999998</v>
      </c>
      <c r="AD64" s="4">
        <v>54961.666599999997</v>
      </c>
      <c r="AG64" s="20">
        <v>22</v>
      </c>
      <c r="AH64" s="18" t="s">
        <v>260</v>
      </c>
      <c r="AI64" s="18" t="s">
        <v>261</v>
      </c>
      <c r="AJ64" s="18" t="s">
        <v>67</v>
      </c>
      <c r="AK64" s="21">
        <v>1</v>
      </c>
      <c r="AL64" s="18" t="s">
        <v>5</v>
      </c>
      <c r="AM64" s="21">
        <v>1998</v>
      </c>
      <c r="AN64" s="19">
        <v>1998</v>
      </c>
      <c r="AP64" s="20" t="s">
        <v>258</v>
      </c>
      <c r="AQ64" s="18" t="s">
        <v>259</v>
      </c>
      <c r="AR64" s="18" t="s">
        <v>67</v>
      </c>
      <c r="AS64" s="21">
        <v>0.5</v>
      </c>
      <c r="AT64" s="18" t="s">
        <v>5</v>
      </c>
      <c r="AU64" s="21">
        <v>24500</v>
      </c>
      <c r="AV64" s="19">
        <v>12250</v>
      </c>
      <c r="AX64" s="20" t="s">
        <v>258</v>
      </c>
      <c r="AY64" s="18" t="s">
        <v>259</v>
      </c>
      <c r="AZ64" s="18" t="s">
        <v>67</v>
      </c>
      <c r="BA64" s="21">
        <v>0.5</v>
      </c>
      <c r="BB64" s="18" t="s">
        <v>5</v>
      </c>
      <c r="BC64" s="21">
        <v>24500</v>
      </c>
      <c r="BD64" s="19">
        <v>12250</v>
      </c>
    </row>
    <row r="65" spans="1:56" x14ac:dyDescent="0.35">
      <c r="A65" s="38" t="str">
        <v>STA00109</v>
      </c>
      <c r="B65" s="31" t="str">
        <f t="shared" si="4"/>
        <v>STOCK CARD</v>
      </c>
      <c r="C65" s="31" t="str">
        <f t="shared" si="5"/>
        <v>STATIONARY AND OFFICE SUPPLIES</v>
      </c>
      <c r="D65" s="66" t="str">
        <f t="shared" si="6"/>
        <v>pack</v>
      </c>
      <c r="E65" s="53">
        <f t="shared" si="7"/>
        <v>18969.330000000002</v>
      </c>
      <c r="F65" s="48">
        <f t="shared" si="8"/>
        <v>3</v>
      </c>
      <c r="G65" s="67">
        <f t="shared" si="9"/>
        <v>2</v>
      </c>
      <c r="H65" s="67">
        <f t="shared" si="10"/>
        <v>-1</v>
      </c>
      <c r="I65" s="53">
        <f t="shared" si="11"/>
        <v>-18969.330000000002</v>
      </c>
      <c r="J65" s="31" t="str">
        <f t="shared" si="12"/>
        <v>Penurunan IU</v>
      </c>
      <c r="K65" s="42"/>
      <c r="O65" s="3">
        <v>14</v>
      </c>
      <c r="P65" t="s">
        <v>242</v>
      </c>
      <c r="Q65" t="s">
        <v>243</v>
      </c>
      <c r="R65" t="s">
        <v>67</v>
      </c>
      <c r="S65" s="10">
        <v>4</v>
      </c>
      <c r="T65" t="s">
        <v>87</v>
      </c>
      <c r="U65" s="10">
        <v>14500</v>
      </c>
      <c r="V65" s="4">
        <v>58000</v>
      </c>
      <c r="X65" s="3" t="s">
        <v>290</v>
      </c>
      <c r="Y65" t="s">
        <v>291</v>
      </c>
      <c r="Z65" t="s">
        <v>165</v>
      </c>
      <c r="AA65" s="10">
        <v>2</v>
      </c>
      <c r="AB65" t="s">
        <v>20</v>
      </c>
      <c r="AC65" s="10">
        <v>12168.3333</v>
      </c>
      <c r="AD65" s="4">
        <v>24336.6666</v>
      </c>
      <c r="AG65" s="20">
        <v>23</v>
      </c>
      <c r="AH65" s="18" t="s">
        <v>852</v>
      </c>
      <c r="AI65" s="18" t="s">
        <v>853</v>
      </c>
      <c r="AJ65" s="18" t="s">
        <v>67</v>
      </c>
      <c r="AK65" s="18">
        <v>1</v>
      </c>
      <c r="AL65" s="18" t="s">
        <v>20</v>
      </c>
      <c r="AM65" s="18">
        <v>7200</v>
      </c>
      <c r="AN65" s="19">
        <v>7200</v>
      </c>
      <c r="AP65" s="20" t="s">
        <v>260</v>
      </c>
      <c r="AQ65" s="18" t="s">
        <v>261</v>
      </c>
      <c r="AR65" s="18" t="s">
        <v>67</v>
      </c>
      <c r="AS65" s="21">
        <v>1</v>
      </c>
      <c r="AT65" s="18" t="s">
        <v>5</v>
      </c>
      <c r="AU65" s="21">
        <v>1998</v>
      </c>
      <c r="AV65" s="19">
        <v>1998</v>
      </c>
      <c r="AX65" s="20" t="s">
        <v>260</v>
      </c>
      <c r="AY65" s="18" t="s">
        <v>261</v>
      </c>
      <c r="AZ65" s="18" t="s">
        <v>67</v>
      </c>
      <c r="BA65" s="21">
        <v>1</v>
      </c>
      <c r="BB65" s="18" t="s">
        <v>5</v>
      </c>
      <c r="BC65" s="21">
        <v>1998</v>
      </c>
      <c r="BD65" s="19">
        <v>1998</v>
      </c>
    </row>
    <row r="66" spans="1:56" ht="15" thickBot="1" x14ac:dyDescent="0.4">
      <c r="A66" s="38" t="str">
        <v>STA00114</v>
      </c>
      <c r="B66" s="31" t="str">
        <f t="shared" si="4"/>
        <v>LABEL HARGA</v>
      </c>
      <c r="C66" s="31" t="str">
        <f t="shared" si="5"/>
        <v>STATIONARY AND OFFICE SUPPLIES</v>
      </c>
      <c r="D66" s="66" t="str">
        <f t="shared" si="6"/>
        <v>pcs</v>
      </c>
      <c r="E66" s="53">
        <f t="shared" si="7"/>
        <v>2193.8200000000002</v>
      </c>
      <c r="F66" s="48">
        <f t="shared" si="8"/>
        <v>12</v>
      </c>
      <c r="G66" s="67">
        <f t="shared" si="9"/>
        <v>7</v>
      </c>
      <c r="H66" s="67">
        <f t="shared" si="10"/>
        <v>-5</v>
      </c>
      <c r="I66" s="53">
        <f t="shared" si="11"/>
        <v>-10969.1</v>
      </c>
      <c r="J66" s="31" t="str">
        <f t="shared" si="12"/>
        <v>Penurunan IU</v>
      </c>
      <c r="K66" s="42"/>
      <c r="O66" s="3">
        <v>15</v>
      </c>
      <c r="P66" t="s">
        <v>88</v>
      </c>
      <c r="Q66" t="s">
        <v>89</v>
      </c>
      <c r="R66" t="s">
        <v>67</v>
      </c>
      <c r="S66" s="10">
        <v>1</v>
      </c>
      <c r="T66" t="s">
        <v>5</v>
      </c>
      <c r="U66" s="10">
        <v>1750</v>
      </c>
      <c r="V66" s="4">
        <v>1750</v>
      </c>
      <c r="X66" s="3" t="s">
        <v>178</v>
      </c>
      <c r="Y66" t="s">
        <v>179</v>
      </c>
      <c r="Z66" t="s">
        <v>165</v>
      </c>
      <c r="AA66" s="10">
        <v>2</v>
      </c>
      <c r="AB66" t="s">
        <v>20</v>
      </c>
      <c r="AC66" s="10">
        <v>9945</v>
      </c>
      <c r="AD66" s="4">
        <v>19890</v>
      </c>
      <c r="AG66" s="22" t="s">
        <v>223</v>
      </c>
      <c r="AH66" s="23" t="s">
        <v>223</v>
      </c>
      <c r="AI66" s="23" t="s">
        <v>223</v>
      </c>
      <c r="AJ66" s="23" t="s">
        <v>223</v>
      </c>
      <c r="AK66" s="23" t="s">
        <v>223</v>
      </c>
      <c r="AL66" s="23" t="s">
        <v>223</v>
      </c>
      <c r="AM66" s="23" t="s">
        <v>224</v>
      </c>
      <c r="AN66" s="24">
        <v>1253535.8158499999</v>
      </c>
      <c r="AP66" s="20" t="s">
        <v>852</v>
      </c>
      <c r="AQ66" s="18" t="s">
        <v>853</v>
      </c>
      <c r="AR66" s="18" t="s">
        <v>67</v>
      </c>
      <c r="AS66" s="18">
        <v>1</v>
      </c>
      <c r="AT66" s="18" t="s">
        <v>20</v>
      </c>
      <c r="AU66" s="18">
        <v>7200</v>
      </c>
      <c r="AV66" s="19">
        <v>7200</v>
      </c>
      <c r="AX66" s="20" t="s">
        <v>852</v>
      </c>
      <c r="AY66" s="18" t="s">
        <v>853</v>
      </c>
      <c r="AZ66" s="18" t="s">
        <v>67</v>
      </c>
      <c r="BA66" s="18">
        <v>1</v>
      </c>
      <c r="BB66" s="18" t="s">
        <v>20</v>
      </c>
      <c r="BC66" s="18">
        <v>7200</v>
      </c>
      <c r="BD66" s="19">
        <v>7200</v>
      </c>
    </row>
    <row r="67" spans="1:56" x14ac:dyDescent="0.35">
      <c r="A67" s="38" t="str">
        <v>STA00115</v>
      </c>
      <c r="B67" s="31" t="str">
        <f t="shared" si="4"/>
        <v>STICKER SAUCE</v>
      </c>
      <c r="C67" s="31" t="str">
        <f t="shared" si="5"/>
        <v>STATIONARY AND OFFICE SUPPLIES</v>
      </c>
      <c r="D67" s="66" t="str">
        <f t="shared" si="6"/>
        <v>lembar</v>
      </c>
      <c r="E67" s="53">
        <f t="shared" si="7"/>
        <v>16446.73</v>
      </c>
      <c r="F67" s="48">
        <f t="shared" si="8"/>
        <v>0.5</v>
      </c>
      <c r="G67" s="67">
        <f t="shared" si="9"/>
        <v>5.5</v>
      </c>
      <c r="H67" s="67">
        <f t="shared" si="10"/>
        <v>5</v>
      </c>
      <c r="I67" s="53">
        <f t="shared" si="11"/>
        <v>82233.649999999994</v>
      </c>
      <c r="J67" s="31" t="str">
        <f t="shared" si="12"/>
        <v>Kenaikan IU</v>
      </c>
      <c r="K67" s="42"/>
      <c r="O67" s="3">
        <v>16</v>
      </c>
      <c r="P67" t="s">
        <v>327</v>
      </c>
      <c r="Q67" t="s">
        <v>328</v>
      </c>
      <c r="R67" t="s">
        <v>67</v>
      </c>
      <c r="S67" s="10">
        <v>0.5</v>
      </c>
      <c r="T67" t="s">
        <v>5</v>
      </c>
      <c r="U67" s="10">
        <v>6250</v>
      </c>
      <c r="V67" s="4">
        <v>3125</v>
      </c>
      <c r="X67" s="3" t="s">
        <v>431</v>
      </c>
      <c r="Y67" t="s">
        <v>432</v>
      </c>
      <c r="Z67" t="s">
        <v>165</v>
      </c>
      <c r="AA67" s="10">
        <v>1</v>
      </c>
      <c r="AB67" t="s">
        <v>20</v>
      </c>
      <c r="AC67" s="10">
        <v>30681.538499999999</v>
      </c>
      <c r="AD67" s="4">
        <v>30681.538499999999</v>
      </c>
      <c r="AP67" s="20" t="s">
        <v>166</v>
      </c>
      <c r="AQ67" s="18" t="s">
        <v>167</v>
      </c>
      <c r="AR67" s="18" t="s">
        <v>165</v>
      </c>
      <c r="AS67" s="21">
        <v>2</v>
      </c>
      <c r="AT67" s="18" t="s">
        <v>20</v>
      </c>
      <c r="AU67" s="21">
        <v>25700.68</v>
      </c>
      <c r="AV67" s="19">
        <v>51401.36</v>
      </c>
      <c r="AX67" s="20" t="s">
        <v>166</v>
      </c>
      <c r="AY67" s="18" t="s">
        <v>167</v>
      </c>
      <c r="AZ67" s="18" t="s">
        <v>165</v>
      </c>
      <c r="BA67" s="21">
        <v>2</v>
      </c>
      <c r="BB67" s="18" t="s">
        <v>20</v>
      </c>
      <c r="BC67" s="21">
        <v>25700.68</v>
      </c>
      <c r="BD67" s="19">
        <v>51401.36</v>
      </c>
    </row>
    <row r="68" spans="1:56" ht="15" thickBot="1" x14ac:dyDescent="0.4">
      <c r="A68" s="38" t="str">
        <v>STA00121</v>
      </c>
      <c r="B68" s="31" t="str">
        <f t="shared" si="4"/>
        <v>KERTAS BURAM A4</v>
      </c>
      <c r="C68" s="31" t="str">
        <f t="shared" si="5"/>
        <v>STATIONARY AND OFFICE SUPPLIES</v>
      </c>
      <c r="D68" s="66" t="str">
        <f t="shared" si="6"/>
        <v>pack</v>
      </c>
      <c r="E68" s="53">
        <f t="shared" si="7"/>
        <v>24500</v>
      </c>
      <c r="F68" s="48">
        <f t="shared" si="8"/>
        <v>1</v>
      </c>
      <c r="G68" s="67">
        <f t="shared" si="9"/>
        <v>0.5</v>
      </c>
      <c r="H68" s="67">
        <f t="shared" si="10"/>
        <v>-0.5</v>
      </c>
      <c r="I68" s="53">
        <f t="shared" si="11"/>
        <v>-12250</v>
      </c>
      <c r="J68" s="31" t="str">
        <f t="shared" si="12"/>
        <v>Penurunan IU</v>
      </c>
      <c r="K68" s="42"/>
      <c r="O68" s="3">
        <v>17</v>
      </c>
      <c r="P68" t="s">
        <v>90</v>
      </c>
      <c r="Q68" t="s">
        <v>91</v>
      </c>
      <c r="R68" t="s">
        <v>67</v>
      </c>
      <c r="S68" s="10">
        <v>0.1</v>
      </c>
      <c r="T68" t="s">
        <v>5</v>
      </c>
      <c r="U68" s="10">
        <v>6250</v>
      </c>
      <c r="V68" s="4">
        <v>625</v>
      </c>
      <c r="X68" s="3" t="s">
        <v>650</v>
      </c>
      <c r="Y68" t="s">
        <v>651</v>
      </c>
      <c r="Z68" t="s">
        <v>165</v>
      </c>
      <c r="AA68" s="10">
        <v>1</v>
      </c>
      <c r="AB68" t="s">
        <v>20</v>
      </c>
      <c r="AC68" s="10">
        <v>7250</v>
      </c>
      <c r="AD68" s="4">
        <v>7250</v>
      </c>
      <c r="AP68" s="20" t="s">
        <v>168</v>
      </c>
      <c r="AQ68" s="18" t="s">
        <v>169</v>
      </c>
      <c r="AR68" s="18" t="s">
        <v>165</v>
      </c>
      <c r="AS68" s="21">
        <v>8</v>
      </c>
      <c r="AT68" s="18" t="s">
        <v>20</v>
      </c>
      <c r="AU68" s="21">
        <v>36156</v>
      </c>
      <c r="AV68" s="19">
        <v>289248</v>
      </c>
      <c r="AX68" s="20" t="s">
        <v>168</v>
      </c>
      <c r="AY68" s="18" t="s">
        <v>169</v>
      </c>
      <c r="AZ68" s="18" t="s">
        <v>165</v>
      </c>
      <c r="BA68" s="21">
        <v>8</v>
      </c>
      <c r="BB68" s="18" t="s">
        <v>20</v>
      </c>
      <c r="BC68" s="21">
        <v>36156</v>
      </c>
      <c r="BD68" s="19">
        <v>289248</v>
      </c>
    </row>
    <row r="69" spans="1:56" x14ac:dyDescent="0.35">
      <c r="A69" s="38" t="str">
        <v>STA00125</v>
      </c>
      <c r="B69" s="31" t="str">
        <f t="shared" si="4"/>
        <v>PAPER CLIP NO. 1</v>
      </c>
      <c r="C69" s="31" t="str">
        <f t="shared" si="5"/>
        <v>STATIONARY AND OFFICE SUPPLIES</v>
      </c>
      <c r="D69" s="66" t="str">
        <f t="shared" si="6"/>
        <v>pack</v>
      </c>
      <c r="E69" s="53">
        <f t="shared" si="7"/>
        <v>1998</v>
      </c>
      <c r="F69" s="48">
        <f t="shared" si="8"/>
        <v>2</v>
      </c>
      <c r="G69" s="67">
        <f t="shared" si="9"/>
        <v>1</v>
      </c>
      <c r="H69" s="67">
        <f t="shared" si="10"/>
        <v>-1</v>
      </c>
      <c r="I69" s="53">
        <f t="shared" si="11"/>
        <v>-1998</v>
      </c>
      <c r="J69" s="31" t="str">
        <f t="shared" si="12"/>
        <v>Penurunan IU</v>
      </c>
      <c r="K69" s="42"/>
      <c r="O69" s="3">
        <v>18</v>
      </c>
      <c r="P69" t="s">
        <v>516</v>
      </c>
      <c r="Q69" t="s">
        <v>517</v>
      </c>
      <c r="R69" t="s">
        <v>67</v>
      </c>
      <c r="S69" s="10">
        <v>0.5</v>
      </c>
      <c r="T69" t="s">
        <v>5</v>
      </c>
      <c r="U69" s="10">
        <v>10000</v>
      </c>
      <c r="V69" s="4">
        <v>5000</v>
      </c>
      <c r="X69" s="3" t="s">
        <v>539</v>
      </c>
      <c r="Y69" t="s">
        <v>540</v>
      </c>
      <c r="Z69" t="s">
        <v>165</v>
      </c>
      <c r="AA69" s="10">
        <v>1</v>
      </c>
      <c r="AB69" t="s">
        <v>20</v>
      </c>
      <c r="AC69" s="10">
        <v>20250</v>
      </c>
      <c r="AD69" s="4">
        <v>20250</v>
      </c>
      <c r="AG69" s="84" t="s">
        <v>0</v>
      </c>
      <c r="AH69" s="85"/>
      <c r="AI69" s="85"/>
      <c r="AJ69" s="85"/>
      <c r="AK69" s="85"/>
      <c r="AL69" s="16"/>
      <c r="AM69" s="16"/>
      <c r="AN69" s="17"/>
      <c r="AP69" s="20" t="s">
        <v>286</v>
      </c>
      <c r="AQ69" s="18" t="s">
        <v>287</v>
      </c>
      <c r="AR69" s="18" t="s">
        <v>165</v>
      </c>
      <c r="AS69" s="21">
        <v>1</v>
      </c>
      <c r="AT69" s="18" t="s">
        <v>20</v>
      </c>
      <c r="AU69" s="21">
        <v>43200</v>
      </c>
      <c r="AV69" s="19">
        <v>43200</v>
      </c>
      <c r="AX69" s="20" t="s">
        <v>286</v>
      </c>
      <c r="AY69" s="18" t="s">
        <v>287</v>
      </c>
      <c r="AZ69" s="18" t="s">
        <v>165</v>
      </c>
      <c r="BA69" s="21">
        <v>1</v>
      </c>
      <c r="BB69" s="18" t="s">
        <v>20</v>
      </c>
      <c r="BC69" s="21">
        <v>43200</v>
      </c>
      <c r="BD69" s="19">
        <v>43200</v>
      </c>
    </row>
    <row r="70" spans="1:56" x14ac:dyDescent="0.35">
      <c r="A70" s="38" t="str">
        <v>STA00190</v>
      </c>
      <c r="B70" s="31" t="str">
        <f t="shared" si="4"/>
        <v>TINTA LABELER</v>
      </c>
      <c r="C70" s="31" t="str">
        <f t="shared" si="5"/>
        <v>STATIONARY AND OFFICE SUPPLIES</v>
      </c>
      <c r="D70" s="66" t="str">
        <f t="shared" si="6"/>
        <v>pcs</v>
      </c>
      <c r="E70" s="53">
        <f t="shared" si="7"/>
        <v>7200</v>
      </c>
      <c r="F70" s="48" t="str">
        <f t="shared" si="8"/>
        <v>0</v>
      </c>
      <c r="G70" s="67">
        <f t="shared" si="9"/>
        <v>1</v>
      </c>
      <c r="H70" s="67">
        <f t="shared" si="10"/>
        <v>1</v>
      </c>
      <c r="I70" s="53">
        <f t="shared" si="11"/>
        <v>7200</v>
      </c>
      <c r="J70" s="31" t="str">
        <f t="shared" si="12"/>
        <v>Kenaikan IU</v>
      </c>
      <c r="K70" s="42"/>
      <c r="O70" s="3">
        <v>19</v>
      </c>
      <c r="P70" t="s">
        <v>92</v>
      </c>
      <c r="Q70" t="s">
        <v>93</v>
      </c>
      <c r="R70" t="s">
        <v>67</v>
      </c>
      <c r="S70" s="10">
        <v>56</v>
      </c>
      <c r="T70" t="s">
        <v>94</v>
      </c>
      <c r="U70" s="10">
        <v>11800.754800000001</v>
      </c>
      <c r="V70" s="4">
        <v>660842.26879999996</v>
      </c>
      <c r="X70" s="3" t="s">
        <v>542</v>
      </c>
      <c r="Y70" t="s">
        <v>543</v>
      </c>
      <c r="Z70" t="s">
        <v>165</v>
      </c>
      <c r="AA70" s="10">
        <v>2</v>
      </c>
      <c r="AB70" t="s">
        <v>20</v>
      </c>
      <c r="AC70" s="10">
        <v>22153.85</v>
      </c>
      <c r="AD70" s="4">
        <v>44307.7</v>
      </c>
      <c r="AG70" s="82" t="s">
        <v>1</v>
      </c>
      <c r="AH70" s="83"/>
      <c r="AI70" s="83"/>
      <c r="AJ70" s="83"/>
      <c r="AK70" s="83"/>
      <c r="AL70" s="18"/>
      <c r="AM70" s="18"/>
      <c r="AN70" s="19"/>
      <c r="AP70" s="20" t="s">
        <v>847</v>
      </c>
      <c r="AQ70" s="18" t="s">
        <v>848</v>
      </c>
      <c r="AR70" s="18" t="s">
        <v>165</v>
      </c>
      <c r="AS70" s="21">
        <v>1</v>
      </c>
      <c r="AT70" s="18" t="s">
        <v>20</v>
      </c>
      <c r="AU70" s="21">
        <v>9300</v>
      </c>
      <c r="AV70" s="19">
        <v>9300</v>
      </c>
      <c r="AX70" s="20" t="s">
        <v>847</v>
      </c>
      <c r="AY70" s="18" t="s">
        <v>848</v>
      </c>
      <c r="AZ70" s="18" t="s">
        <v>165</v>
      </c>
      <c r="BA70" s="21">
        <v>1</v>
      </c>
      <c r="BB70" s="18" t="s">
        <v>20</v>
      </c>
      <c r="BC70" s="21">
        <v>9300</v>
      </c>
      <c r="BD70" s="19">
        <v>9300</v>
      </c>
    </row>
    <row r="71" spans="1:56" x14ac:dyDescent="0.35">
      <c r="A71" s="38" t="str">
        <v>KW000025</v>
      </c>
      <c r="B71" s="31" t="str">
        <f t="shared" si="4"/>
        <v>GUNTING DAPUR</v>
      </c>
      <c r="C71" s="31" t="str">
        <f t="shared" si="5"/>
        <v>KITCHENWARE TOOLS</v>
      </c>
      <c r="D71" s="66" t="str">
        <f t="shared" si="6"/>
        <v>pcs</v>
      </c>
      <c r="E71" s="53">
        <f t="shared" si="7"/>
        <v>25700.68</v>
      </c>
      <c r="F71" s="48">
        <f t="shared" si="8"/>
        <v>1</v>
      </c>
      <c r="G71" s="67">
        <f t="shared" si="9"/>
        <v>2</v>
      </c>
      <c r="H71" s="67">
        <f t="shared" si="10"/>
        <v>1</v>
      </c>
      <c r="I71" s="53">
        <f t="shared" si="11"/>
        <v>25700.68</v>
      </c>
      <c r="J71" s="31" t="str">
        <f t="shared" si="12"/>
        <v>Kenaikan IU</v>
      </c>
      <c r="K71" s="42"/>
      <c r="O71" s="3">
        <v>20</v>
      </c>
      <c r="P71" t="s">
        <v>518</v>
      </c>
      <c r="Q71" t="s">
        <v>519</v>
      </c>
      <c r="R71" t="s">
        <v>67</v>
      </c>
      <c r="S71" s="10">
        <v>1</v>
      </c>
      <c r="T71" t="s">
        <v>98</v>
      </c>
      <c r="U71" s="10">
        <v>18000</v>
      </c>
      <c r="V71" s="4">
        <v>18000</v>
      </c>
      <c r="X71" s="3" t="s">
        <v>436</v>
      </c>
      <c r="Y71" t="s">
        <v>437</v>
      </c>
      <c r="Z71" t="s">
        <v>165</v>
      </c>
      <c r="AA71" s="10">
        <v>0.5</v>
      </c>
      <c r="AB71" t="s">
        <v>5</v>
      </c>
      <c r="AC71" s="10">
        <v>11000</v>
      </c>
      <c r="AD71" s="4">
        <v>5500</v>
      </c>
      <c r="AG71" s="20"/>
      <c r="AH71" s="18"/>
      <c r="AI71" s="18"/>
      <c r="AJ71" s="18"/>
      <c r="AK71" s="18"/>
      <c r="AL71" s="18"/>
      <c r="AM71" s="18"/>
      <c r="AN71" s="19"/>
      <c r="AP71" s="20" t="s">
        <v>536</v>
      </c>
      <c r="AQ71" s="18" t="s">
        <v>537</v>
      </c>
      <c r="AR71" s="18" t="s">
        <v>165</v>
      </c>
      <c r="AS71" s="21">
        <v>2</v>
      </c>
      <c r="AT71" s="18" t="s">
        <v>20</v>
      </c>
      <c r="AU71" s="21">
        <v>62500</v>
      </c>
      <c r="AV71" s="19">
        <v>125000</v>
      </c>
      <c r="AX71" s="20" t="s">
        <v>536</v>
      </c>
      <c r="AY71" s="18" t="s">
        <v>537</v>
      </c>
      <c r="AZ71" s="18" t="s">
        <v>165</v>
      </c>
      <c r="BA71" s="21">
        <v>2</v>
      </c>
      <c r="BB71" s="18" t="s">
        <v>20</v>
      </c>
      <c r="BC71" s="21">
        <v>62500</v>
      </c>
      <c r="BD71" s="19">
        <v>125000</v>
      </c>
    </row>
    <row r="72" spans="1:56" x14ac:dyDescent="0.35">
      <c r="A72" s="38" t="str">
        <v>KW000049</v>
      </c>
      <c r="B72" s="31" t="str">
        <f t="shared" si="4"/>
        <v>GAS TORCH 8612</v>
      </c>
      <c r="C72" s="31" t="str">
        <f t="shared" si="5"/>
        <v>KITCHENWARE TOOLS</v>
      </c>
      <c r="D72" s="66" t="str">
        <f t="shared" si="6"/>
        <v>pcs</v>
      </c>
      <c r="E72" s="53">
        <f t="shared" si="7"/>
        <v>36156</v>
      </c>
      <c r="F72" s="48" t="str">
        <f t="shared" si="8"/>
        <v>0</v>
      </c>
      <c r="G72" s="67">
        <f t="shared" si="9"/>
        <v>8</v>
      </c>
      <c r="H72" s="67">
        <f t="shared" si="10"/>
        <v>8</v>
      </c>
      <c r="I72" s="53">
        <f t="shared" si="11"/>
        <v>289248</v>
      </c>
      <c r="J72" s="31" t="str">
        <f t="shared" si="12"/>
        <v>Kenaikan IU</v>
      </c>
      <c r="K72" s="42"/>
      <c r="O72" s="3">
        <v>21</v>
      </c>
      <c r="P72" t="s">
        <v>96</v>
      </c>
      <c r="Q72" t="s">
        <v>97</v>
      </c>
      <c r="R72" t="s">
        <v>67</v>
      </c>
      <c r="S72" s="10">
        <v>1</v>
      </c>
      <c r="T72" t="s">
        <v>98</v>
      </c>
      <c r="U72" s="10">
        <v>8500</v>
      </c>
      <c r="V72" s="4">
        <v>8500</v>
      </c>
      <c r="X72" s="3" t="s">
        <v>594</v>
      </c>
      <c r="Y72" t="s">
        <v>595</v>
      </c>
      <c r="Z72" t="s">
        <v>182</v>
      </c>
      <c r="AA72" s="10">
        <v>5</v>
      </c>
      <c r="AB72" t="s">
        <v>20</v>
      </c>
      <c r="AC72" s="10">
        <v>19333.33090909091</v>
      </c>
      <c r="AD72" s="4">
        <v>96666.654544999998</v>
      </c>
      <c r="AG72" s="82" t="s">
        <v>10</v>
      </c>
      <c r="AH72" s="83" t="s">
        <v>11</v>
      </c>
      <c r="AI72" s="18" t="s">
        <v>854</v>
      </c>
      <c r="AJ72" s="18"/>
      <c r="AK72" s="18"/>
      <c r="AL72" s="18"/>
      <c r="AM72" s="18"/>
      <c r="AN72" s="19"/>
      <c r="AP72" s="20" t="s">
        <v>296</v>
      </c>
      <c r="AQ72" s="18" t="s">
        <v>297</v>
      </c>
      <c r="AR72" s="18" t="s">
        <v>165</v>
      </c>
      <c r="AS72" s="21">
        <v>7</v>
      </c>
      <c r="AT72" s="18" t="s">
        <v>20</v>
      </c>
      <c r="AU72" s="21">
        <v>18846.9208</v>
      </c>
      <c r="AV72" s="19">
        <v>131928.44560000001</v>
      </c>
      <c r="AX72" s="20" t="s">
        <v>296</v>
      </c>
      <c r="AY72" s="18" t="s">
        <v>297</v>
      </c>
      <c r="AZ72" s="18" t="s">
        <v>165</v>
      </c>
      <c r="BA72" s="21">
        <v>7</v>
      </c>
      <c r="BB72" s="18" t="s">
        <v>20</v>
      </c>
      <c r="BC72" s="21">
        <v>18846.9208</v>
      </c>
      <c r="BD72" s="19">
        <v>131928.44560000001</v>
      </c>
    </row>
    <row r="73" spans="1:56" x14ac:dyDescent="0.35">
      <c r="A73" s="38" t="str">
        <v>KW000054</v>
      </c>
      <c r="B73" s="31" t="str">
        <f t="shared" si="4"/>
        <v>PRAXIS KEEPER 302 10 LITER</v>
      </c>
      <c r="C73" s="31" t="str">
        <f t="shared" si="5"/>
        <v>KITCHENWARE TOOLS</v>
      </c>
      <c r="D73" s="66" t="str">
        <f t="shared" si="6"/>
        <v>pcs</v>
      </c>
      <c r="E73" s="53">
        <f t="shared" si="7"/>
        <v>43200</v>
      </c>
      <c r="F73" s="48">
        <f t="shared" si="8"/>
        <v>1</v>
      </c>
      <c r="G73" s="67">
        <f t="shared" si="9"/>
        <v>1</v>
      </c>
      <c r="H73" s="67">
        <f t="shared" si="10"/>
        <v>0</v>
      </c>
      <c r="I73" s="53">
        <f t="shared" si="11"/>
        <v>0</v>
      </c>
      <c r="J73" s="31" t="str">
        <f t="shared" si="12"/>
        <v>Tidak Ada Perubahan</v>
      </c>
      <c r="K73" s="42"/>
      <c r="O73" s="3">
        <v>22</v>
      </c>
      <c r="P73" t="s">
        <v>520</v>
      </c>
      <c r="Q73" t="s">
        <v>521</v>
      </c>
      <c r="R73" t="s">
        <v>67</v>
      </c>
      <c r="S73" s="10">
        <v>1</v>
      </c>
      <c r="T73" t="s">
        <v>5</v>
      </c>
      <c r="U73" s="10">
        <v>10000</v>
      </c>
      <c r="V73" s="4">
        <v>10000</v>
      </c>
      <c r="X73" s="3" t="s">
        <v>553</v>
      </c>
      <c r="Y73" t="s">
        <v>554</v>
      </c>
      <c r="Z73" t="s">
        <v>182</v>
      </c>
      <c r="AA73" s="10">
        <v>1</v>
      </c>
      <c r="AB73" t="s">
        <v>20</v>
      </c>
      <c r="AC73" s="10">
        <v>20169.697</v>
      </c>
      <c r="AD73" s="4">
        <v>20169.697</v>
      </c>
      <c r="AG73" s="82" t="s">
        <v>16</v>
      </c>
      <c r="AH73" s="83" t="s">
        <v>11</v>
      </c>
      <c r="AI73" s="18" t="s">
        <v>211</v>
      </c>
      <c r="AJ73" s="18"/>
      <c r="AK73" s="18"/>
      <c r="AL73" s="18"/>
      <c r="AM73" s="18"/>
      <c r="AN73" s="19"/>
      <c r="AP73" s="20" t="s">
        <v>547</v>
      </c>
      <c r="AQ73" s="18" t="s">
        <v>548</v>
      </c>
      <c r="AR73" s="18" t="s">
        <v>165</v>
      </c>
      <c r="AS73" s="21">
        <v>1</v>
      </c>
      <c r="AT73" s="18" t="s">
        <v>20</v>
      </c>
      <c r="AU73" s="21">
        <v>36830.14</v>
      </c>
      <c r="AV73" s="19">
        <v>36830.14</v>
      </c>
      <c r="AX73" s="20" t="s">
        <v>547</v>
      </c>
      <c r="AY73" s="18" t="s">
        <v>548</v>
      </c>
      <c r="AZ73" s="18" t="s">
        <v>165</v>
      </c>
      <c r="BA73" s="21">
        <v>1</v>
      </c>
      <c r="BB73" s="18" t="s">
        <v>20</v>
      </c>
      <c r="BC73" s="21">
        <v>36830.14</v>
      </c>
      <c r="BD73" s="19">
        <v>36830.14</v>
      </c>
    </row>
    <row r="74" spans="1:56" x14ac:dyDescent="0.35">
      <c r="A74" s="38" t="str">
        <v>KW00115</v>
      </c>
      <c r="B74" s="31" t="str">
        <f t="shared" si="4"/>
        <v>SUMPIT JP / SUMPIT BAMBU</v>
      </c>
      <c r="C74" s="31" t="str">
        <f t="shared" si="5"/>
        <v>KITCHENWARE TOOLS</v>
      </c>
      <c r="D74" s="66" t="str">
        <f t="shared" si="6"/>
        <v>pcs</v>
      </c>
      <c r="E74" s="53">
        <f t="shared" si="7"/>
        <v>9300</v>
      </c>
      <c r="F74" s="48" t="str">
        <f t="shared" si="8"/>
        <v>0</v>
      </c>
      <c r="G74" s="67">
        <f t="shared" si="9"/>
        <v>1</v>
      </c>
      <c r="H74" s="67">
        <f t="shared" si="10"/>
        <v>1</v>
      </c>
      <c r="I74" s="53">
        <f t="shared" si="11"/>
        <v>9300</v>
      </c>
      <c r="J74" s="31" t="str">
        <f t="shared" si="12"/>
        <v>Kenaikan IU</v>
      </c>
      <c r="K74" s="42"/>
      <c r="O74" s="3">
        <v>23</v>
      </c>
      <c r="P74" t="s">
        <v>100</v>
      </c>
      <c r="Q74" t="s">
        <v>101</v>
      </c>
      <c r="R74" t="s">
        <v>67</v>
      </c>
      <c r="S74" s="10">
        <v>1</v>
      </c>
      <c r="T74" t="s">
        <v>87</v>
      </c>
      <c r="U74" s="10">
        <v>8318.75</v>
      </c>
      <c r="V74" s="4">
        <v>8318.75</v>
      </c>
      <c r="X74" s="3" t="s">
        <v>474</v>
      </c>
      <c r="Y74" t="s">
        <v>475</v>
      </c>
      <c r="Z74" t="s">
        <v>192</v>
      </c>
      <c r="AA74" s="10">
        <v>2</v>
      </c>
      <c r="AB74" t="s">
        <v>20</v>
      </c>
      <c r="AC74" s="10">
        <v>8750</v>
      </c>
      <c r="AD74" s="4">
        <v>17500</v>
      </c>
      <c r="AG74" s="82" t="s">
        <v>21</v>
      </c>
      <c r="AH74" s="83" t="s">
        <v>11</v>
      </c>
      <c r="AI74" s="18" t="s">
        <v>640</v>
      </c>
      <c r="AJ74" s="18"/>
      <c r="AK74" s="18"/>
      <c r="AL74" s="18"/>
      <c r="AM74" s="18"/>
      <c r="AN74" s="19"/>
      <c r="AP74" s="20" t="s">
        <v>184</v>
      </c>
      <c r="AQ74" s="18" t="s">
        <v>185</v>
      </c>
      <c r="AR74" s="18" t="s">
        <v>182</v>
      </c>
      <c r="AS74" s="21">
        <v>20</v>
      </c>
      <c r="AT74" s="18" t="s">
        <v>20</v>
      </c>
      <c r="AU74" s="21">
        <v>1950</v>
      </c>
      <c r="AV74" s="19">
        <v>39000</v>
      </c>
      <c r="AX74" s="20" t="s">
        <v>184</v>
      </c>
      <c r="AY74" s="18" t="s">
        <v>185</v>
      </c>
      <c r="AZ74" s="18" t="s">
        <v>182</v>
      </c>
      <c r="BA74" s="21">
        <v>20</v>
      </c>
      <c r="BB74" s="18" t="s">
        <v>20</v>
      </c>
      <c r="BC74" s="21">
        <v>1950</v>
      </c>
      <c r="BD74" s="19">
        <v>39000</v>
      </c>
    </row>
    <row r="75" spans="1:56" x14ac:dyDescent="0.35">
      <c r="A75" s="38" t="str">
        <v>KW00121</v>
      </c>
      <c r="B75" s="31" t="str">
        <f t="shared" si="4"/>
        <v>DISWASHER APRON</v>
      </c>
      <c r="C75" s="31" t="str">
        <f t="shared" si="5"/>
        <v>KITCHENWARE TOOLS</v>
      </c>
      <c r="D75" s="66" t="str">
        <f t="shared" si="6"/>
        <v>pcs</v>
      </c>
      <c r="E75" s="53">
        <f t="shared" si="7"/>
        <v>62500</v>
      </c>
      <c r="F75" s="48" t="str">
        <f t="shared" si="8"/>
        <v>0</v>
      </c>
      <c r="G75" s="67">
        <f t="shared" si="9"/>
        <v>2</v>
      </c>
      <c r="H75" s="67">
        <f t="shared" si="10"/>
        <v>2</v>
      </c>
      <c r="I75" s="53">
        <f t="shared" si="11"/>
        <v>125000</v>
      </c>
      <c r="J75" s="31" t="str">
        <f t="shared" si="12"/>
        <v>Kenaikan IU</v>
      </c>
      <c r="K75" s="42"/>
      <c r="O75" s="3">
        <v>24</v>
      </c>
      <c r="P75" t="s">
        <v>254</v>
      </c>
      <c r="Q75" t="s">
        <v>255</v>
      </c>
      <c r="R75" t="s">
        <v>67</v>
      </c>
      <c r="S75" s="10">
        <v>0.86</v>
      </c>
      <c r="T75" t="s">
        <v>5</v>
      </c>
      <c r="U75" s="10">
        <v>34500</v>
      </c>
      <c r="V75" s="4">
        <v>29670</v>
      </c>
      <c r="X75" s="3" t="s">
        <v>190</v>
      </c>
      <c r="Y75" t="s">
        <v>191</v>
      </c>
      <c r="Z75" t="s">
        <v>192</v>
      </c>
      <c r="AA75" s="10">
        <v>3</v>
      </c>
      <c r="AB75" t="s">
        <v>20</v>
      </c>
      <c r="AC75" s="10">
        <v>137700.79180000001</v>
      </c>
      <c r="AD75" s="4">
        <v>413102.37540000002</v>
      </c>
      <c r="AG75" s="82" t="s">
        <v>26</v>
      </c>
      <c r="AH75" s="83" t="s">
        <v>11</v>
      </c>
      <c r="AI75" s="18" t="s">
        <v>855</v>
      </c>
      <c r="AJ75" s="18"/>
      <c r="AK75" s="18"/>
      <c r="AL75" s="18"/>
      <c r="AM75" s="18"/>
      <c r="AN75" s="19"/>
      <c r="AP75" s="20" t="s">
        <v>187</v>
      </c>
      <c r="AQ75" s="18" t="s">
        <v>188</v>
      </c>
      <c r="AR75" s="18" t="s">
        <v>182</v>
      </c>
      <c r="AS75" s="21">
        <v>11</v>
      </c>
      <c r="AT75" s="18" t="s">
        <v>20</v>
      </c>
      <c r="AU75" s="21">
        <v>3254.6929</v>
      </c>
      <c r="AV75" s="19">
        <v>35801.621899999998</v>
      </c>
      <c r="AX75" s="20" t="s">
        <v>187</v>
      </c>
      <c r="AY75" s="18" t="s">
        <v>188</v>
      </c>
      <c r="AZ75" s="18" t="s">
        <v>182</v>
      </c>
      <c r="BA75" s="21">
        <v>11</v>
      </c>
      <c r="BB75" s="18" t="s">
        <v>20</v>
      </c>
      <c r="BC75" s="21">
        <v>3254.6929</v>
      </c>
      <c r="BD75" s="19">
        <v>35801.621899999998</v>
      </c>
    </row>
    <row r="76" spans="1:56" ht="15" thickBot="1" x14ac:dyDescent="0.4">
      <c r="A76" s="38" t="str">
        <v>KW00138</v>
      </c>
      <c r="B76" s="31" t="str">
        <f t="shared" si="4"/>
        <v>BOTOL BUMBU TUTUP BUNGA</v>
      </c>
      <c r="C76" s="31" t="str">
        <f t="shared" si="5"/>
        <v>KITCHENWARE TOOLS</v>
      </c>
      <c r="D76" s="66" t="str">
        <f t="shared" si="6"/>
        <v>pcs</v>
      </c>
      <c r="E76" s="53">
        <f t="shared" si="7"/>
        <v>18846.919999999998</v>
      </c>
      <c r="F76" s="48" t="str">
        <f t="shared" si="8"/>
        <v>0</v>
      </c>
      <c r="G76" s="67">
        <f t="shared" si="9"/>
        <v>7</v>
      </c>
      <c r="H76" s="67">
        <f t="shared" si="10"/>
        <v>7</v>
      </c>
      <c r="I76" s="53">
        <f t="shared" si="11"/>
        <v>131928.44</v>
      </c>
      <c r="J76" s="31" t="str">
        <f t="shared" si="12"/>
        <v>Kenaikan IU</v>
      </c>
      <c r="K76" s="42"/>
      <c r="O76" s="3">
        <v>25</v>
      </c>
      <c r="P76" t="s">
        <v>522</v>
      </c>
      <c r="Q76" t="s">
        <v>523</v>
      </c>
      <c r="R76" t="s">
        <v>67</v>
      </c>
      <c r="S76" s="10">
        <v>1</v>
      </c>
      <c r="T76" t="s">
        <v>160</v>
      </c>
      <c r="U76" s="10">
        <v>10500</v>
      </c>
      <c r="V76" s="4">
        <v>10500</v>
      </c>
      <c r="X76" s="3" t="s">
        <v>596</v>
      </c>
      <c r="Y76" t="s">
        <v>597</v>
      </c>
      <c r="Z76" t="s">
        <v>192</v>
      </c>
      <c r="AA76" s="10">
        <v>1</v>
      </c>
      <c r="AB76" t="s">
        <v>20</v>
      </c>
      <c r="AC76" s="10">
        <v>51170</v>
      </c>
      <c r="AD76" s="4">
        <v>51170</v>
      </c>
      <c r="AG76" s="82" t="s">
        <v>31</v>
      </c>
      <c r="AH76" s="83" t="s">
        <v>11</v>
      </c>
      <c r="AI76" s="18" t="s">
        <v>186</v>
      </c>
      <c r="AJ76" s="18"/>
      <c r="AK76" s="18"/>
      <c r="AL76" s="18"/>
      <c r="AM76" s="18"/>
      <c r="AN76" s="19"/>
      <c r="AP76" s="22" t="s">
        <v>333</v>
      </c>
      <c r="AQ76" s="23" t="s">
        <v>334</v>
      </c>
      <c r="AR76" s="23" t="s">
        <v>192</v>
      </c>
      <c r="AS76" s="23">
        <v>11</v>
      </c>
      <c r="AT76" s="23" t="s">
        <v>20</v>
      </c>
      <c r="AU76" s="23">
        <v>3666.67</v>
      </c>
      <c r="AV76" s="24">
        <v>40333.370000000003</v>
      </c>
      <c r="AX76" s="22" t="s">
        <v>333</v>
      </c>
      <c r="AY76" s="23" t="s">
        <v>334</v>
      </c>
      <c r="AZ76" s="23" t="s">
        <v>192</v>
      </c>
      <c r="BA76" s="23">
        <v>11</v>
      </c>
      <c r="BB76" s="23" t="s">
        <v>20</v>
      </c>
      <c r="BC76" s="23">
        <v>3666.67</v>
      </c>
      <c r="BD76" s="24">
        <v>40333.370000000003</v>
      </c>
    </row>
    <row r="77" spans="1:56" ht="15" thickTop="1" x14ac:dyDescent="0.35">
      <c r="A77" s="38" t="str">
        <v>KW00322</v>
      </c>
      <c r="B77" s="31" t="str">
        <f t="shared" ref="B77:B124" si="13">_xlfn.XLOOKUP(A77, AX$8:AX$306, AY$8:AY$306, "", 0)</f>
        <v>PEMATIK GAS</v>
      </c>
      <c r="C77" s="31" t="str">
        <f t="shared" ref="C77:C124" si="14">_xlfn.XLOOKUP(A77, AX$8:AX$306, AZ$8:AZ$306, "", 0)</f>
        <v>KITCHENWARE TOOLS</v>
      </c>
      <c r="D77" s="66" t="str">
        <f t="shared" ref="D77:D124" si="15">_xlfn.XLOOKUP(A77, AX$8:AX$306, BB$8:BB$306, "", 0)</f>
        <v>pcs</v>
      </c>
      <c r="E77" s="53">
        <f t="shared" ref="E77:E124" si="16">ROUND(_xlfn.XLOOKUP(A77, AX$8:AX$306, BC$8:BC$306, "", 0),2)</f>
        <v>36830.14</v>
      </c>
      <c r="F77" s="48" t="str">
        <f t="shared" ref="F77:F124" si="17">_xlfn.XLOOKUP(A77, X$8:X$306, AA$8:AA$306, "0", 0)</f>
        <v>0</v>
      </c>
      <c r="G77" s="67">
        <f t="shared" ref="G77:G124" si="18">_xlfn.XLOOKUP(A77, AP$8:AP$306, AS$8:AS$306, "0", 0)</f>
        <v>1</v>
      </c>
      <c r="H77" s="67">
        <f t="shared" ref="H77:H124" si="19">G77-F77</f>
        <v>1</v>
      </c>
      <c r="I77" s="53">
        <f t="shared" ref="I77:I124" si="20">H77*E77</f>
        <v>36830.14</v>
      </c>
      <c r="J77" s="31" t="str">
        <f t="shared" ref="J77:J124" si="21">CHOOSE(SIGN(G77 - F77) + 2, "Penurunan IU", "Tidak Ada Perubahan", "Kenaikan IU")</f>
        <v>Kenaikan IU</v>
      </c>
      <c r="K77" s="42"/>
      <c r="O77" s="3">
        <v>26</v>
      </c>
      <c r="P77" t="s">
        <v>107</v>
      </c>
      <c r="Q77" t="s">
        <v>108</v>
      </c>
      <c r="R77" t="s">
        <v>67</v>
      </c>
      <c r="S77" s="10">
        <v>3</v>
      </c>
      <c r="T77" t="s">
        <v>5</v>
      </c>
      <c r="U77" s="10">
        <v>16250</v>
      </c>
      <c r="V77" s="4">
        <v>48750</v>
      </c>
      <c r="X77" s="3" t="s">
        <v>442</v>
      </c>
      <c r="Y77" t="s">
        <v>443</v>
      </c>
      <c r="Z77" t="s">
        <v>192</v>
      </c>
      <c r="AA77" s="10">
        <v>3</v>
      </c>
      <c r="AB77" t="s">
        <v>20</v>
      </c>
      <c r="AC77" s="10">
        <v>18480</v>
      </c>
      <c r="AD77" s="4">
        <v>55440</v>
      </c>
      <c r="AG77" s="82" t="s">
        <v>35</v>
      </c>
      <c r="AH77" s="83" t="s">
        <v>11</v>
      </c>
      <c r="AI77" s="18" t="s">
        <v>856</v>
      </c>
      <c r="AJ77" s="18"/>
      <c r="AK77" s="18"/>
      <c r="AL77" s="18"/>
      <c r="AM77" s="18"/>
      <c r="AN77" s="19"/>
      <c r="AX77" s="7" t="s">
        <v>214</v>
      </c>
      <c r="AY77" s="1" t="s">
        <v>215</v>
      </c>
      <c r="AZ77" s="1" t="s">
        <v>4</v>
      </c>
      <c r="BA77" s="8">
        <v>2.2000000000000002</v>
      </c>
      <c r="BB77" s="1" t="s">
        <v>216</v>
      </c>
      <c r="BC77" s="8">
        <v>55299.999999999993</v>
      </c>
      <c r="BD77" s="2">
        <v>121660</v>
      </c>
    </row>
    <row r="78" spans="1:56" x14ac:dyDescent="0.35">
      <c r="A78" s="38" t="str">
        <v>TCT00004</v>
      </c>
      <c r="B78" s="31" t="str">
        <f t="shared" si="13"/>
        <v>MTE SUMPIT STAINLESS SUS304</v>
      </c>
      <c r="C78" s="31" t="str">
        <f t="shared" si="14"/>
        <v>CUTELERIES</v>
      </c>
      <c r="D78" s="66" t="str">
        <f t="shared" si="15"/>
        <v>pcs</v>
      </c>
      <c r="E78" s="53">
        <f t="shared" si="16"/>
        <v>1950</v>
      </c>
      <c r="F78" s="48" t="str">
        <f t="shared" si="17"/>
        <v>0</v>
      </c>
      <c r="G78" s="67">
        <f t="shared" si="18"/>
        <v>20</v>
      </c>
      <c r="H78" s="67">
        <f t="shared" si="19"/>
        <v>20</v>
      </c>
      <c r="I78" s="53">
        <f t="shared" si="20"/>
        <v>39000</v>
      </c>
      <c r="J78" s="31" t="str">
        <f t="shared" si="21"/>
        <v>Kenaikan IU</v>
      </c>
      <c r="K78" s="42"/>
      <c r="O78" s="3">
        <v>27</v>
      </c>
      <c r="P78" t="s">
        <v>110</v>
      </c>
      <c r="Q78" t="s">
        <v>111</v>
      </c>
      <c r="R78" t="s">
        <v>67</v>
      </c>
      <c r="S78" s="10">
        <v>1</v>
      </c>
      <c r="T78" t="s">
        <v>94</v>
      </c>
      <c r="U78" s="10">
        <v>10500</v>
      </c>
      <c r="V78" s="4">
        <v>10500</v>
      </c>
      <c r="X78" s="3" t="s">
        <v>555</v>
      </c>
      <c r="Y78" t="s">
        <v>556</v>
      </c>
      <c r="Z78" t="s">
        <v>192</v>
      </c>
      <c r="AA78" s="10">
        <v>1</v>
      </c>
      <c r="AB78" t="s">
        <v>20</v>
      </c>
      <c r="AC78" s="10">
        <v>36166.666700000009</v>
      </c>
      <c r="AD78" s="4">
        <v>36166.666700000002</v>
      </c>
      <c r="AG78" s="20"/>
      <c r="AH78" s="18"/>
      <c r="AI78" s="18"/>
      <c r="AJ78" s="18"/>
      <c r="AK78" s="18"/>
      <c r="AL78" s="18"/>
      <c r="AM78" s="18"/>
      <c r="AN78" s="19"/>
      <c r="AX78" s="3" t="s">
        <v>2</v>
      </c>
      <c r="AY78" t="s">
        <v>3</v>
      </c>
      <c r="AZ78" t="s">
        <v>4</v>
      </c>
      <c r="BA78" s="10">
        <v>9</v>
      </c>
      <c r="BB78" t="s">
        <v>5</v>
      </c>
      <c r="BC78" s="10">
        <v>21000</v>
      </c>
      <c r="BD78" s="4">
        <v>189000</v>
      </c>
    </row>
    <row r="79" spans="1:56" x14ac:dyDescent="0.35">
      <c r="A79" s="38" t="str">
        <v>TCT00008</v>
      </c>
      <c r="B79" s="31" t="str">
        <f t="shared" si="13"/>
        <v>SENDOK KOREA STAINLESS SUJEO SUS304</v>
      </c>
      <c r="C79" s="31" t="str">
        <f t="shared" si="14"/>
        <v>CUTELERIES</v>
      </c>
      <c r="D79" s="66" t="str">
        <f t="shared" si="15"/>
        <v>pcs</v>
      </c>
      <c r="E79" s="53">
        <f t="shared" si="16"/>
        <v>3254.69</v>
      </c>
      <c r="F79" s="48" t="str">
        <f t="shared" si="17"/>
        <v>0</v>
      </c>
      <c r="G79" s="67">
        <f t="shared" si="18"/>
        <v>11</v>
      </c>
      <c r="H79" s="67">
        <f t="shared" si="19"/>
        <v>11</v>
      </c>
      <c r="I79" s="53">
        <f t="shared" si="20"/>
        <v>35801.590000000004</v>
      </c>
      <c r="J79" s="31" t="str">
        <f t="shared" si="21"/>
        <v>Kenaikan IU</v>
      </c>
      <c r="K79" s="42"/>
      <c r="O79" s="3">
        <v>28</v>
      </c>
      <c r="P79" t="s">
        <v>630</v>
      </c>
      <c r="Q79" t="s">
        <v>631</v>
      </c>
      <c r="R79" t="s">
        <v>67</v>
      </c>
      <c r="S79" s="10">
        <v>12</v>
      </c>
      <c r="T79" t="s">
        <v>20</v>
      </c>
      <c r="U79" s="10">
        <v>1762</v>
      </c>
      <c r="V79" s="4">
        <v>21144</v>
      </c>
      <c r="X79" s="3" t="s">
        <v>333</v>
      </c>
      <c r="Y79" t="s">
        <v>334</v>
      </c>
      <c r="Z79" t="s">
        <v>192</v>
      </c>
      <c r="AA79">
        <v>33</v>
      </c>
      <c r="AB79" t="s">
        <v>20</v>
      </c>
      <c r="AC79">
        <v>3666.67</v>
      </c>
      <c r="AD79" s="4">
        <v>121000.11</v>
      </c>
      <c r="AG79" s="20" t="s">
        <v>42</v>
      </c>
      <c r="AH79" s="18" t="s">
        <v>43</v>
      </c>
      <c r="AI79" s="18" t="s">
        <v>44</v>
      </c>
      <c r="AJ79" s="18" t="s">
        <v>45</v>
      </c>
      <c r="AK79" s="18" t="s">
        <v>46</v>
      </c>
      <c r="AL79" s="18" t="s">
        <v>47</v>
      </c>
      <c r="AM79" s="18" t="s">
        <v>48</v>
      </c>
      <c r="AN79" s="19" t="s">
        <v>49</v>
      </c>
      <c r="AX79" s="3" t="s">
        <v>217</v>
      </c>
      <c r="AY79" t="s">
        <v>218</v>
      </c>
      <c r="AZ79" t="s">
        <v>4</v>
      </c>
      <c r="BA79" s="10">
        <v>0.4</v>
      </c>
      <c r="BB79" t="s">
        <v>9</v>
      </c>
      <c r="BC79" s="10">
        <v>55300</v>
      </c>
      <c r="BD79" s="4">
        <v>22120</v>
      </c>
    </row>
    <row r="80" spans="1:56" x14ac:dyDescent="0.35">
      <c r="A80" s="38" t="str">
        <v>TGW00012</v>
      </c>
      <c r="B80" s="31" t="str">
        <f t="shared" si="13"/>
        <v>SAUCER SAUCE MANGKUK SAUS P3</v>
      </c>
      <c r="C80" s="31" t="str">
        <f t="shared" si="14"/>
        <v>TABLEWARE</v>
      </c>
      <c r="D80" s="66" t="str">
        <f t="shared" si="15"/>
        <v>pcs</v>
      </c>
      <c r="E80" s="53">
        <f t="shared" si="16"/>
        <v>3666.67</v>
      </c>
      <c r="F80" s="48">
        <f t="shared" si="17"/>
        <v>33</v>
      </c>
      <c r="G80" s="67">
        <f t="shared" si="18"/>
        <v>11</v>
      </c>
      <c r="H80" s="67">
        <f t="shared" si="19"/>
        <v>-22</v>
      </c>
      <c r="I80" s="53">
        <f t="shared" si="20"/>
        <v>-80666.740000000005</v>
      </c>
      <c r="J80" s="31" t="str">
        <f t="shared" si="21"/>
        <v>Penurunan IU</v>
      </c>
      <c r="K80" s="42"/>
      <c r="O80" s="3">
        <v>29</v>
      </c>
      <c r="P80" t="s">
        <v>364</v>
      </c>
      <c r="Q80" t="s">
        <v>365</v>
      </c>
      <c r="R80" t="s">
        <v>67</v>
      </c>
      <c r="S80" s="10">
        <v>0.5</v>
      </c>
      <c r="T80" t="s">
        <v>52</v>
      </c>
      <c r="U80" s="10">
        <v>16546</v>
      </c>
      <c r="V80" s="4">
        <v>8273</v>
      </c>
      <c r="X80" s="3" t="s">
        <v>115</v>
      </c>
      <c r="Y80" t="s">
        <v>116</v>
      </c>
      <c r="Z80" t="s">
        <v>117</v>
      </c>
      <c r="AA80" s="10">
        <v>1000</v>
      </c>
      <c r="AB80" t="s">
        <v>52</v>
      </c>
      <c r="AC80" s="10">
        <v>628.57100000000003</v>
      </c>
      <c r="AD80" s="4">
        <v>628571</v>
      </c>
      <c r="AG80" s="20">
        <v>1</v>
      </c>
      <c r="AH80" s="18" t="s">
        <v>121</v>
      </c>
      <c r="AI80" s="18" t="s">
        <v>122</v>
      </c>
      <c r="AJ80" s="18" t="s">
        <v>123</v>
      </c>
      <c r="AK80" s="21">
        <v>2</v>
      </c>
      <c r="AL80" s="18" t="s">
        <v>5</v>
      </c>
      <c r="AM80" s="21">
        <v>5333.5403999999999</v>
      </c>
      <c r="AN80" s="19">
        <v>10667.0808</v>
      </c>
      <c r="AX80" s="3" t="s">
        <v>7</v>
      </c>
      <c r="AY80" t="s">
        <v>8</v>
      </c>
      <c r="AZ80" t="s">
        <v>4</v>
      </c>
      <c r="BA80" s="10">
        <v>0.7</v>
      </c>
      <c r="BB80" t="s">
        <v>9</v>
      </c>
      <c r="BC80" s="10">
        <v>133200</v>
      </c>
      <c r="BD80" s="4">
        <v>93240</v>
      </c>
    </row>
    <row r="81" spans="1:56" x14ac:dyDescent="0.35">
      <c r="A81" s="38" t="str">
        <v>CECM0011</v>
      </c>
      <c r="B81" s="31" t="str">
        <f t="shared" si="13"/>
        <v>SUMA NOVA 5 L</v>
      </c>
      <c r="C81" s="31" t="str">
        <f t="shared" si="14"/>
        <v>CLEANING CHEMICAL</v>
      </c>
      <c r="D81" s="66" t="str">
        <f t="shared" si="15"/>
        <v>ltr</v>
      </c>
      <c r="E81" s="53">
        <f t="shared" si="16"/>
        <v>81910.11</v>
      </c>
      <c r="F81" s="48">
        <f t="shared" si="17"/>
        <v>1</v>
      </c>
      <c r="G81" s="67" t="str">
        <f t="shared" si="18"/>
        <v>0</v>
      </c>
      <c r="H81" s="67">
        <f t="shared" si="19"/>
        <v>-1</v>
      </c>
      <c r="I81" s="53">
        <f t="shared" si="20"/>
        <v>-81910.11</v>
      </c>
      <c r="J81" s="31" t="str">
        <f t="shared" si="21"/>
        <v>Penurunan IU</v>
      </c>
      <c r="K81" s="42"/>
      <c r="O81" s="3">
        <v>30</v>
      </c>
      <c r="P81" t="s">
        <v>258</v>
      </c>
      <c r="Q81" t="s">
        <v>259</v>
      </c>
      <c r="R81" t="s">
        <v>67</v>
      </c>
      <c r="S81" s="10">
        <v>1</v>
      </c>
      <c r="T81" t="s">
        <v>5</v>
      </c>
      <c r="U81" s="10">
        <v>24500</v>
      </c>
      <c r="V81" s="4">
        <v>24500</v>
      </c>
      <c r="X81" s="3" t="s">
        <v>316</v>
      </c>
      <c r="Y81" t="s">
        <v>317</v>
      </c>
      <c r="Z81" t="s">
        <v>117</v>
      </c>
      <c r="AA81" s="10">
        <v>1</v>
      </c>
      <c r="AB81" t="s">
        <v>20</v>
      </c>
      <c r="AC81" s="10">
        <v>465300</v>
      </c>
      <c r="AD81" s="4">
        <v>465300</v>
      </c>
      <c r="AG81" s="20">
        <v>2</v>
      </c>
      <c r="AH81" s="18" t="s">
        <v>124</v>
      </c>
      <c r="AI81" s="18" t="s">
        <v>125</v>
      </c>
      <c r="AJ81" s="18" t="s">
        <v>123</v>
      </c>
      <c r="AK81" s="21">
        <v>23</v>
      </c>
      <c r="AL81" s="18" t="s">
        <v>5</v>
      </c>
      <c r="AM81" s="21">
        <v>5634.6886000000004</v>
      </c>
      <c r="AN81" s="19">
        <v>129597.83779999999</v>
      </c>
      <c r="AX81" s="3" t="s">
        <v>13</v>
      </c>
      <c r="AY81" t="s">
        <v>14</v>
      </c>
      <c r="AZ81" t="s">
        <v>4</v>
      </c>
      <c r="BA81" s="10">
        <v>0.8</v>
      </c>
      <c r="BB81" t="s">
        <v>15</v>
      </c>
      <c r="BC81" s="10">
        <v>77700</v>
      </c>
      <c r="BD81" s="4">
        <v>62160</v>
      </c>
    </row>
    <row r="82" spans="1:56" x14ac:dyDescent="0.35">
      <c r="A82" s="38" t="str">
        <v>CETS0020</v>
      </c>
      <c r="B82" s="31" t="str">
        <f t="shared" si="13"/>
        <v>LAP MICRO 40 X 40 320 GSM KUNING</v>
      </c>
      <c r="C82" s="31" t="str">
        <f t="shared" si="14"/>
        <v>CLEANING TOOLS AND SUPPLIES</v>
      </c>
      <c r="D82" s="66" t="str">
        <f t="shared" si="15"/>
        <v>pcs</v>
      </c>
      <c r="E82" s="53">
        <f t="shared" si="16"/>
        <v>7500</v>
      </c>
      <c r="F82" s="48">
        <f t="shared" si="17"/>
        <v>1</v>
      </c>
      <c r="G82" s="67" t="str">
        <f t="shared" si="18"/>
        <v>0</v>
      </c>
      <c r="H82" s="67">
        <f t="shared" si="19"/>
        <v>-1</v>
      </c>
      <c r="I82" s="53">
        <f t="shared" si="20"/>
        <v>-7500</v>
      </c>
      <c r="J82" s="31" t="str">
        <f t="shared" si="21"/>
        <v>Penurunan IU</v>
      </c>
      <c r="K82" s="42"/>
      <c r="O82" s="3">
        <v>31</v>
      </c>
      <c r="P82" t="s">
        <v>260</v>
      </c>
      <c r="Q82" t="s">
        <v>261</v>
      </c>
      <c r="R82" t="s">
        <v>67</v>
      </c>
      <c r="S82">
        <v>2</v>
      </c>
      <c r="T82" t="s">
        <v>5</v>
      </c>
      <c r="U82">
        <v>2100</v>
      </c>
      <c r="V82" s="4">
        <v>4200</v>
      </c>
      <c r="X82" s="3" t="s">
        <v>350</v>
      </c>
      <c r="Y82" t="s">
        <v>351</v>
      </c>
      <c r="Z82" t="s">
        <v>117</v>
      </c>
      <c r="AA82" s="10">
        <v>1</v>
      </c>
      <c r="AB82" t="s">
        <v>20</v>
      </c>
      <c r="AC82" s="10">
        <v>115000</v>
      </c>
      <c r="AD82" s="4">
        <v>115000</v>
      </c>
      <c r="AG82" s="20">
        <v>3</v>
      </c>
      <c r="AH82" s="18" t="s">
        <v>126</v>
      </c>
      <c r="AI82" s="18" t="s">
        <v>127</v>
      </c>
      <c r="AJ82" s="18" t="s">
        <v>123</v>
      </c>
      <c r="AK82" s="21">
        <v>25</v>
      </c>
      <c r="AL82" s="18" t="s">
        <v>5</v>
      </c>
      <c r="AM82" s="21">
        <v>6804.2385000000004</v>
      </c>
      <c r="AN82" s="19">
        <v>170105.96249999999</v>
      </c>
      <c r="AX82" s="3" t="s">
        <v>18</v>
      </c>
      <c r="AY82" t="s">
        <v>19</v>
      </c>
      <c r="AZ82" t="s">
        <v>4</v>
      </c>
      <c r="BA82" s="10">
        <v>0.7</v>
      </c>
      <c r="BB82" t="s">
        <v>20</v>
      </c>
      <c r="BC82" s="10">
        <v>151400</v>
      </c>
      <c r="BD82" s="4">
        <v>105980</v>
      </c>
    </row>
    <row r="83" spans="1:56" ht="15" thickBot="1" x14ac:dyDescent="0.4">
      <c r="A83" s="38" t="str">
        <v>CETS0048</v>
      </c>
      <c r="B83" s="31" t="str">
        <f t="shared" si="13"/>
        <v>SEDOTAN LALAT</v>
      </c>
      <c r="C83" s="31" t="str">
        <f t="shared" si="14"/>
        <v>CLEANING TOOLS AND SUPPLIES</v>
      </c>
      <c r="D83" s="66" t="str">
        <f t="shared" si="15"/>
        <v>pcs</v>
      </c>
      <c r="E83" s="53">
        <f t="shared" si="16"/>
        <v>798.28</v>
      </c>
      <c r="F83" s="48">
        <f t="shared" si="17"/>
        <v>244</v>
      </c>
      <c r="G83" s="67" t="str">
        <f t="shared" si="18"/>
        <v>0</v>
      </c>
      <c r="H83" s="67">
        <f t="shared" si="19"/>
        <v>-244</v>
      </c>
      <c r="I83" s="53">
        <f t="shared" si="20"/>
        <v>-194780.32</v>
      </c>
      <c r="J83" s="31" t="str">
        <f t="shared" si="21"/>
        <v>Penurunan IU</v>
      </c>
      <c r="K83" s="42"/>
      <c r="O83" s="11" t="s">
        <v>223</v>
      </c>
      <c r="P83" s="12" t="s">
        <v>223</v>
      </c>
      <c r="Q83" s="12" t="s">
        <v>223</v>
      </c>
      <c r="R83" s="12" t="s">
        <v>223</v>
      </c>
      <c r="S83" s="12" t="s">
        <v>223</v>
      </c>
      <c r="T83" s="12" t="s">
        <v>223</v>
      </c>
      <c r="U83" s="12" t="s">
        <v>224</v>
      </c>
      <c r="V83" s="13">
        <v>1137839.6854999999</v>
      </c>
      <c r="X83" s="3" t="s">
        <v>318</v>
      </c>
      <c r="Y83" t="s">
        <v>319</v>
      </c>
      <c r="Z83" t="s">
        <v>117</v>
      </c>
      <c r="AA83" s="10">
        <v>50</v>
      </c>
      <c r="AB83" t="s">
        <v>20</v>
      </c>
      <c r="AC83" s="10">
        <v>800</v>
      </c>
      <c r="AD83" s="4">
        <v>40000</v>
      </c>
      <c r="AG83" s="20">
        <v>4</v>
      </c>
      <c r="AH83" s="18" t="s">
        <v>128</v>
      </c>
      <c r="AI83" s="18" t="s">
        <v>129</v>
      </c>
      <c r="AJ83" s="18" t="s">
        <v>123</v>
      </c>
      <c r="AK83" s="21">
        <v>3.3</v>
      </c>
      <c r="AL83" s="18" t="s">
        <v>74</v>
      </c>
      <c r="AM83" s="21">
        <v>142067.9852</v>
      </c>
      <c r="AN83" s="19">
        <v>468824.35116000002</v>
      </c>
      <c r="AX83" s="3" t="s">
        <v>219</v>
      </c>
      <c r="AY83" t="s">
        <v>220</v>
      </c>
      <c r="AZ83" t="s">
        <v>4</v>
      </c>
      <c r="BA83" s="10">
        <v>2.6</v>
      </c>
      <c r="BB83" t="s">
        <v>25</v>
      </c>
      <c r="BC83" s="10">
        <v>58385.157900000006</v>
      </c>
      <c r="BD83" s="4">
        <v>151801.41054000001</v>
      </c>
    </row>
    <row r="84" spans="1:56" ht="15.5" thickTop="1" thickBot="1" x14ac:dyDescent="0.4">
      <c r="A84" s="38" t="str">
        <v>STA00011</v>
      </c>
      <c r="B84" s="31" t="str">
        <f t="shared" si="13"/>
        <v>BINDER CLIP 111</v>
      </c>
      <c r="C84" s="31" t="str">
        <f t="shared" si="14"/>
        <v>STATIONARY AND OFFICE SUPPLIES</v>
      </c>
      <c r="D84" s="66" t="str">
        <f t="shared" si="15"/>
        <v>box</v>
      </c>
      <c r="E84" s="53">
        <f t="shared" si="16"/>
        <v>4000</v>
      </c>
      <c r="F84" s="48">
        <f t="shared" si="17"/>
        <v>1</v>
      </c>
      <c r="G84" s="67" t="str">
        <f t="shared" si="18"/>
        <v>0</v>
      </c>
      <c r="H84" s="67">
        <f t="shared" si="19"/>
        <v>-1</v>
      </c>
      <c r="I84" s="53">
        <f t="shared" si="20"/>
        <v>-4000</v>
      </c>
      <c r="J84" s="31" t="str">
        <f t="shared" si="21"/>
        <v>Penurunan IU</v>
      </c>
      <c r="K84" s="42"/>
      <c r="X84" s="3" t="s">
        <v>121</v>
      </c>
      <c r="Y84" t="s">
        <v>122</v>
      </c>
      <c r="Z84" t="s">
        <v>123</v>
      </c>
      <c r="AA84" s="10">
        <v>8</v>
      </c>
      <c r="AB84" t="s">
        <v>5</v>
      </c>
      <c r="AC84" s="10">
        <v>5500.3105999999998</v>
      </c>
      <c r="AD84" s="4">
        <v>44002.484799999998</v>
      </c>
      <c r="AG84" s="20">
        <v>5</v>
      </c>
      <c r="AH84" s="18" t="s">
        <v>130</v>
      </c>
      <c r="AI84" s="18" t="s">
        <v>131</v>
      </c>
      <c r="AJ84" s="18" t="s">
        <v>123</v>
      </c>
      <c r="AK84" s="21">
        <v>72</v>
      </c>
      <c r="AL84" s="18" t="s">
        <v>5</v>
      </c>
      <c r="AM84" s="21">
        <v>6355.4911000000002</v>
      </c>
      <c r="AN84" s="19">
        <v>457595.35920000001</v>
      </c>
      <c r="AX84" s="3" t="s">
        <v>221</v>
      </c>
      <c r="AY84" t="s">
        <v>222</v>
      </c>
      <c r="AZ84" t="s">
        <v>4</v>
      </c>
      <c r="BA84" s="10">
        <v>1</v>
      </c>
      <c r="BB84" t="s">
        <v>25</v>
      </c>
      <c r="BC84" s="10">
        <v>81910.111099999995</v>
      </c>
      <c r="BD84" s="4">
        <v>81910.111099999995</v>
      </c>
    </row>
    <row r="85" spans="1:56" ht="15" thickTop="1" x14ac:dyDescent="0.35">
      <c r="A85" s="38" t="str">
        <v>STA00029</v>
      </c>
      <c r="B85" s="31" t="str">
        <f t="shared" si="13"/>
        <v>SOLATIP SEDANG</v>
      </c>
      <c r="C85" s="31" t="str">
        <f t="shared" si="14"/>
        <v>STATIONARY AND OFFICE SUPPLIES</v>
      </c>
      <c r="D85" s="66" t="str">
        <f t="shared" si="15"/>
        <v>roll</v>
      </c>
      <c r="E85" s="53">
        <f t="shared" si="16"/>
        <v>6000</v>
      </c>
      <c r="F85" s="48">
        <f t="shared" si="17"/>
        <v>3</v>
      </c>
      <c r="G85" s="67" t="str">
        <f t="shared" si="18"/>
        <v>0</v>
      </c>
      <c r="H85" s="67">
        <f t="shared" si="19"/>
        <v>-3</v>
      </c>
      <c r="I85" s="53">
        <f t="shared" si="20"/>
        <v>-18000</v>
      </c>
      <c r="J85" s="31" t="str">
        <f t="shared" si="21"/>
        <v>Penurunan IU</v>
      </c>
      <c r="K85" s="42"/>
      <c r="O85" s="88" t="s">
        <v>0</v>
      </c>
      <c r="P85" s="89"/>
      <c r="Q85" s="89"/>
      <c r="R85" s="89"/>
      <c r="S85" s="89"/>
      <c r="T85" s="1"/>
      <c r="U85" s="1"/>
      <c r="V85" s="2"/>
      <c r="X85" s="3" t="s">
        <v>124</v>
      </c>
      <c r="Y85" t="s">
        <v>125</v>
      </c>
      <c r="Z85" t="s">
        <v>123</v>
      </c>
      <c r="AA85" s="10">
        <v>37</v>
      </c>
      <c r="AB85" t="s">
        <v>5</v>
      </c>
      <c r="AC85" s="10">
        <v>5516.9993999999997</v>
      </c>
      <c r="AD85" s="4">
        <v>204128.97779999999</v>
      </c>
      <c r="AG85" s="20">
        <v>6</v>
      </c>
      <c r="AH85" s="18" t="s">
        <v>132</v>
      </c>
      <c r="AI85" s="18" t="s">
        <v>133</v>
      </c>
      <c r="AJ85" s="18" t="s">
        <v>123</v>
      </c>
      <c r="AK85" s="21">
        <v>200</v>
      </c>
      <c r="AL85" s="18" t="s">
        <v>134</v>
      </c>
      <c r="AM85" s="21">
        <v>13006.830535146442</v>
      </c>
      <c r="AN85" s="19">
        <v>2601366.1070289998</v>
      </c>
      <c r="AX85" s="3" t="s">
        <v>23</v>
      </c>
      <c r="AY85" t="s">
        <v>24</v>
      </c>
      <c r="AZ85" t="s">
        <v>4</v>
      </c>
      <c r="BA85" s="10">
        <v>48</v>
      </c>
      <c r="BB85" t="s">
        <v>25</v>
      </c>
      <c r="BC85" s="10">
        <v>17760</v>
      </c>
      <c r="BD85" s="4">
        <v>852480</v>
      </c>
    </row>
    <row r="86" spans="1:56" x14ac:dyDescent="0.35">
      <c r="A86" s="38" t="str">
        <v>STA00034</v>
      </c>
      <c r="B86" s="31" t="str">
        <f t="shared" si="13"/>
        <v>LAKBAN HITAM</v>
      </c>
      <c r="C86" s="31" t="str">
        <f t="shared" si="14"/>
        <v>STATIONARY AND OFFICE SUPPLIES</v>
      </c>
      <c r="D86" s="66" t="str">
        <f t="shared" si="15"/>
        <v>pcs</v>
      </c>
      <c r="E86" s="53">
        <f t="shared" si="16"/>
        <v>18200</v>
      </c>
      <c r="F86" s="48">
        <f t="shared" si="17"/>
        <v>1</v>
      </c>
      <c r="G86" s="67" t="str">
        <f t="shared" si="18"/>
        <v>0</v>
      </c>
      <c r="H86" s="67">
        <f t="shared" si="19"/>
        <v>-1</v>
      </c>
      <c r="I86" s="53">
        <f t="shared" si="20"/>
        <v>-18200</v>
      </c>
      <c r="J86" s="31" t="str">
        <f t="shared" si="21"/>
        <v>Penurunan IU</v>
      </c>
      <c r="K86" s="42"/>
      <c r="O86" s="86" t="s">
        <v>1</v>
      </c>
      <c r="P86" s="87"/>
      <c r="Q86" s="87"/>
      <c r="R86" s="87"/>
      <c r="S86" s="87"/>
      <c r="V86" s="4"/>
      <c r="X86" s="3" t="s">
        <v>126</v>
      </c>
      <c r="Y86" t="s">
        <v>127</v>
      </c>
      <c r="Z86" t="s">
        <v>123</v>
      </c>
      <c r="AA86" s="10">
        <v>5</v>
      </c>
      <c r="AB86" t="s">
        <v>5</v>
      </c>
      <c r="AC86" s="10">
        <v>6752.5654999999997</v>
      </c>
      <c r="AD86" s="4">
        <v>33762.827499999999</v>
      </c>
      <c r="AG86" s="20">
        <v>7</v>
      </c>
      <c r="AH86" s="18" t="s">
        <v>135</v>
      </c>
      <c r="AI86" s="18" t="s">
        <v>136</v>
      </c>
      <c r="AJ86" s="18" t="s">
        <v>123</v>
      </c>
      <c r="AK86" s="21">
        <v>30</v>
      </c>
      <c r="AL86" s="18" t="s">
        <v>5</v>
      </c>
      <c r="AM86" s="21">
        <v>5701.0945000000011</v>
      </c>
      <c r="AN86" s="19">
        <v>171032.83499999999</v>
      </c>
      <c r="AX86" s="3" t="s">
        <v>28</v>
      </c>
      <c r="AY86" t="s">
        <v>29</v>
      </c>
      <c r="AZ86" t="s">
        <v>4</v>
      </c>
      <c r="BA86" s="10">
        <v>19</v>
      </c>
      <c r="BB86" t="s">
        <v>30</v>
      </c>
      <c r="BC86" s="10">
        <v>19760</v>
      </c>
      <c r="BD86" s="4">
        <v>375440</v>
      </c>
    </row>
    <row r="87" spans="1:56" x14ac:dyDescent="0.35">
      <c r="A87" s="38" t="str">
        <v>STA00035</v>
      </c>
      <c r="B87" s="31" t="str">
        <f t="shared" si="13"/>
        <v>LAKBAN BENING</v>
      </c>
      <c r="C87" s="31" t="str">
        <f t="shared" si="14"/>
        <v>STATIONARY AND OFFICE SUPPLIES</v>
      </c>
      <c r="D87" s="66" t="str">
        <f t="shared" si="15"/>
        <v>pcs</v>
      </c>
      <c r="E87" s="53">
        <f t="shared" si="16"/>
        <v>7500</v>
      </c>
      <c r="F87" s="48">
        <f t="shared" si="17"/>
        <v>1</v>
      </c>
      <c r="G87" s="67" t="str">
        <f t="shared" si="18"/>
        <v>0</v>
      </c>
      <c r="H87" s="67">
        <f t="shared" si="19"/>
        <v>-1</v>
      </c>
      <c r="I87" s="53">
        <f t="shared" si="20"/>
        <v>-7500</v>
      </c>
      <c r="J87" s="31" t="str">
        <f t="shared" si="21"/>
        <v>Penurunan IU</v>
      </c>
      <c r="K87" s="42"/>
      <c r="O87" s="3"/>
      <c r="V87" s="4"/>
      <c r="X87" s="3" t="s">
        <v>128</v>
      </c>
      <c r="Y87" t="s">
        <v>129</v>
      </c>
      <c r="Z87" t="s">
        <v>123</v>
      </c>
      <c r="AA87" s="10">
        <v>1.5</v>
      </c>
      <c r="AB87" t="s">
        <v>74</v>
      </c>
      <c r="AC87" s="10">
        <v>142067.9852</v>
      </c>
      <c r="AD87" s="4">
        <v>213101.97779999999</v>
      </c>
      <c r="AG87" s="20">
        <v>8</v>
      </c>
      <c r="AH87" s="18" t="s">
        <v>137</v>
      </c>
      <c r="AI87" s="18" t="s">
        <v>138</v>
      </c>
      <c r="AJ87" s="18" t="s">
        <v>123</v>
      </c>
      <c r="AK87" s="21">
        <v>46</v>
      </c>
      <c r="AL87" s="18" t="s">
        <v>5</v>
      </c>
      <c r="AM87" s="21">
        <v>16092.4892</v>
      </c>
      <c r="AN87" s="19">
        <v>740254.50320000004</v>
      </c>
      <c r="AX87" s="3" t="s">
        <v>33</v>
      </c>
      <c r="AY87" t="s">
        <v>34</v>
      </c>
      <c r="AZ87" t="s">
        <v>4</v>
      </c>
      <c r="BA87" s="10">
        <v>20</v>
      </c>
      <c r="BB87" t="s">
        <v>30</v>
      </c>
      <c r="BC87" s="10">
        <v>13000</v>
      </c>
      <c r="BD87" s="4">
        <v>260000</v>
      </c>
    </row>
    <row r="88" spans="1:56" x14ac:dyDescent="0.35">
      <c r="A88" s="38" t="str">
        <v>STA00040</v>
      </c>
      <c r="B88" s="31" t="str">
        <f t="shared" si="13"/>
        <v>BUKU TULIS HARDCOVER</v>
      </c>
      <c r="C88" s="31" t="str">
        <f t="shared" si="14"/>
        <v>STATIONARY AND OFFICE SUPPLIES</v>
      </c>
      <c r="D88" s="66" t="str">
        <f t="shared" si="15"/>
        <v>bk</v>
      </c>
      <c r="E88" s="53">
        <f t="shared" si="16"/>
        <v>8500</v>
      </c>
      <c r="F88" s="48">
        <f t="shared" si="17"/>
        <v>1</v>
      </c>
      <c r="G88" s="67" t="str">
        <f t="shared" si="18"/>
        <v>0</v>
      </c>
      <c r="H88" s="67">
        <f t="shared" si="19"/>
        <v>-1</v>
      </c>
      <c r="I88" s="53">
        <f t="shared" si="20"/>
        <v>-8500</v>
      </c>
      <c r="J88" s="31" t="str">
        <f t="shared" si="21"/>
        <v>Penurunan IU</v>
      </c>
      <c r="K88" s="42"/>
      <c r="O88" s="86" t="s">
        <v>10</v>
      </c>
      <c r="P88" s="87" t="s">
        <v>11</v>
      </c>
      <c r="Q88" t="s">
        <v>652</v>
      </c>
      <c r="V88" s="4"/>
      <c r="X88" s="3" t="s">
        <v>130</v>
      </c>
      <c r="Y88" t="s">
        <v>131</v>
      </c>
      <c r="Z88" t="s">
        <v>123</v>
      </c>
      <c r="AA88" s="10">
        <v>68</v>
      </c>
      <c r="AB88" t="s">
        <v>5</v>
      </c>
      <c r="AC88" s="10">
        <v>6354.7900999999993</v>
      </c>
      <c r="AD88" s="4">
        <v>432125.7268</v>
      </c>
      <c r="AG88" s="20">
        <v>9</v>
      </c>
      <c r="AH88" s="18" t="s">
        <v>139</v>
      </c>
      <c r="AI88" s="18" t="s">
        <v>140</v>
      </c>
      <c r="AJ88" s="18" t="s">
        <v>123</v>
      </c>
      <c r="AK88" s="21">
        <v>20</v>
      </c>
      <c r="AL88" s="18" t="s">
        <v>5</v>
      </c>
      <c r="AM88" s="21">
        <v>42951.9663</v>
      </c>
      <c r="AN88" s="19">
        <v>859039.326</v>
      </c>
      <c r="AX88" s="3" t="s">
        <v>50</v>
      </c>
      <c r="AY88" t="s">
        <v>51</v>
      </c>
      <c r="AZ88" t="s">
        <v>41</v>
      </c>
      <c r="BA88" s="10">
        <v>39</v>
      </c>
      <c r="BB88" t="s">
        <v>52</v>
      </c>
      <c r="BC88" s="10">
        <v>20500</v>
      </c>
      <c r="BD88" s="4">
        <v>799500</v>
      </c>
    </row>
    <row r="89" spans="1:56" x14ac:dyDescent="0.35">
      <c r="A89" s="38" t="str">
        <v>STA00041</v>
      </c>
      <c r="B89" s="31" t="str">
        <f t="shared" si="13"/>
        <v>STAPLER</v>
      </c>
      <c r="C89" s="31" t="str">
        <f t="shared" si="14"/>
        <v>STATIONARY AND OFFICE SUPPLIES</v>
      </c>
      <c r="D89" s="66" t="str">
        <f t="shared" si="15"/>
        <v>pcs</v>
      </c>
      <c r="E89" s="53">
        <f t="shared" si="16"/>
        <v>12312.5</v>
      </c>
      <c r="F89" s="48">
        <f t="shared" si="17"/>
        <v>2</v>
      </c>
      <c r="G89" s="67" t="str">
        <f t="shared" si="18"/>
        <v>0</v>
      </c>
      <c r="H89" s="67">
        <f t="shared" si="19"/>
        <v>-2</v>
      </c>
      <c r="I89" s="53">
        <f t="shared" si="20"/>
        <v>-24625</v>
      </c>
      <c r="J89" s="31" t="str">
        <f t="shared" si="21"/>
        <v>Penurunan IU</v>
      </c>
      <c r="K89" s="42"/>
      <c r="O89" s="86" t="s">
        <v>16</v>
      </c>
      <c r="P89" s="87" t="s">
        <v>11</v>
      </c>
      <c r="Q89" t="s">
        <v>17</v>
      </c>
      <c r="V89" s="4"/>
      <c r="X89" s="3" t="s">
        <v>132</v>
      </c>
      <c r="Y89" t="s">
        <v>133</v>
      </c>
      <c r="Z89" t="s">
        <v>123</v>
      </c>
      <c r="AA89" s="10">
        <v>204</v>
      </c>
      <c r="AB89" t="s">
        <v>134</v>
      </c>
      <c r="AC89" s="10">
        <v>13013.7184</v>
      </c>
      <c r="AD89" s="4">
        <v>2654798.5536000002</v>
      </c>
      <c r="AG89" s="20">
        <v>10</v>
      </c>
      <c r="AH89" s="18" t="s">
        <v>141</v>
      </c>
      <c r="AI89" s="18" t="s">
        <v>142</v>
      </c>
      <c r="AJ89" s="18" t="s">
        <v>123</v>
      </c>
      <c r="AK89" s="21">
        <v>1</v>
      </c>
      <c r="AL89" s="18" t="s">
        <v>5</v>
      </c>
      <c r="AM89" s="21">
        <v>41526.315799999997</v>
      </c>
      <c r="AN89" s="19">
        <v>41526.315799999997</v>
      </c>
      <c r="AX89" s="3" t="s">
        <v>53</v>
      </c>
      <c r="AY89" t="s">
        <v>54</v>
      </c>
      <c r="AZ89" t="s">
        <v>41</v>
      </c>
      <c r="BA89" s="10">
        <v>16</v>
      </c>
      <c r="BB89" t="s">
        <v>20</v>
      </c>
      <c r="BC89" s="10">
        <v>3221.9837000000002</v>
      </c>
      <c r="BD89" s="4">
        <v>51551.739200000004</v>
      </c>
    </row>
    <row r="90" spans="1:56" x14ac:dyDescent="0.35">
      <c r="A90" s="38" t="str">
        <v>STA00046</v>
      </c>
      <c r="B90" s="31" t="str">
        <f t="shared" si="13"/>
        <v>ALKOHOL</v>
      </c>
      <c r="C90" s="31" t="str">
        <f t="shared" si="14"/>
        <v>STATIONARY AND OFFICE SUPPLIES</v>
      </c>
      <c r="D90" s="66" t="str">
        <f t="shared" si="15"/>
        <v>btl</v>
      </c>
      <c r="E90" s="53">
        <f t="shared" si="16"/>
        <v>6000</v>
      </c>
      <c r="F90" s="48">
        <f t="shared" si="17"/>
        <v>0.5</v>
      </c>
      <c r="G90" s="67" t="str">
        <f t="shared" si="18"/>
        <v>0</v>
      </c>
      <c r="H90" s="67">
        <f t="shared" si="19"/>
        <v>-0.5</v>
      </c>
      <c r="I90" s="53">
        <f t="shared" si="20"/>
        <v>-3000</v>
      </c>
      <c r="J90" s="31" t="str">
        <f t="shared" si="21"/>
        <v>Penurunan IU</v>
      </c>
      <c r="K90" s="42"/>
      <c r="O90" s="86" t="s">
        <v>21</v>
      </c>
      <c r="P90" s="87" t="s">
        <v>11</v>
      </c>
      <c r="Q90" t="s">
        <v>640</v>
      </c>
      <c r="V90" s="4"/>
      <c r="X90" s="3" t="s">
        <v>135</v>
      </c>
      <c r="Y90" t="s">
        <v>136</v>
      </c>
      <c r="Z90" t="s">
        <v>123</v>
      </c>
      <c r="AA90" s="10">
        <v>20</v>
      </c>
      <c r="AB90" t="s">
        <v>5</v>
      </c>
      <c r="AC90" s="10">
        <v>5678.5204999999996</v>
      </c>
      <c r="AD90" s="4">
        <v>113570.41</v>
      </c>
      <c r="AG90" s="20">
        <v>11</v>
      </c>
      <c r="AH90" s="18" t="s">
        <v>145</v>
      </c>
      <c r="AI90" s="18" t="s">
        <v>146</v>
      </c>
      <c r="AJ90" s="18" t="s">
        <v>123</v>
      </c>
      <c r="AK90" s="21">
        <v>131</v>
      </c>
      <c r="AL90" s="18" t="s">
        <v>5</v>
      </c>
      <c r="AM90" s="21">
        <v>4604.1441999999997</v>
      </c>
      <c r="AN90" s="19">
        <v>603142.89020000002</v>
      </c>
      <c r="AX90" s="3" t="s">
        <v>453</v>
      </c>
      <c r="AY90" t="s">
        <v>454</v>
      </c>
      <c r="AZ90" t="s">
        <v>41</v>
      </c>
      <c r="BA90" s="10">
        <v>1</v>
      </c>
      <c r="BB90" t="s">
        <v>267</v>
      </c>
      <c r="BC90" s="10">
        <v>17539.232352941173</v>
      </c>
      <c r="BD90" s="4">
        <v>17539.232352999999</v>
      </c>
    </row>
    <row r="91" spans="1:56" x14ac:dyDescent="0.35">
      <c r="A91" s="38" t="str">
        <v>STA00073</v>
      </c>
      <c r="B91" s="31" t="str">
        <f t="shared" si="13"/>
        <v>PAPER CLIP NO.3</v>
      </c>
      <c r="C91" s="31" t="str">
        <f t="shared" si="14"/>
        <v>STATIONARY AND OFFICE SUPPLIES</v>
      </c>
      <c r="D91" s="66" t="str">
        <f t="shared" si="15"/>
        <v>pack</v>
      </c>
      <c r="E91" s="53">
        <f t="shared" si="16"/>
        <v>1750</v>
      </c>
      <c r="F91" s="48">
        <f t="shared" si="17"/>
        <v>1</v>
      </c>
      <c r="G91" s="67" t="str">
        <f t="shared" si="18"/>
        <v>0</v>
      </c>
      <c r="H91" s="67">
        <f t="shared" si="19"/>
        <v>-1</v>
      </c>
      <c r="I91" s="53">
        <f t="shared" si="20"/>
        <v>-1750</v>
      </c>
      <c r="J91" s="31" t="str">
        <f t="shared" si="21"/>
        <v>Penurunan IU</v>
      </c>
      <c r="K91" s="42"/>
      <c r="O91" s="86" t="s">
        <v>26</v>
      </c>
      <c r="P91" s="87" t="s">
        <v>11</v>
      </c>
      <c r="Q91" t="s">
        <v>653</v>
      </c>
      <c r="V91" s="4"/>
      <c r="X91" s="3" t="s">
        <v>137</v>
      </c>
      <c r="Y91" t="s">
        <v>138</v>
      </c>
      <c r="Z91" t="s">
        <v>123</v>
      </c>
      <c r="AA91" s="10">
        <v>50</v>
      </c>
      <c r="AB91" t="s">
        <v>5</v>
      </c>
      <c r="AC91" s="10">
        <v>16066.195100000001</v>
      </c>
      <c r="AD91" s="4">
        <v>803309.755</v>
      </c>
      <c r="AG91" s="20">
        <v>12</v>
      </c>
      <c r="AH91" s="18" t="s">
        <v>147</v>
      </c>
      <c r="AI91" s="18" t="s">
        <v>148</v>
      </c>
      <c r="AJ91" s="18" t="s">
        <v>123</v>
      </c>
      <c r="AK91" s="21">
        <v>2.5</v>
      </c>
      <c r="AL91" s="18" t="s">
        <v>5</v>
      </c>
      <c r="AM91" s="21">
        <v>15000</v>
      </c>
      <c r="AN91" s="19">
        <v>37500</v>
      </c>
      <c r="AX91" s="3" t="s">
        <v>643</v>
      </c>
      <c r="AY91" t="s">
        <v>644</v>
      </c>
      <c r="AZ91" t="s">
        <v>41</v>
      </c>
      <c r="BA91" s="10">
        <v>1</v>
      </c>
      <c r="BB91" t="s">
        <v>20</v>
      </c>
      <c r="BC91" s="10">
        <v>7500</v>
      </c>
      <c r="BD91" s="4">
        <v>7500</v>
      </c>
    </row>
    <row r="92" spans="1:56" x14ac:dyDescent="0.35">
      <c r="A92" s="38" t="str">
        <v>STA00076</v>
      </c>
      <c r="B92" s="31" t="str">
        <f t="shared" si="13"/>
        <v>STICKER TOM &amp; JERRY BULAT - HIJAU</v>
      </c>
      <c r="C92" s="31" t="str">
        <f t="shared" si="14"/>
        <v>STATIONARY AND OFFICE SUPPLIES</v>
      </c>
      <c r="D92" s="66" t="str">
        <f t="shared" si="15"/>
        <v>pack</v>
      </c>
      <c r="E92" s="53">
        <f t="shared" si="16"/>
        <v>10000</v>
      </c>
      <c r="F92" s="48">
        <f t="shared" si="17"/>
        <v>0.5</v>
      </c>
      <c r="G92" s="67" t="str">
        <f t="shared" si="18"/>
        <v>0</v>
      </c>
      <c r="H92" s="67">
        <f t="shared" si="19"/>
        <v>-0.5</v>
      </c>
      <c r="I92" s="53">
        <f t="shared" si="20"/>
        <v>-5000</v>
      </c>
      <c r="J92" s="31" t="str">
        <f t="shared" si="21"/>
        <v>Penurunan IU</v>
      </c>
      <c r="K92" s="42"/>
      <c r="O92" s="86" t="s">
        <v>31</v>
      </c>
      <c r="P92" s="87" t="s">
        <v>11</v>
      </c>
      <c r="Q92" t="s">
        <v>198</v>
      </c>
      <c r="V92" s="4"/>
      <c r="X92" s="3" t="s">
        <v>139</v>
      </c>
      <c r="Y92" t="s">
        <v>140</v>
      </c>
      <c r="Z92" t="s">
        <v>123</v>
      </c>
      <c r="AA92" s="10">
        <v>19</v>
      </c>
      <c r="AB92" t="s">
        <v>5</v>
      </c>
      <c r="AC92" s="10">
        <v>42375.581700000002</v>
      </c>
      <c r="AD92" s="4">
        <v>805136.05229999998</v>
      </c>
      <c r="AG92" s="20">
        <v>13</v>
      </c>
      <c r="AH92" s="18" t="s">
        <v>154</v>
      </c>
      <c r="AI92" s="18" t="s">
        <v>155</v>
      </c>
      <c r="AJ92" s="18" t="s">
        <v>151</v>
      </c>
      <c r="AK92" s="21">
        <v>20</v>
      </c>
      <c r="AL92" s="18" t="s">
        <v>20</v>
      </c>
      <c r="AM92" s="21">
        <v>968.92899999999997</v>
      </c>
      <c r="AN92" s="19">
        <v>19378.580000000002</v>
      </c>
      <c r="AX92" s="3" t="s">
        <v>310</v>
      </c>
      <c r="AY92" t="s">
        <v>311</v>
      </c>
      <c r="AZ92" t="s">
        <v>41</v>
      </c>
      <c r="BA92" s="10">
        <v>2</v>
      </c>
      <c r="BB92" t="s">
        <v>20</v>
      </c>
      <c r="BC92" s="10">
        <v>7500</v>
      </c>
      <c r="BD92" s="4">
        <v>15000</v>
      </c>
    </row>
    <row r="93" spans="1:56" x14ac:dyDescent="0.35">
      <c r="A93" s="38" t="str">
        <v>STA00092</v>
      </c>
      <c r="B93" s="31" t="str">
        <f t="shared" si="13"/>
        <v>BUKU KAS (EKSPEDISI)</v>
      </c>
      <c r="C93" s="31" t="str">
        <f t="shared" si="14"/>
        <v>STATIONARY AND OFFICE SUPPLIES</v>
      </c>
      <c r="D93" s="66" t="str">
        <f t="shared" si="15"/>
        <v>buku</v>
      </c>
      <c r="E93" s="53">
        <f t="shared" si="16"/>
        <v>8500</v>
      </c>
      <c r="F93" s="48">
        <f t="shared" si="17"/>
        <v>1</v>
      </c>
      <c r="G93" s="67" t="str">
        <f t="shared" si="18"/>
        <v>0</v>
      </c>
      <c r="H93" s="67">
        <f t="shared" si="19"/>
        <v>-1</v>
      </c>
      <c r="I93" s="53">
        <f t="shared" si="20"/>
        <v>-8500</v>
      </c>
      <c r="J93" s="31" t="str">
        <f t="shared" si="21"/>
        <v>Penurunan IU</v>
      </c>
      <c r="K93" s="42"/>
      <c r="O93" s="86" t="s">
        <v>35</v>
      </c>
      <c r="P93" s="87" t="s">
        <v>11</v>
      </c>
      <c r="Q93" t="s">
        <v>654</v>
      </c>
      <c r="V93" s="4"/>
      <c r="X93" s="3" t="s">
        <v>141</v>
      </c>
      <c r="Y93" t="s">
        <v>142</v>
      </c>
      <c r="Z93" t="s">
        <v>123</v>
      </c>
      <c r="AA93" s="10">
        <v>1</v>
      </c>
      <c r="AB93" t="s">
        <v>5</v>
      </c>
      <c r="AC93" s="10">
        <v>41526.315799999997</v>
      </c>
      <c r="AD93" s="4">
        <v>41526.315799999997</v>
      </c>
      <c r="AG93" s="20">
        <v>14</v>
      </c>
      <c r="AH93" s="18" t="s">
        <v>156</v>
      </c>
      <c r="AI93" s="18" t="s">
        <v>157</v>
      </c>
      <c r="AJ93" s="18" t="s">
        <v>151</v>
      </c>
      <c r="AK93" s="21">
        <v>15</v>
      </c>
      <c r="AL93" s="18" t="s">
        <v>20</v>
      </c>
      <c r="AM93" s="21">
        <v>2647.1298999999999</v>
      </c>
      <c r="AN93" s="19">
        <v>39706.948499999999</v>
      </c>
      <c r="AX93" s="3" t="s">
        <v>57</v>
      </c>
      <c r="AY93" t="s">
        <v>58</v>
      </c>
      <c r="AZ93" t="s">
        <v>41</v>
      </c>
      <c r="BA93" s="10">
        <v>8</v>
      </c>
      <c r="BB93" t="s">
        <v>5</v>
      </c>
      <c r="BC93" s="10">
        <v>7698.2756000000018</v>
      </c>
      <c r="BD93" s="4">
        <v>61586.2048</v>
      </c>
    </row>
    <row r="94" spans="1:56" x14ac:dyDescent="0.35">
      <c r="A94" s="38" t="str">
        <v>STA00093</v>
      </c>
      <c r="B94" s="31" t="str">
        <f t="shared" si="13"/>
        <v>STICKER/LABEL TOM&amp;JERRY BULAT - ORANGE</v>
      </c>
      <c r="C94" s="31" t="str">
        <f t="shared" si="14"/>
        <v>STATIONARY AND OFFICE SUPPLIES</v>
      </c>
      <c r="D94" s="66" t="str">
        <f t="shared" si="15"/>
        <v>pack</v>
      </c>
      <c r="E94" s="53">
        <f t="shared" si="16"/>
        <v>10000</v>
      </c>
      <c r="F94" s="48">
        <f t="shared" si="17"/>
        <v>1</v>
      </c>
      <c r="G94" s="67" t="str">
        <f t="shared" si="18"/>
        <v>0</v>
      </c>
      <c r="H94" s="67">
        <f t="shared" si="19"/>
        <v>-1</v>
      </c>
      <c r="I94" s="53">
        <f t="shared" si="20"/>
        <v>-10000</v>
      </c>
      <c r="J94" s="31" t="str">
        <f t="shared" si="21"/>
        <v>Penurunan IU</v>
      </c>
      <c r="K94" s="42"/>
      <c r="O94" s="3"/>
      <c r="V94" s="4"/>
      <c r="X94" s="3" t="s">
        <v>145</v>
      </c>
      <c r="Y94" t="s">
        <v>146</v>
      </c>
      <c r="Z94" t="s">
        <v>123</v>
      </c>
      <c r="AA94" s="10">
        <v>140</v>
      </c>
      <c r="AB94" t="s">
        <v>5</v>
      </c>
      <c r="AC94" s="10">
        <v>4604.1441999999997</v>
      </c>
      <c r="AD94" s="4">
        <v>644580.18799999997</v>
      </c>
      <c r="AG94" s="20">
        <v>15</v>
      </c>
      <c r="AH94" s="18" t="s">
        <v>468</v>
      </c>
      <c r="AI94" s="18" t="s">
        <v>469</v>
      </c>
      <c r="AJ94" s="18" t="s">
        <v>151</v>
      </c>
      <c r="AK94" s="21">
        <v>176</v>
      </c>
      <c r="AL94" s="18" t="s">
        <v>20</v>
      </c>
      <c r="AM94" s="21">
        <v>994.91219999999998</v>
      </c>
      <c r="AN94" s="19">
        <v>175104.5472</v>
      </c>
      <c r="AX94" s="3" t="s">
        <v>59</v>
      </c>
      <c r="AY94" t="s">
        <v>60</v>
      </c>
      <c r="AZ94" t="s">
        <v>41</v>
      </c>
      <c r="BA94" s="10">
        <v>20</v>
      </c>
      <c r="BB94" t="s">
        <v>5</v>
      </c>
      <c r="BC94" s="10">
        <v>7699.7496999999994</v>
      </c>
      <c r="BD94" s="4">
        <v>153994.99400000001</v>
      </c>
    </row>
    <row r="95" spans="1:56" x14ac:dyDescent="0.35">
      <c r="A95" s="38" t="str">
        <v>STA00105</v>
      </c>
      <c r="B95" s="31" t="str">
        <f t="shared" si="13"/>
        <v>BINDER CLIP NO.200</v>
      </c>
      <c r="C95" s="31" t="str">
        <f t="shared" si="14"/>
        <v>STATIONARY AND OFFICE SUPPLIES</v>
      </c>
      <c r="D95" s="66" t="str">
        <f t="shared" si="15"/>
        <v>box</v>
      </c>
      <c r="E95" s="53">
        <f t="shared" si="16"/>
        <v>10500</v>
      </c>
      <c r="F95" s="48">
        <f t="shared" si="17"/>
        <v>1</v>
      </c>
      <c r="G95" s="67" t="str">
        <f t="shared" si="18"/>
        <v>0</v>
      </c>
      <c r="H95" s="67">
        <f t="shared" si="19"/>
        <v>-1</v>
      </c>
      <c r="I95" s="53">
        <f t="shared" si="20"/>
        <v>-10500</v>
      </c>
      <c r="J95" s="31" t="str">
        <f t="shared" si="21"/>
        <v>Penurunan IU</v>
      </c>
      <c r="K95" s="42"/>
      <c r="O95" s="3" t="s">
        <v>42</v>
      </c>
      <c r="P95" t="s">
        <v>43</v>
      </c>
      <c r="Q95" t="s">
        <v>44</v>
      </c>
      <c r="R95" t="s">
        <v>45</v>
      </c>
      <c r="S95" t="s">
        <v>46</v>
      </c>
      <c r="T95" t="s">
        <v>47</v>
      </c>
      <c r="U95" t="s">
        <v>48</v>
      </c>
      <c r="V95" s="4" t="s">
        <v>49</v>
      </c>
      <c r="X95" s="3" t="s">
        <v>147</v>
      </c>
      <c r="Y95" t="s">
        <v>148</v>
      </c>
      <c r="Z95" t="s">
        <v>123</v>
      </c>
      <c r="AA95" s="10">
        <v>2.5</v>
      </c>
      <c r="AB95" t="s">
        <v>5</v>
      </c>
      <c r="AC95" s="10">
        <v>15000</v>
      </c>
      <c r="AD95" s="4">
        <v>37500</v>
      </c>
      <c r="AG95" s="20">
        <v>16</v>
      </c>
      <c r="AH95" s="18" t="s">
        <v>276</v>
      </c>
      <c r="AI95" s="18" t="s">
        <v>277</v>
      </c>
      <c r="AJ95" s="18" t="s">
        <v>151</v>
      </c>
      <c r="AK95" s="18">
        <v>10</v>
      </c>
      <c r="AL95" s="18" t="s">
        <v>52</v>
      </c>
      <c r="AM95" s="18">
        <v>1756.05</v>
      </c>
      <c r="AN95" s="19">
        <v>17560.5</v>
      </c>
      <c r="AX95" s="3" t="s">
        <v>61</v>
      </c>
      <c r="AY95" t="s">
        <v>62</v>
      </c>
      <c r="AZ95" t="s">
        <v>41</v>
      </c>
      <c r="BA95" s="10">
        <v>5</v>
      </c>
      <c r="BB95" t="s">
        <v>5</v>
      </c>
      <c r="BC95" s="10">
        <v>16684.142100000001</v>
      </c>
      <c r="BD95" s="4">
        <v>83420.710500000001</v>
      </c>
    </row>
    <row r="96" spans="1:56" ht="15" thickBot="1" x14ac:dyDescent="0.4">
      <c r="A96" s="38" t="str">
        <v>STA00111</v>
      </c>
      <c r="B96" s="31" t="str">
        <f t="shared" si="13"/>
        <v>DOUBLE TAPE FOAM HITAM</v>
      </c>
      <c r="C96" s="31" t="str">
        <f t="shared" si="14"/>
        <v>STATIONARY AND OFFICE SUPPLIES</v>
      </c>
      <c r="D96" s="66" t="str">
        <f t="shared" si="15"/>
        <v>ROLL</v>
      </c>
      <c r="E96" s="53">
        <f t="shared" si="16"/>
        <v>10500</v>
      </c>
      <c r="F96" s="48">
        <f t="shared" si="17"/>
        <v>1</v>
      </c>
      <c r="G96" s="67" t="str">
        <f t="shared" si="18"/>
        <v>0</v>
      </c>
      <c r="H96" s="67">
        <f t="shared" si="19"/>
        <v>-1</v>
      </c>
      <c r="I96" s="53">
        <f t="shared" si="20"/>
        <v>-10500</v>
      </c>
      <c r="J96" s="31" t="str">
        <f t="shared" si="21"/>
        <v>Penurunan IU</v>
      </c>
      <c r="K96" s="42"/>
      <c r="O96" s="3">
        <v>1</v>
      </c>
      <c r="P96" t="s">
        <v>166</v>
      </c>
      <c r="Q96" t="s">
        <v>167</v>
      </c>
      <c r="R96" t="s">
        <v>165</v>
      </c>
      <c r="S96" s="10">
        <v>1</v>
      </c>
      <c r="T96" t="s">
        <v>20</v>
      </c>
      <c r="U96" s="10">
        <v>25700.68</v>
      </c>
      <c r="V96" s="4">
        <v>25700.68</v>
      </c>
      <c r="X96" s="3" t="s">
        <v>421</v>
      </c>
      <c r="Y96" t="s">
        <v>422</v>
      </c>
      <c r="Z96" t="s">
        <v>151</v>
      </c>
      <c r="AA96" s="10">
        <v>1</v>
      </c>
      <c r="AB96" t="s">
        <v>20</v>
      </c>
      <c r="AC96" s="10">
        <v>44470.3174</v>
      </c>
      <c r="AD96" s="4">
        <v>44470.3174</v>
      </c>
      <c r="AG96" s="22" t="s">
        <v>223</v>
      </c>
      <c r="AH96" s="23" t="s">
        <v>223</v>
      </c>
      <c r="AI96" s="23" t="s">
        <v>223</v>
      </c>
      <c r="AJ96" s="23" t="s">
        <v>223</v>
      </c>
      <c r="AK96" s="23" t="s">
        <v>223</v>
      </c>
      <c r="AL96" s="23" t="s">
        <v>223</v>
      </c>
      <c r="AM96" s="23" t="s">
        <v>224</v>
      </c>
      <c r="AN96" s="24">
        <v>6542403.1443890007</v>
      </c>
      <c r="AX96" s="3" t="s">
        <v>314</v>
      </c>
      <c r="AY96" t="s">
        <v>315</v>
      </c>
      <c r="AZ96" t="s">
        <v>41</v>
      </c>
      <c r="BA96">
        <v>244</v>
      </c>
      <c r="BB96" t="s">
        <v>20</v>
      </c>
      <c r="BC96">
        <v>798.2826</v>
      </c>
      <c r="BD96" s="4">
        <v>194780.95439999999</v>
      </c>
    </row>
    <row r="97" spans="1:56" x14ac:dyDescent="0.35">
      <c r="A97" s="38" t="str">
        <v>KW000051</v>
      </c>
      <c r="B97" s="31" t="str">
        <f t="shared" si="13"/>
        <v>SUSHI MAT 3481</v>
      </c>
      <c r="C97" s="31" t="str">
        <f t="shared" si="14"/>
        <v>KITCHENWARE TOOLS</v>
      </c>
      <c r="D97" s="66" t="str">
        <f t="shared" si="15"/>
        <v>pcs</v>
      </c>
      <c r="E97" s="53">
        <f t="shared" si="16"/>
        <v>32500</v>
      </c>
      <c r="F97" s="48">
        <f t="shared" si="17"/>
        <v>1</v>
      </c>
      <c r="G97" s="67" t="str">
        <f t="shared" si="18"/>
        <v>0</v>
      </c>
      <c r="H97" s="67">
        <f t="shared" si="19"/>
        <v>-1</v>
      </c>
      <c r="I97" s="53">
        <f t="shared" si="20"/>
        <v>-32500</v>
      </c>
      <c r="J97" s="31" t="str">
        <f t="shared" si="21"/>
        <v>Penurunan IU</v>
      </c>
      <c r="K97" s="42"/>
      <c r="O97" s="3">
        <v>2</v>
      </c>
      <c r="P97" t="s">
        <v>427</v>
      </c>
      <c r="Q97" t="s">
        <v>428</v>
      </c>
      <c r="R97" t="s">
        <v>165</v>
      </c>
      <c r="S97" s="10">
        <v>1</v>
      </c>
      <c r="T97" t="s">
        <v>20</v>
      </c>
      <c r="U97" s="10">
        <v>32500</v>
      </c>
      <c r="V97" s="4">
        <v>32500</v>
      </c>
      <c r="X97" s="3" t="s">
        <v>154</v>
      </c>
      <c r="Y97" t="s">
        <v>155</v>
      </c>
      <c r="Z97" t="s">
        <v>151</v>
      </c>
      <c r="AA97" s="10">
        <v>30</v>
      </c>
      <c r="AB97" t="s">
        <v>20</v>
      </c>
      <c r="AC97" s="10">
        <v>968.92899999999997</v>
      </c>
      <c r="AD97" s="4">
        <v>29067.87</v>
      </c>
      <c r="AX97" s="3" t="s">
        <v>65</v>
      </c>
      <c r="AY97" t="s">
        <v>66</v>
      </c>
      <c r="AZ97" t="s">
        <v>67</v>
      </c>
      <c r="BA97" s="10">
        <v>20</v>
      </c>
      <c r="BB97" t="s">
        <v>20</v>
      </c>
      <c r="BC97" s="10">
        <v>320</v>
      </c>
      <c r="BD97" s="4">
        <v>6400</v>
      </c>
    </row>
    <row r="98" spans="1:56" ht="15" thickBot="1" x14ac:dyDescent="0.4">
      <c r="A98" s="38" t="str">
        <v>KW000057</v>
      </c>
      <c r="B98" s="31" t="str">
        <f t="shared" si="13"/>
        <v>SEALWARE B 48 PERSEGI</v>
      </c>
      <c r="C98" s="31" t="str">
        <f t="shared" si="14"/>
        <v>KITCHENWARE TOOLS</v>
      </c>
      <c r="D98" s="66" t="str">
        <f t="shared" si="15"/>
        <v>pcs</v>
      </c>
      <c r="E98" s="53">
        <f t="shared" si="16"/>
        <v>12389.93</v>
      </c>
      <c r="F98" s="48">
        <f t="shared" si="17"/>
        <v>1</v>
      </c>
      <c r="G98" s="67" t="str">
        <f t="shared" si="18"/>
        <v>0</v>
      </c>
      <c r="H98" s="67">
        <f t="shared" si="19"/>
        <v>-1</v>
      </c>
      <c r="I98" s="53">
        <f t="shared" si="20"/>
        <v>-12389.93</v>
      </c>
      <c r="J98" s="31" t="str">
        <f t="shared" si="21"/>
        <v>Penurunan IU</v>
      </c>
      <c r="K98" s="42"/>
      <c r="O98" s="3">
        <v>3</v>
      </c>
      <c r="P98" t="s">
        <v>286</v>
      </c>
      <c r="Q98" t="s">
        <v>287</v>
      </c>
      <c r="R98" t="s">
        <v>165</v>
      </c>
      <c r="S98" s="10">
        <v>1</v>
      </c>
      <c r="T98" t="s">
        <v>20</v>
      </c>
      <c r="U98" s="10">
        <v>43200</v>
      </c>
      <c r="V98" s="4">
        <v>43200</v>
      </c>
      <c r="X98" s="3" t="s">
        <v>156</v>
      </c>
      <c r="Y98" t="s">
        <v>157</v>
      </c>
      <c r="Z98" t="s">
        <v>151</v>
      </c>
      <c r="AA98" s="10">
        <v>7</v>
      </c>
      <c r="AB98" t="s">
        <v>20</v>
      </c>
      <c r="AC98" s="10">
        <v>2371.4018000000001</v>
      </c>
      <c r="AD98" s="4">
        <v>16599.812600000001</v>
      </c>
      <c r="AX98" s="3" t="s">
        <v>355</v>
      </c>
      <c r="AY98" t="s">
        <v>356</v>
      </c>
      <c r="AZ98" t="s">
        <v>67</v>
      </c>
      <c r="BA98" s="10">
        <v>1</v>
      </c>
      <c r="BB98" t="s">
        <v>160</v>
      </c>
      <c r="BC98" s="10">
        <v>4000</v>
      </c>
      <c r="BD98" s="4">
        <v>4000</v>
      </c>
    </row>
    <row r="99" spans="1:56" x14ac:dyDescent="0.35">
      <c r="A99" s="38" t="str">
        <v>KW00065</v>
      </c>
      <c r="B99" s="31" t="str">
        <f t="shared" si="13"/>
        <v>PAPPER SHAKER/TEMPAT BUMBU</v>
      </c>
      <c r="C99" s="31" t="str">
        <f t="shared" si="14"/>
        <v>KITCHENWARE TOOLS</v>
      </c>
      <c r="D99" s="66" t="str">
        <f t="shared" si="15"/>
        <v>pcs</v>
      </c>
      <c r="E99" s="53">
        <f t="shared" si="16"/>
        <v>45500</v>
      </c>
      <c r="F99" s="48">
        <f t="shared" si="17"/>
        <v>1</v>
      </c>
      <c r="G99" s="67" t="str">
        <f t="shared" si="18"/>
        <v>0</v>
      </c>
      <c r="H99" s="67">
        <f t="shared" si="19"/>
        <v>-1</v>
      </c>
      <c r="I99" s="53">
        <f t="shared" si="20"/>
        <v>-45500</v>
      </c>
      <c r="J99" s="31" t="str">
        <f t="shared" si="21"/>
        <v>Penurunan IU</v>
      </c>
      <c r="K99" s="42"/>
      <c r="O99" s="3">
        <v>4</v>
      </c>
      <c r="P99" t="s">
        <v>375</v>
      </c>
      <c r="Q99" t="s">
        <v>376</v>
      </c>
      <c r="R99" t="s">
        <v>165</v>
      </c>
      <c r="S99" s="10">
        <v>1</v>
      </c>
      <c r="T99" t="s">
        <v>20</v>
      </c>
      <c r="U99" s="10">
        <v>12389.928599999999</v>
      </c>
      <c r="V99" s="4">
        <v>12389.928599999999</v>
      </c>
      <c r="X99" s="3" t="s">
        <v>272</v>
      </c>
      <c r="Y99" t="s">
        <v>273</v>
      </c>
      <c r="Z99" t="s">
        <v>151</v>
      </c>
      <c r="AA99" s="10">
        <v>2</v>
      </c>
      <c r="AB99" t="s">
        <v>5</v>
      </c>
      <c r="AC99" s="10">
        <v>2794.3427999999999</v>
      </c>
      <c r="AD99" s="4">
        <v>5588.6855999999998</v>
      </c>
      <c r="AG99" s="84" t="s">
        <v>0</v>
      </c>
      <c r="AH99" s="85"/>
      <c r="AI99" s="85"/>
      <c r="AJ99" s="85"/>
      <c r="AK99" s="85"/>
      <c r="AL99" s="16"/>
      <c r="AM99" s="16"/>
      <c r="AN99" s="17"/>
      <c r="AX99" s="3" t="s">
        <v>509</v>
      </c>
      <c r="AY99" t="s">
        <v>510</v>
      </c>
      <c r="AZ99" t="s">
        <v>67</v>
      </c>
      <c r="BA99" s="10">
        <v>0.2</v>
      </c>
      <c r="BB99" t="s">
        <v>5</v>
      </c>
      <c r="BC99" s="10">
        <v>6250</v>
      </c>
      <c r="BD99" s="4">
        <v>1250</v>
      </c>
    </row>
    <row r="100" spans="1:56" x14ac:dyDescent="0.35">
      <c r="A100" s="38" t="str">
        <v>KW00067</v>
      </c>
      <c r="B100" s="31" t="str">
        <f t="shared" si="13"/>
        <v>SPATULA SILIKON - MERAH</v>
      </c>
      <c r="C100" s="31" t="str">
        <f t="shared" si="14"/>
        <v>KITCHENWARE TOOLS</v>
      </c>
      <c r="D100" s="66" t="str">
        <f t="shared" si="15"/>
        <v>pcs</v>
      </c>
      <c r="E100" s="53">
        <f t="shared" si="16"/>
        <v>27480.83</v>
      </c>
      <c r="F100" s="48">
        <f t="shared" si="17"/>
        <v>2</v>
      </c>
      <c r="G100" s="67" t="str">
        <f t="shared" si="18"/>
        <v>0</v>
      </c>
      <c r="H100" s="67">
        <f t="shared" si="19"/>
        <v>-2</v>
      </c>
      <c r="I100" s="53">
        <f t="shared" si="20"/>
        <v>-54961.66</v>
      </c>
      <c r="J100" s="31" t="str">
        <f t="shared" si="21"/>
        <v>Penurunan IU</v>
      </c>
      <c r="K100" s="42"/>
      <c r="O100" s="3">
        <v>5</v>
      </c>
      <c r="P100" t="s">
        <v>288</v>
      </c>
      <c r="Q100" t="s">
        <v>289</v>
      </c>
      <c r="R100" t="s">
        <v>165</v>
      </c>
      <c r="S100" s="10">
        <v>1</v>
      </c>
      <c r="T100" t="s">
        <v>20</v>
      </c>
      <c r="U100" s="10">
        <v>45500</v>
      </c>
      <c r="V100" s="4">
        <v>45500</v>
      </c>
      <c r="X100" s="3" t="s">
        <v>423</v>
      </c>
      <c r="Y100" t="s">
        <v>424</v>
      </c>
      <c r="Z100" t="s">
        <v>151</v>
      </c>
      <c r="AA100" s="10">
        <v>6</v>
      </c>
      <c r="AB100" t="s">
        <v>20</v>
      </c>
      <c r="AC100" s="10">
        <v>5044.4444444444443</v>
      </c>
      <c r="AD100" s="4">
        <v>30266.666667000001</v>
      </c>
      <c r="AG100" s="82" t="s">
        <v>1</v>
      </c>
      <c r="AH100" s="83"/>
      <c r="AI100" s="83"/>
      <c r="AJ100" s="83"/>
      <c r="AK100" s="83"/>
      <c r="AL100" s="18"/>
      <c r="AM100" s="18"/>
      <c r="AN100" s="19"/>
      <c r="AX100" s="3" t="s">
        <v>72</v>
      </c>
      <c r="AY100" t="s">
        <v>73</v>
      </c>
      <c r="AZ100" t="s">
        <v>67</v>
      </c>
      <c r="BA100" s="10">
        <v>5</v>
      </c>
      <c r="BB100" t="s">
        <v>74</v>
      </c>
      <c r="BC100" s="10">
        <v>3000</v>
      </c>
      <c r="BD100" s="4">
        <v>15000</v>
      </c>
    </row>
    <row r="101" spans="1:56" x14ac:dyDescent="0.35">
      <c r="A101" s="38" t="str">
        <v>KW00094</v>
      </c>
      <c r="B101" s="31" t="str">
        <f t="shared" si="13"/>
        <v>PRAXIS KEEPER 102 1,9 LITER</v>
      </c>
      <c r="C101" s="31" t="str">
        <f t="shared" si="14"/>
        <v>KITCHENWARE TOOLS</v>
      </c>
      <c r="D101" s="66" t="str">
        <f t="shared" si="15"/>
        <v>pcs</v>
      </c>
      <c r="E101" s="53">
        <f t="shared" si="16"/>
        <v>12168.33</v>
      </c>
      <c r="F101" s="48">
        <f t="shared" si="17"/>
        <v>2</v>
      </c>
      <c r="G101" s="67" t="str">
        <f t="shared" si="18"/>
        <v>0</v>
      </c>
      <c r="H101" s="67">
        <f t="shared" si="19"/>
        <v>-2</v>
      </c>
      <c r="I101" s="53">
        <f t="shared" si="20"/>
        <v>-24336.66</v>
      </c>
      <c r="J101" s="31" t="str">
        <f t="shared" si="21"/>
        <v>Penurunan IU</v>
      </c>
      <c r="K101" s="42"/>
      <c r="O101" s="3">
        <v>6</v>
      </c>
      <c r="P101" t="s">
        <v>648</v>
      </c>
      <c r="Q101" t="s">
        <v>649</v>
      </c>
      <c r="R101" t="s">
        <v>165</v>
      </c>
      <c r="S101" s="10">
        <v>2</v>
      </c>
      <c r="T101" t="s">
        <v>20</v>
      </c>
      <c r="U101" s="10">
        <v>27480.833299999998</v>
      </c>
      <c r="V101" s="4">
        <v>54961.666599999997</v>
      </c>
      <c r="X101" s="3" t="s">
        <v>655</v>
      </c>
      <c r="Y101" t="s">
        <v>656</v>
      </c>
      <c r="Z101" t="s">
        <v>151</v>
      </c>
      <c r="AA101" s="10">
        <v>0.3</v>
      </c>
      <c r="AB101" t="s">
        <v>20</v>
      </c>
      <c r="AC101" s="10">
        <v>39900</v>
      </c>
      <c r="AD101" s="4">
        <v>11970</v>
      </c>
      <c r="AG101" s="20"/>
      <c r="AH101" s="18"/>
      <c r="AI101" s="18"/>
      <c r="AJ101" s="18"/>
      <c r="AK101" s="18"/>
      <c r="AL101" s="18"/>
      <c r="AM101" s="18"/>
      <c r="AN101" s="19"/>
      <c r="AX101" s="3" t="s">
        <v>75</v>
      </c>
      <c r="AY101" t="s">
        <v>76</v>
      </c>
      <c r="AZ101" t="s">
        <v>67</v>
      </c>
      <c r="BA101" s="10">
        <v>3</v>
      </c>
      <c r="BB101" t="s">
        <v>74</v>
      </c>
      <c r="BC101" s="10">
        <v>6000</v>
      </c>
      <c r="BD101" s="4">
        <v>18000</v>
      </c>
    </row>
    <row r="102" spans="1:56" x14ac:dyDescent="0.35">
      <c r="A102" s="38" t="str">
        <v>KW00095</v>
      </c>
      <c r="B102" s="31" t="str">
        <f t="shared" si="13"/>
        <v>SEALWARE B 47 PERSEGI</v>
      </c>
      <c r="C102" s="31" t="str">
        <f t="shared" si="14"/>
        <v>KITCHENWARE TOOLS</v>
      </c>
      <c r="D102" s="66" t="str">
        <f t="shared" si="15"/>
        <v>pcs</v>
      </c>
      <c r="E102" s="53">
        <f t="shared" si="16"/>
        <v>9945</v>
      </c>
      <c r="F102" s="48">
        <f t="shared" si="17"/>
        <v>2</v>
      </c>
      <c r="G102" s="67" t="str">
        <f t="shared" si="18"/>
        <v>0</v>
      </c>
      <c r="H102" s="67">
        <f t="shared" si="19"/>
        <v>-2</v>
      </c>
      <c r="I102" s="53">
        <f t="shared" si="20"/>
        <v>-19890</v>
      </c>
      <c r="J102" s="31" t="str">
        <f t="shared" si="21"/>
        <v>Penurunan IU</v>
      </c>
      <c r="K102" s="42"/>
      <c r="O102" s="3">
        <v>7</v>
      </c>
      <c r="P102" t="s">
        <v>290</v>
      </c>
      <c r="Q102" t="s">
        <v>291</v>
      </c>
      <c r="R102" t="s">
        <v>165</v>
      </c>
      <c r="S102" s="10">
        <v>2</v>
      </c>
      <c r="T102" t="s">
        <v>20</v>
      </c>
      <c r="U102" s="10">
        <v>12168.3333</v>
      </c>
      <c r="V102" s="4">
        <v>24336.6666</v>
      </c>
      <c r="X102" s="3" t="s">
        <v>161</v>
      </c>
      <c r="Y102" t="s">
        <v>162</v>
      </c>
      <c r="Z102" t="s">
        <v>151</v>
      </c>
      <c r="AA102" s="10">
        <v>5.5</v>
      </c>
      <c r="AB102" t="s">
        <v>5</v>
      </c>
      <c r="AC102" s="10">
        <v>6563.7948999999999</v>
      </c>
      <c r="AD102" s="4">
        <v>36100.871950000001</v>
      </c>
      <c r="AG102" s="82" t="s">
        <v>10</v>
      </c>
      <c r="AH102" s="83" t="s">
        <v>11</v>
      </c>
      <c r="AI102" s="18" t="s">
        <v>857</v>
      </c>
      <c r="AJ102" s="18"/>
      <c r="AK102" s="18"/>
      <c r="AL102" s="18"/>
      <c r="AM102" s="18"/>
      <c r="AN102" s="19"/>
      <c r="AX102" s="3" t="s">
        <v>393</v>
      </c>
      <c r="AY102" t="s">
        <v>394</v>
      </c>
      <c r="AZ102" t="s">
        <v>67</v>
      </c>
      <c r="BA102" s="10">
        <v>1</v>
      </c>
      <c r="BB102" t="s">
        <v>20</v>
      </c>
      <c r="BC102" s="10">
        <v>18200</v>
      </c>
      <c r="BD102" s="4">
        <v>18200</v>
      </c>
    </row>
    <row r="103" spans="1:56" x14ac:dyDescent="0.35">
      <c r="A103" s="38" t="str">
        <v>KW00096</v>
      </c>
      <c r="B103" s="31" t="str">
        <f t="shared" si="13"/>
        <v>BOX / SEALWARE DONAT</v>
      </c>
      <c r="C103" s="31" t="str">
        <f t="shared" si="14"/>
        <v>KITCHENWARE TOOLS</v>
      </c>
      <c r="D103" s="66" t="str">
        <f t="shared" si="15"/>
        <v>pcs</v>
      </c>
      <c r="E103" s="53">
        <f t="shared" si="16"/>
        <v>30681.54</v>
      </c>
      <c r="F103" s="48">
        <f t="shared" si="17"/>
        <v>1</v>
      </c>
      <c r="G103" s="67" t="str">
        <f t="shared" si="18"/>
        <v>0</v>
      </c>
      <c r="H103" s="67">
        <f t="shared" si="19"/>
        <v>-1</v>
      </c>
      <c r="I103" s="53">
        <f t="shared" si="20"/>
        <v>-30681.54</v>
      </c>
      <c r="J103" s="31" t="str">
        <f t="shared" si="21"/>
        <v>Penurunan IU</v>
      </c>
      <c r="K103" s="42"/>
      <c r="O103" s="3">
        <v>8</v>
      </c>
      <c r="P103" t="s">
        <v>178</v>
      </c>
      <c r="Q103" t="s">
        <v>179</v>
      </c>
      <c r="R103" t="s">
        <v>165</v>
      </c>
      <c r="S103" s="10">
        <v>2</v>
      </c>
      <c r="T103" t="s">
        <v>20</v>
      </c>
      <c r="U103" s="10">
        <v>9945</v>
      </c>
      <c r="V103" s="4">
        <v>19890</v>
      </c>
      <c r="X103" s="3" t="s">
        <v>468</v>
      </c>
      <c r="Y103" t="s">
        <v>469</v>
      </c>
      <c r="Z103" t="s">
        <v>151</v>
      </c>
      <c r="AA103" s="10">
        <v>44</v>
      </c>
      <c r="AB103" t="s">
        <v>20</v>
      </c>
      <c r="AC103" s="10">
        <v>793.9</v>
      </c>
      <c r="AD103" s="4">
        <v>34931.599999999999</v>
      </c>
      <c r="AG103" s="82" t="s">
        <v>16</v>
      </c>
      <c r="AH103" s="83" t="s">
        <v>11</v>
      </c>
      <c r="AI103" s="18" t="s">
        <v>211</v>
      </c>
      <c r="AJ103" s="18"/>
      <c r="AK103" s="18"/>
      <c r="AL103" s="18"/>
      <c r="AM103" s="18"/>
      <c r="AN103" s="19"/>
      <c r="AX103" s="3" t="s">
        <v>236</v>
      </c>
      <c r="AY103" t="s">
        <v>237</v>
      </c>
      <c r="AZ103" t="s">
        <v>67</v>
      </c>
      <c r="BA103" s="10">
        <v>1</v>
      </c>
      <c r="BB103" t="s">
        <v>20</v>
      </c>
      <c r="BC103" s="10">
        <v>7500</v>
      </c>
      <c r="BD103" s="4">
        <v>7500</v>
      </c>
    </row>
    <row r="104" spans="1:56" ht="15" thickBot="1" x14ac:dyDescent="0.4">
      <c r="A104" s="38" t="str">
        <v>KW00120</v>
      </c>
      <c r="B104" s="31" t="str">
        <f t="shared" si="13"/>
        <v>CHOPSTICK HEXAGONAL</v>
      </c>
      <c r="C104" s="31" t="str">
        <f t="shared" si="14"/>
        <v>KITCHENWARE TOOLS</v>
      </c>
      <c r="D104" s="66" t="str">
        <f t="shared" si="15"/>
        <v>pcs</v>
      </c>
      <c r="E104" s="53">
        <f t="shared" si="16"/>
        <v>7250</v>
      </c>
      <c r="F104" s="48">
        <f t="shared" si="17"/>
        <v>1</v>
      </c>
      <c r="G104" s="67" t="str">
        <f t="shared" si="18"/>
        <v>0</v>
      </c>
      <c r="H104" s="67">
        <f t="shared" si="19"/>
        <v>-1</v>
      </c>
      <c r="I104" s="53">
        <f t="shared" si="20"/>
        <v>-7250</v>
      </c>
      <c r="J104" s="31" t="str">
        <f t="shared" si="21"/>
        <v>Penurunan IU</v>
      </c>
      <c r="K104" s="42"/>
      <c r="O104" s="3">
        <v>9</v>
      </c>
      <c r="P104" t="s">
        <v>431</v>
      </c>
      <c r="Q104" t="s">
        <v>432</v>
      </c>
      <c r="R104" t="s">
        <v>165</v>
      </c>
      <c r="S104" s="10">
        <v>1</v>
      </c>
      <c r="T104" t="s">
        <v>20</v>
      </c>
      <c r="U104" s="10">
        <v>30681.538499999999</v>
      </c>
      <c r="V104" s="4">
        <v>30681.538499999999</v>
      </c>
      <c r="X104" s="11" t="s">
        <v>657</v>
      </c>
      <c r="Y104" s="12" t="s">
        <v>658</v>
      </c>
      <c r="Z104" s="12" t="s">
        <v>151</v>
      </c>
      <c r="AA104" s="12">
        <v>2</v>
      </c>
      <c r="AB104" s="12" t="s">
        <v>20</v>
      </c>
      <c r="AC104" s="12">
        <v>15000</v>
      </c>
      <c r="AD104" s="13">
        <v>30000</v>
      </c>
      <c r="AG104" s="82" t="s">
        <v>21</v>
      </c>
      <c r="AH104" s="83" t="s">
        <v>11</v>
      </c>
      <c r="AI104" s="18" t="s">
        <v>640</v>
      </c>
      <c r="AJ104" s="18"/>
      <c r="AK104" s="18"/>
      <c r="AL104" s="18"/>
      <c r="AM104" s="18"/>
      <c r="AN104" s="19"/>
      <c r="AX104" s="3" t="s">
        <v>512</v>
      </c>
      <c r="AY104" t="s">
        <v>513</v>
      </c>
      <c r="AZ104" t="s">
        <v>67</v>
      </c>
      <c r="BA104" s="10">
        <v>1</v>
      </c>
      <c r="BB104" t="s">
        <v>486</v>
      </c>
      <c r="BC104" s="10">
        <v>27666.666700000002</v>
      </c>
      <c r="BD104" s="4">
        <v>27666.666700000002</v>
      </c>
    </row>
    <row r="105" spans="1:56" ht="15" thickTop="1" x14ac:dyDescent="0.35">
      <c r="A105" s="38" t="str">
        <v>KW00132</v>
      </c>
      <c r="B105" s="31" t="str">
        <f t="shared" si="13"/>
        <v>BOTOL SAUS 16OZ</v>
      </c>
      <c r="C105" s="31" t="str">
        <f t="shared" si="14"/>
        <v>KITCHENWARE TOOLS</v>
      </c>
      <c r="D105" s="66" t="str">
        <f t="shared" si="15"/>
        <v>pcs</v>
      </c>
      <c r="E105" s="53">
        <f t="shared" si="16"/>
        <v>20250</v>
      </c>
      <c r="F105" s="48">
        <f t="shared" si="17"/>
        <v>1</v>
      </c>
      <c r="G105" s="67" t="str">
        <f t="shared" si="18"/>
        <v>0</v>
      </c>
      <c r="H105" s="67">
        <f t="shared" si="19"/>
        <v>-1</v>
      </c>
      <c r="I105" s="53">
        <f t="shared" si="20"/>
        <v>-20250</v>
      </c>
      <c r="J105" s="31" t="str">
        <f t="shared" si="21"/>
        <v>Penurunan IU</v>
      </c>
      <c r="K105" s="42"/>
      <c r="O105" s="3">
        <v>10</v>
      </c>
      <c r="P105" t="s">
        <v>650</v>
      </c>
      <c r="Q105" t="s">
        <v>651</v>
      </c>
      <c r="R105" t="s">
        <v>165</v>
      </c>
      <c r="S105" s="10">
        <v>1</v>
      </c>
      <c r="T105" t="s">
        <v>20</v>
      </c>
      <c r="U105" s="10">
        <v>7250</v>
      </c>
      <c r="V105" s="4">
        <v>7250</v>
      </c>
      <c r="AG105" s="82" t="s">
        <v>26</v>
      </c>
      <c r="AH105" s="83" t="s">
        <v>11</v>
      </c>
      <c r="AI105" s="18" t="s">
        <v>858</v>
      </c>
      <c r="AJ105" s="18"/>
      <c r="AK105" s="18"/>
      <c r="AL105" s="18"/>
      <c r="AM105" s="18"/>
      <c r="AN105" s="19"/>
      <c r="AX105" s="3" t="s">
        <v>484</v>
      </c>
      <c r="AY105" t="s">
        <v>485</v>
      </c>
      <c r="AZ105" t="s">
        <v>67</v>
      </c>
      <c r="BA105" s="10">
        <v>1</v>
      </c>
      <c r="BB105" t="s">
        <v>486</v>
      </c>
      <c r="BC105" s="10">
        <v>8500</v>
      </c>
      <c r="BD105" s="4">
        <v>8500</v>
      </c>
    </row>
    <row r="106" spans="1:56" x14ac:dyDescent="0.35">
      <c r="A106" s="38" t="str">
        <v>KW00158</v>
      </c>
      <c r="B106" s="31" t="str">
        <f t="shared" si="13"/>
        <v>CENTONG STAINLESS</v>
      </c>
      <c r="C106" s="31" t="str">
        <f t="shared" si="14"/>
        <v>KITCHENWARE TOOLS</v>
      </c>
      <c r="D106" s="66" t="str">
        <f t="shared" si="15"/>
        <v>pcs</v>
      </c>
      <c r="E106" s="53">
        <f t="shared" si="16"/>
        <v>22153.85</v>
      </c>
      <c r="F106" s="48">
        <f t="shared" si="17"/>
        <v>2</v>
      </c>
      <c r="G106" s="67" t="str">
        <f t="shared" si="18"/>
        <v>0</v>
      </c>
      <c r="H106" s="67">
        <f t="shared" si="19"/>
        <v>-2</v>
      </c>
      <c r="I106" s="53">
        <f t="shared" si="20"/>
        <v>-44307.7</v>
      </c>
      <c r="J106" s="31" t="str">
        <f t="shared" si="21"/>
        <v>Penurunan IU</v>
      </c>
      <c r="K106" s="42"/>
      <c r="O106" s="3">
        <v>11</v>
      </c>
      <c r="P106" t="s">
        <v>539</v>
      </c>
      <c r="Q106" t="s">
        <v>540</v>
      </c>
      <c r="R106" t="s">
        <v>165</v>
      </c>
      <c r="S106" s="10">
        <v>1</v>
      </c>
      <c r="T106" t="s">
        <v>20</v>
      </c>
      <c r="U106" s="10">
        <v>20250</v>
      </c>
      <c r="V106" s="4">
        <v>20250</v>
      </c>
      <c r="AG106" s="82" t="s">
        <v>31</v>
      </c>
      <c r="AH106" s="83" t="s">
        <v>11</v>
      </c>
      <c r="AI106" s="18" t="s">
        <v>32</v>
      </c>
      <c r="AJ106" s="18"/>
      <c r="AK106" s="18"/>
      <c r="AL106" s="18"/>
      <c r="AM106" s="18"/>
      <c r="AN106" s="19"/>
      <c r="AX106" s="3" t="s">
        <v>81</v>
      </c>
      <c r="AY106" t="s">
        <v>82</v>
      </c>
      <c r="AZ106" t="s">
        <v>67</v>
      </c>
      <c r="BA106" s="10">
        <v>2</v>
      </c>
      <c r="BB106" t="s">
        <v>20</v>
      </c>
      <c r="BC106" s="10">
        <v>12312.5</v>
      </c>
      <c r="BD106" s="4">
        <v>24625</v>
      </c>
    </row>
    <row r="107" spans="1:56" x14ac:dyDescent="0.35">
      <c r="A107" s="38" t="str">
        <v>KW00380</v>
      </c>
      <c r="B107" s="31" t="str">
        <f t="shared" si="13"/>
        <v>SENDOK PUDING (UNTUK SAUCE SAMJANG) PACK@50PCS</v>
      </c>
      <c r="C107" s="31" t="str">
        <f t="shared" si="14"/>
        <v>KITCHENWARE TOOLS</v>
      </c>
      <c r="D107" s="66" t="str">
        <f t="shared" si="15"/>
        <v>pack</v>
      </c>
      <c r="E107" s="53">
        <f t="shared" si="16"/>
        <v>11000</v>
      </c>
      <c r="F107" s="48">
        <f t="shared" si="17"/>
        <v>0.5</v>
      </c>
      <c r="G107" s="67" t="str">
        <f t="shared" si="18"/>
        <v>0</v>
      </c>
      <c r="H107" s="67">
        <f t="shared" si="19"/>
        <v>-0.5</v>
      </c>
      <c r="I107" s="53">
        <f t="shared" si="20"/>
        <v>-5500</v>
      </c>
      <c r="J107" s="31" t="str">
        <f t="shared" si="21"/>
        <v>Penurunan IU</v>
      </c>
      <c r="K107" s="42"/>
      <c r="O107" s="3">
        <v>12</v>
      </c>
      <c r="P107" t="s">
        <v>542</v>
      </c>
      <c r="Q107" t="s">
        <v>543</v>
      </c>
      <c r="R107" t="s">
        <v>165</v>
      </c>
      <c r="S107" s="10">
        <v>2</v>
      </c>
      <c r="T107" t="s">
        <v>20</v>
      </c>
      <c r="U107" s="10">
        <v>22153.85</v>
      </c>
      <c r="V107" s="4">
        <v>44307.7</v>
      </c>
      <c r="AG107" s="82" t="s">
        <v>35</v>
      </c>
      <c r="AH107" s="83" t="s">
        <v>11</v>
      </c>
      <c r="AI107" s="18" t="s">
        <v>859</v>
      </c>
      <c r="AJ107" s="18"/>
      <c r="AK107" s="18"/>
      <c r="AL107" s="18"/>
      <c r="AM107" s="18"/>
      <c r="AN107" s="19"/>
      <c r="AX107" s="3" t="s">
        <v>395</v>
      </c>
      <c r="AY107" t="s">
        <v>396</v>
      </c>
      <c r="AZ107" t="s">
        <v>67</v>
      </c>
      <c r="BA107" s="10">
        <v>0.5</v>
      </c>
      <c r="BB107" t="s">
        <v>216</v>
      </c>
      <c r="BC107" s="10">
        <v>6000</v>
      </c>
      <c r="BD107" s="4">
        <v>3000</v>
      </c>
    </row>
    <row r="108" spans="1:56" x14ac:dyDescent="0.35">
      <c r="A108" s="38" t="str">
        <v>TCT00006</v>
      </c>
      <c r="B108" s="31" t="str">
        <f t="shared" si="13"/>
        <v>FOOD TONG/CAPITAN DAGING STAINLESS</v>
      </c>
      <c r="C108" s="31" t="str">
        <f t="shared" si="14"/>
        <v>CUTELERIES</v>
      </c>
      <c r="D108" s="66" t="str">
        <f t="shared" si="15"/>
        <v>pcs</v>
      </c>
      <c r="E108" s="53">
        <f t="shared" si="16"/>
        <v>19333.330000000002</v>
      </c>
      <c r="F108" s="48">
        <f t="shared" si="17"/>
        <v>5</v>
      </c>
      <c r="G108" s="67" t="str">
        <f t="shared" si="18"/>
        <v>0</v>
      </c>
      <c r="H108" s="67">
        <f t="shared" si="19"/>
        <v>-5</v>
      </c>
      <c r="I108" s="53">
        <f t="shared" si="20"/>
        <v>-96666.650000000009</v>
      </c>
      <c r="J108" s="31" t="str">
        <f t="shared" si="21"/>
        <v>Penurunan IU</v>
      </c>
      <c r="K108" s="42"/>
      <c r="O108" s="3">
        <v>13</v>
      </c>
      <c r="P108" t="s">
        <v>436</v>
      </c>
      <c r="Q108" t="s">
        <v>437</v>
      </c>
      <c r="R108" t="s">
        <v>165</v>
      </c>
      <c r="S108" s="10">
        <v>0.5</v>
      </c>
      <c r="T108" t="s">
        <v>5</v>
      </c>
      <c r="U108" s="10">
        <v>11000</v>
      </c>
      <c r="V108" s="4">
        <v>5500</v>
      </c>
      <c r="AG108" s="20"/>
      <c r="AH108" s="18"/>
      <c r="AI108" s="18"/>
      <c r="AJ108" s="18"/>
      <c r="AK108" s="18"/>
      <c r="AL108" s="18"/>
      <c r="AM108" s="18"/>
      <c r="AN108" s="19"/>
      <c r="AX108" s="3" t="s">
        <v>83</v>
      </c>
      <c r="AY108" t="s">
        <v>84</v>
      </c>
      <c r="AZ108" t="s">
        <v>67</v>
      </c>
      <c r="BA108" s="10">
        <v>1</v>
      </c>
      <c r="BB108" t="s">
        <v>20</v>
      </c>
      <c r="BC108" s="10">
        <v>7250</v>
      </c>
      <c r="BD108" s="4">
        <v>7250</v>
      </c>
    </row>
    <row r="109" spans="1:56" x14ac:dyDescent="0.35">
      <c r="A109" s="38" t="str">
        <v>TCT00022</v>
      </c>
      <c r="B109" s="31" t="str">
        <f t="shared" si="13"/>
        <v>SHARING PLATE  STAINLESS 12 CM</v>
      </c>
      <c r="C109" s="31" t="str">
        <f t="shared" si="14"/>
        <v>CUTELERIES</v>
      </c>
      <c r="D109" s="66" t="str">
        <f t="shared" si="15"/>
        <v>pcs</v>
      </c>
      <c r="E109" s="53">
        <f t="shared" si="16"/>
        <v>20169.7</v>
      </c>
      <c r="F109" s="48">
        <f t="shared" si="17"/>
        <v>1</v>
      </c>
      <c r="G109" s="67" t="str">
        <f t="shared" si="18"/>
        <v>0</v>
      </c>
      <c r="H109" s="67">
        <f t="shared" si="19"/>
        <v>-1</v>
      </c>
      <c r="I109" s="53">
        <f t="shared" si="20"/>
        <v>-20169.7</v>
      </c>
      <c r="J109" s="31" t="str">
        <f t="shared" si="21"/>
        <v>Penurunan IU</v>
      </c>
      <c r="K109" s="42"/>
      <c r="O109" s="3">
        <v>14</v>
      </c>
      <c r="P109" t="s">
        <v>594</v>
      </c>
      <c r="Q109" t="s">
        <v>595</v>
      </c>
      <c r="R109" t="s">
        <v>182</v>
      </c>
      <c r="S109" s="10">
        <v>5</v>
      </c>
      <c r="T109" t="s">
        <v>20</v>
      </c>
      <c r="U109" s="10">
        <v>19333.33090909091</v>
      </c>
      <c r="V109" s="4">
        <v>96666.654544999998</v>
      </c>
      <c r="AG109" s="20" t="s">
        <v>42</v>
      </c>
      <c r="AH109" s="18" t="s">
        <v>43</v>
      </c>
      <c r="AI109" s="18" t="s">
        <v>44</v>
      </c>
      <c r="AJ109" s="18" t="s">
        <v>45</v>
      </c>
      <c r="AK109" s="18" t="s">
        <v>46</v>
      </c>
      <c r="AL109" s="18" t="s">
        <v>47</v>
      </c>
      <c r="AM109" s="18" t="s">
        <v>48</v>
      </c>
      <c r="AN109" s="19" t="s">
        <v>49</v>
      </c>
      <c r="AX109" s="3" t="s">
        <v>85</v>
      </c>
      <c r="AY109" t="s">
        <v>86</v>
      </c>
      <c r="AZ109" t="s">
        <v>67</v>
      </c>
      <c r="BA109" s="10">
        <v>3.5</v>
      </c>
      <c r="BB109" t="s">
        <v>87</v>
      </c>
      <c r="BC109" s="10">
        <v>18500</v>
      </c>
      <c r="BD109" s="4">
        <v>64750</v>
      </c>
    </row>
    <row r="110" spans="1:56" x14ac:dyDescent="0.35">
      <c r="A110" s="38" t="str">
        <v>TGW00001</v>
      </c>
      <c r="B110" s="31" t="str">
        <f t="shared" si="13"/>
        <v>SAUCER KIMCHI MANGKOK SAUS KECIL 9 CM SC1001</v>
      </c>
      <c r="C110" s="31" t="str">
        <f t="shared" si="14"/>
        <v>TABLEWARE</v>
      </c>
      <c r="D110" s="66" t="str">
        <f t="shared" si="15"/>
        <v>pcs</v>
      </c>
      <c r="E110" s="53">
        <f t="shared" si="16"/>
        <v>8750</v>
      </c>
      <c r="F110" s="48">
        <f t="shared" si="17"/>
        <v>2</v>
      </c>
      <c r="G110" s="67" t="str">
        <f t="shared" si="18"/>
        <v>0</v>
      </c>
      <c r="H110" s="67">
        <f t="shared" si="19"/>
        <v>-2</v>
      </c>
      <c r="I110" s="53">
        <f t="shared" si="20"/>
        <v>-17500</v>
      </c>
      <c r="J110" s="31" t="str">
        <f t="shared" si="21"/>
        <v>Penurunan IU</v>
      </c>
      <c r="K110" s="42"/>
      <c r="O110" s="3">
        <v>15</v>
      </c>
      <c r="P110" t="s">
        <v>553</v>
      </c>
      <c r="Q110" t="s">
        <v>554</v>
      </c>
      <c r="R110" t="s">
        <v>182</v>
      </c>
      <c r="S110" s="10">
        <v>1</v>
      </c>
      <c r="T110" t="s">
        <v>20</v>
      </c>
      <c r="U110" s="10">
        <v>20169.697</v>
      </c>
      <c r="V110" s="4">
        <v>20169.697</v>
      </c>
      <c r="AG110" s="20">
        <v>1</v>
      </c>
      <c r="AH110" s="18" t="s">
        <v>214</v>
      </c>
      <c r="AI110" s="18" t="s">
        <v>215</v>
      </c>
      <c r="AJ110" s="18" t="s">
        <v>4</v>
      </c>
      <c r="AK110" s="21">
        <v>0.1</v>
      </c>
      <c r="AL110" s="18" t="s">
        <v>216</v>
      </c>
      <c r="AM110" s="21">
        <v>55299.999999999993</v>
      </c>
      <c r="AN110" s="19">
        <v>5530</v>
      </c>
      <c r="AX110" s="3" t="s">
        <v>242</v>
      </c>
      <c r="AY110" t="s">
        <v>243</v>
      </c>
      <c r="AZ110" t="s">
        <v>67</v>
      </c>
      <c r="BA110" s="10">
        <v>4</v>
      </c>
      <c r="BB110" t="s">
        <v>87</v>
      </c>
      <c r="BC110" s="10">
        <v>14500</v>
      </c>
      <c r="BD110" s="4">
        <v>58000</v>
      </c>
    </row>
    <row r="111" spans="1:56" x14ac:dyDescent="0.35">
      <c r="A111" s="38" t="str">
        <v>TGW00003</v>
      </c>
      <c r="B111" s="31" t="str">
        <f t="shared" si="13"/>
        <v>MANGKOK KERAMIK/ KOREAN CERAMIK BOWL 14 CM</v>
      </c>
      <c r="C111" s="31" t="str">
        <f t="shared" si="14"/>
        <v>TABLEWARE</v>
      </c>
      <c r="D111" s="66" t="str">
        <f t="shared" si="15"/>
        <v>pcs</v>
      </c>
      <c r="E111" s="53">
        <f t="shared" si="16"/>
        <v>137700.79</v>
      </c>
      <c r="F111" s="48">
        <f t="shared" si="17"/>
        <v>3</v>
      </c>
      <c r="G111" s="67" t="str">
        <f t="shared" si="18"/>
        <v>0</v>
      </c>
      <c r="H111" s="67">
        <f t="shared" si="19"/>
        <v>-3</v>
      </c>
      <c r="I111" s="53">
        <f t="shared" si="20"/>
        <v>-413102.37</v>
      </c>
      <c r="J111" s="31" t="str">
        <f t="shared" si="21"/>
        <v>Penurunan IU</v>
      </c>
      <c r="K111" s="42"/>
      <c r="O111" s="3">
        <v>16</v>
      </c>
      <c r="P111" t="s">
        <v>474</v>
      </c>
      <c r="Q111" t="s">
        <v>475</v>
      </c>
      <c r="R111" t="s">
        <v>192</v>
      </c>
      <c r="S111" s="10">
        <v>2</v>
      </c>
      <c r="T111" t="s">
        <v>20</v>
      </c>
      <c r="U111" s="10">
        <v>8750</v>
      </c>
      <c r="V111" s="4">
        <v>17500</v>
      </c>
      <c r="AG111" s="20">
        <v>2</v>
      </c>
      <c r="AH111" s="18" t="s">
        <v>2</v>
      </c>
      <c r="AI111" s="18" t="s">
        <v>3</v>
      </c>
      <c r="AJ111" s="18" t="s">
        <v>4</v>
      </c>
      <c r="AK111" s="21">
        <v>8</v>
      </c>
      <c r="AL111" s="18" t="s">
        <v>5</v>
      </c>
      <c r="AM111" s="21">
        <v>21000</v>
      </c>
      <c r="AN111" s="19">
        <v>168000</v>
      </c>
      <c r="AX111" s="3" t="s">
        <v>88</v>
      </c>
      <c r="AY111" t="s">
        <v>89</v>
      </c>
      <c r="AZ111" t="s">
        <v>67</v>
      </c>
      <c r="BA111" s="10">
        <v>1</v>
      </c>
      <c r="BB111" t="s">
        <v>5</v>
      </c>
      <c r="BC111" s="10">
        <v>1750</v>
      </c>
      <c r="BD111" s="4">
        <v>1750</v>
      </c>
    </row>
    <row r="112" spans="1:56" x14ac:dyDescent="0.35">
      <c r="A112" s="38" t="str">
        <v>TGW00008</v>
      </c>
      <c r="B112" s="31" t="str">
        <f t="shared" si="13"/>
        <v>IGIGLORI 2710 PIRING HITAM GIMBAP</v>
      </c>
      <c r="C112" s="31" t="str">
        <f t="shared" si="14"/>
        <v>TABLEWARE</v>
      </c>
      <c r="D112" s="66" t="str">
        <f t="shared" si="15"/>
        <v>pcs</v>
      </c>
      <c r="E112" s="53">
        <f t="shared" si="16"/>
        <v>51170</v>
      </c>
      <c r="F112" s="48">
        <f t="shared" si="17"/>
        <v>1</v>
      </c>
      <c r="G112" s="67" t="str">
        <f t="shared" si="18"/>
        <v>0</v>
      </c>
      <c r="H112" s="67">
        <f t="shared" si="19"/>
        <v>-1</v>
      </c>
      <c r="I112" s="53">
        <f t="shared" si="20"/>
        <v>-51170</v>
      </c>
      <c r="J112" s="31" t="str">
        <f t="shared" si="21"/>
        <v>Penurunan IU</v>
      </c>
      <c r="K112" s="42"/>
      <c r="O112" s="3">
        <v>17</v>
      </c>
      <c r="P112" t="s">
        <v>190</v>
      </c>
      <c r="Q112" t="s">
        <v>191</v>
      </c>
      <c r="R112" t="s">
        <v>192</v>
      </c>
      <c r="S112" s="10">
        <v>3</v>
      </c>
      <c r="T112" t="s">
        <v>20</v>
      </c>
      <c r="U112" s="10">
        <v>137700.79180000001</v>
      </c>
      <c r="V112" s="4">
        <v>413102.37540000002</v>
      </c>
      <c r="AG112" s="20">
        <v>3</v>
      </c>
      <c r="AH112" s="18" t="s">
        <v>217</v>
      </c>
      <c r="AI112" s="18" t="s">
        <v>218</v>
      </c>
      <c r="AJ112" s="18" t="s">
        <v>4</v>
      </c>
      <c r="AK112" s="21">
        <v>0.6</v>
      </c>
      <c r="AL112" s="18" t="s">
        <v>9</v>
      </c>
      <c r="AM112" s="21">
        <v>55300</v>
      </c>
      <c r="AN112" s="19">
        <v>33180</v>
      </c>
      <c r="AX112" s="3" t="s">
        <v>327</v>
      </c>
      <c r="AY112" t="s">
        <v>328</v>
      </c>
      <c r="AZ112" t="s">
        <v>67</v>
      </c>
      <c r="BA112" s="10">
        <v>0.5</v>
      </c>
      <c r="BB112" t="s">
        <v>5</v>
      </c>
      <c r="BC112" s="10">
        <v>6250</v>
      </c>
      <c r="BD112" s="4">
        <v>3125</v>
      </c>
    </row>
    <row r="113" spans="1:56" x14ac:dyDescent="0.35">
      <c r="A113" s="38" t="str">
        <v>TGW00009</v>
      </c>
      <c r="B113" s="31" t="str">
        <f t="shared" si="13"/>
        <v>IGIGLORI M6003 GELAS HITAM KOREA</v>
      </c>
      <c r="C113" s="31" t="str">
        <f t="shared" si="14"/>
        <v>TABLEWARE</v>
      </c>
      <c r="D113" s="66" t="str">
        <f t="shared" si="15"/>
        <v>pcs</v>
      </c>
      <c r="E113" s="53">
        <f t="shared" si="16"/>
        <v>18480</v>
      </c>
      <c r="F113" s="48">
        <f t="shared" si="17"/>
        <v>3</v>
      </c>
      <c r="G113" s="67" t="str">
        <f t="shared" si="18"/>
        <v>0</v>
      </c>
      <c r="H113" s="67">
        <f t="shared" si="19"/>
        <v>-3</v>
      </c>
      <c r="I113" s="53">
        <f t="shared" si="20"/>
        <v>-55440</v>
      </c>
      <c r="J113" s="31" t="str">
        <f t="shared" si="21"/>
        <v>Penurunan IU</v>
      </c>
      <c r="K113" s="42"/>
      <c r="O113" s="3">
        <v>18</v>
      </c>
      <c r="P113" t="s">
        <v>596</v>
      </c>
      <c r="Q113" t="s">
        <v>597</v>
      </c>
      <c r="R113" t="s">
        <v>192</v>
      </c>
      <c r="S113" s="10">
        <v>1</v>
      </c>
      <c r="T113" t="s">
        <v>20</v>
      </c>
      <c r="U113" s="10">
        <v>51170</v>
      </c>
      <c r="V113" s="4">
        <v>51170</v>
      </c>
      <c r="AG113" s="20">
        <v>4</v>
      </c>
      <c r="AH113" s="18" t="s">
        <v>7</v>
      </c>
      <c r="AI113" s="18" t="s">
        <v>8</v>
      </c>
      <c r="AJ113" s="18" t="s">
        <v>4</v>
      </c>
      <c r="AK113" s="21">
        <v>1.6</v>
      </c>
      <c r="AL113" s="18" t="s">
        <v>9</v>
      </c>
      <c r="AM113" s="21">
        <v>133200</v>
      </c>
      <c r="AN113" s="19">
        <v>213120</v>
      </c>
      <c r="AX113" s="3" t="s">
        <v>90</v>
      </c>
      <c r="AY113" t="s">
        <v>91</v>
      </c>
      <c r="AZ113" t="s">
        <v>67</v>
      </c>
      <c r="BA113" s="10">
        <v>0.1</v>
      </c>
      <c r="BB113" t="s">
        <v>5</v>
      </c>
      <c r="BC113" s="10">
        <v>6250</v>
      </c>
      <c r="BD113" s="4">
        <v>625</v>
      </c>
    </row>
    <row r="114" spans="1:56" x14ac:dyDescent="0.35">
      <c r="A114" s="38" t="str">
        <v>TGW00010</v>
      </c>
      <c r="B114" s="31" t="str">
        <f t="shared" si="13"/>
        <v>TEMPAT SAMBAL ACRYLIC - BESAR</v>
      </c>
      <c r="C114" s="31" t="str">
        <f t="shared" si="14"/>
        <v>TABLEWARE</v>
      </c>
      <c r="D114" s="66" t="str">
        <f t="shared" si="15"/>
        <v>pcs</v>
      </c>
      <c r="E114" s="53">
        <f t="shared" si="16"/>
        <v>36166.67</v>
      </c>
      <c r="F114" s="48">
        <f t="shared" si="17"/>
        <v>1</v>
      </c>
      <c r="G114" s="67" t="str">
        <f t="shared" si="18"/>
        <v>0</v>
      </c>
      <c r="H114" s="67">
        <f t="shared" si="19"/>
        <v>-1</v>
      </c>
      <c r="I114" s="53">
        <f t="shared" si="20"/>
        <v>-36166.67</v>
      </c>
      <c r="J114" s="31" t="str">
        <f t="shared" si="21"/>
        <v>Penurunan IU</v>
      </c>
      <c r="K114" s="42"/>
      <c r="O114" s="3">
        <v>19</v>
      </c>
      <c r="P114" t="s">
        <v>442</v>
      </c>
      <c r="Q114" t="s">
        <v>443</v>
      </c>
      <c r="R114" t="s">
        <v>192</v>
      </c>
      <c r="S114" s="10">
        <v>3</v>
      </c>
      <c r="T114" t="s">
        <v>20</v>
      </c>
      <c r="U114" s="10">
        <v>18480</v>
      </c>
      <c r="V114" s="4">
        <v>55440</v>
      </c>
      <c r="AG114" s="20">
        <v>5</v>
      </c>
      <c r="AH114" s="18" t="s">
        <v>403</v>
      </c>
      <c r="AI114" s="18" t="s">
        <v>404</v>
      </c>
      <c r="AJ114" s="18" t="s">
        <v>4</v>
      </c>
      <c r="AK114" s="21">
        <v>0.2</v>
      </c>
      <c r="AL114" s="18" t="s">
        <v>9</v>
      </c>
      <c r="AM114" s="21">
        <v>70700</v>
      </c>
      <c r="AN114" s="19">
        <v>14140</v>
      </c>
      <c r="AX114" s="3" t="s">
        <v>516</v>
      </c>
      <c r="AY114" t="s">
        <v>517</v>
      </c>
      <c r="AZ114" t="s">
        <v>67</v>
      </c>
      <c r="BA114" s="10">
        <v>0.5</v>
      </c>
      <c r="BB114" t="s">
        <v>5</v>
      </c>
      <c r="BC114" s="10">
        <v>10000</v>
      </c>
      <c r="BD114" s="4">
        <v>5000</v>
      </c>
    </row>
    <row r="115" spans="1:56" x14ac:dyDescent="0.35">
      <c r="A115" s="38" t="str">
        <v>MKT00032</v>
      </c>
      <c r="B115" s="31" t="str">
        <f t="shared" si="13"/>
        <v>FLYER A5</v>
      </c>
      <c r="C115" s="31" t="str">
        <f t="shared" si="14"/>
        <v>MARKETING</v>
      </c>
      <c r="D115" s="66" t="str">
        <f t="shared" si="15"/>
        <v>lembar</v>
      </c>
      <c r="E115" s="53">
        <f t="shared" si="16"/>
        <v>628.57000000000005</v>
      </c>
      <c r="F115" s="48">
        <f t="shared" si="17"/>
        <v>1000</v>
      </c>
      <c r="G115" s="67" t="str">
        <f t="shared" si="18"/>
        <v>0</v>
      </c>
      <c r="H115" s="67">
        <f t="shared" si="19"/>
        <v>-1000</v>
      </c>
      <c r="I115" s="53">
        <f t="shared" si="20"/>
        <v>-628570</v>
      </c>
      <c r="J115" s="31" t="str">
        <f t="shared" si="21"/>
        <v>Penurunan IU</v>
      </c>
      <c r="K115" s="42"/>
      <c r="O115" s="3">
        <v>20</v>
      </c>
      <c r="P115" t="s">
        <v>555</v>
      </c>
      <c r="Q115" t="s">
        <v>556</v>
      </c>
      <c r="R115" t="s">
        <v>192</v>
      </c>
      <c r="S115" s="10">
        <v>1</v>
      </c>
      <c r="T115" t="s">
        <v>20</v>
      </c>
      <c r="U115" s="10">
        <v>36166.666700000009</v>
      </c>
      <c r="V115" s="4">
        <v>36166.666700000002</v>
      </c>
      <c r="AG115" s="20">
        <v>6</v>
      </c>
      <c r="AH115" s="18" t="s">
        <v>13</v>
      </c>
      <c r="AI115" s="18" t="s">
        <v>14</v>
      </c>
      <c r="AJ115" s="18" t="s">
        <v>4</v>
      </c>
      <c r="AK115" s="21">
        <v>0.3</v>
      </c>
      <c r="AL115" s="18" t="s">
        <v>15</v>
      </c>
      <c r="AM115" s="21">
        <v>77700</v>
      </c>
      <c r="AN115" s="19">
        <v>23310</v>
      </c>
      <c r="AX115" s="3" t="s">
        <v>92</v>
      </c>
      <c r="AY115" t="s">
        <v>93</v>
      </c>
      <c r="AZ115" t="s">
        <v>67</v>
      </c>
      <c r="BA115" s="10">
        <v>56</v>
      </c>
      <c r="BB115" t="s">
        <v>94</v>
      </c>
      <c r="BC115" s="10">
        <v>11800.754800000001</v>
      </c>
      <c r="BD115" s="4">
        <v>660842.26879999996</v>
      </c>
    </row>
    <row r="116" spans="1:56" x14ac:dyDescent="0.35">
      <c r="A116" s="38" t="str">
        <v>MKT00035</v>
      </c>
      <c r="B116" s="31" t="str">
        <f t="shared" si="13"/>
        <v>LIGHT BOX</v>
      </c>
      <c r="C116" s="31" t="str">
        <f t="shared" si="14"/>
        <v>MARKETING</v>
      </c>
      <c r="D116" s="66" t="str">
        <f t="shared" si="15"/>
        <v>pcs</v>
      </c>
      <c r="E116" s="53">
        <f t="shared" si="16"/>
        <v>465300</v>
      </c>
      <c r="F116" s="48">
        <f t="shared" si="17"/>
        <v>1</v>
      </c>
      <c r="G116" s="67" t="str">
        <f t="shared" si="18"/>
        <v>0</v>
      </c>
      <c r="H116" s="67">
        <f t="shared" si="19"/>
        <v>-1</v>
      </c>
      <c r="I116" s="53">
        <f t="shared" si="20"/>
        <v>-465300</v>
      </c>
      <c r="J116" s="31" t="str">
        <f t="shared" si="21"/>
        <v>Penurunan IU</v>
      </c>
      <c r="K116" s="42"/>
      <c r="O116" s="3">
        <v>21</v>
      </c>
      <c r="P116" t="s">
        <v>333</v>
      </c>
      <c r="Q116" t="s">
        <v>334</v>
      </c>
      <c r="R116" t="s">
        <v>192</v>
      </c>
      <c r="S116">
        <v>33</v>
      </c>
      <c r="T116" t="s">
        <v>20</v>
      </c>
      <c r="U116">
        <v>3666.67</v>
      </c>
      <c r="V116" s="4">
        <v>121000.11</v>
      </c>
      <c r="AG116" s="20">
        <v>7</v>
      </c>
      <c r="AH116" s="18" t="s">
        <v>18</v>
      </c>
      <c r="AI116" s="18" t="s">
        <v>19</v>
      </c>
      <c r="AJ116" s="18" t="s">
        <v>4</v>
      </c>
      <c r="AK116" s="21">
        <v>0.3</v>
      </c>
      <c r="AL116" s="18" t="s">
        <v>20</v>
      </c>
      <c r="AM116" s="21">
        <v>151400</v>
      </c>
      <c r="AN116" s="19">
        <v>45420</v>
      </c>
      <c r="AX116" s="3" t="s">
        <v>518</v>
      </c>
      <c r="AY116" t="s">
        <v>519</v>
      </c>
      <c r="AZ116" t="s">
        <v>67</v>
      </c>
      <c r="BA116" s="10">
        <v>1</v>
      </c>
      <c r="BB116" t="s">
        <v>98</v>
      </c>
      <c r="BC116" s="10">
        <v>18000</v>
      </c>
      <c r="BD116" s="4">
        <v>18000</v>
      </c>
    </row>
    <row r="117" spans="1:56" ht="15" thickBot="1" x14ac:dyDescent="0.4">
      <c r="A117" s="38" t="str">
        <v>MKT00042</v>
      </c>
      <c r="B117" s="31" t="str">
        <f t="shared" si="13"/>
        <v>MATERI PROMOSI LIGHT BOX</v>
      </c>
      <c r="C117" s="31" t="str">
        <f t="shared" si="14"/>
        <v>MARKETING</v>
      </c>
      <c r="D117" s="66" t="str">
        <f t="shared" si="15"/>
        <v>pcs</v>
      </c>
      <c r="E117" s="53">
        <f t="shared" si="16"/>
        <v>115000</v>
      </c>
      <c r="F117" s="48">
        <f t="shared" si="17"/>
        <v>1</v>
      </c>
      <c r="G117" s="67" t="str">
        <f t="shared" si="18"/>
        <v>0</v>
      </c>
      <c r="H117" s="67">
        <f t="shared" si="19"/>
        <v>-1</v>
      </c>
      <c r="I117" s="53">
        <f t="shared" si="20"/>
        <v>-115000</v>
      </c>
      <c r="J117" s="31" t="str">
        <f t="shared" si="21"/>
        <v>Penurunan IU</v>
      </c>
      <c r="K117" s="42"/>
      <c r="O117" s="11" t="s">
        <v>223</v>
      </c>
      <c r="P117" s="12" t="s">
        <v>223</v>
      </c>
      <c r="Q117" s="12" t="s">
        <v>223</v>
      </c>
      <c r="R117" s="12" t="s">
        <v>223</v>
      </c>
      <c r="S117" s="12" t="s">
        <v>223</v>
      </c>
      <c r="T117" s="12" t="s">
        <v>223</v>
      </c>
      <c r="U117" s="12" t="s">
        <v>224</v>
      </c>
      <c r="V117" s="13">
        <v>1177683.6839450002</v>
      </c>
      <c r="AG117" s="20">
        <v>8</v>
      </c>
      <c r="AH117" s="18" t="s">
        <v>219</v>
      </c>
      <c r="AI117" s="18" t="s">
        <v>220</v>
      </c>
      <c r="AJ117" s="18" t="s">
        <v>4</v>
      </c>
      <c r="AK117" s="21">
        <v>4</v>
      </c>
      <c r="AL117" s="18" t="s">
        <v>25</v>
      </c>
      <c r="AM117" s="21">
        <v>58385.157900000013</v>
      </c>
      <c r="AN117" s="19">
        <v>233540.63159999999</v>
      </c>
      <c r="AX117" s="3" t="s">
        <v>96</v>
      </c>
      <c r="AY117" t="s">
        <v>97</v>
      </c>
      <c r="AZ117" t="s">
        <v>67</v>
      </c>
      <c r="BA117" s="10">
        <v>1</v>
      </c>
      <c r="BB117" t="s">
        <v>98</v>
      </c>
      <c r="BC117" s="10">
        <v>8500</v>
      </c>
      <c r="BD117" s="4">
        <v>8500</v>
      </c>
    </row>
    <row r="118" spans="1:56" ht="15.5" thickTop="1" thickBot="1" x14ac:dyDescent="0.4">
      <c r="A118" s="38" t="str">
        <v>MKT00051</v>
      </c>
      <c r="B118" s="31" t="str">
        <f t="shared" si="13"/>
        <v>VOUCHER FREE RAPOKKI CHADOL</v>
      </c>
      <c r="C118" s="31" t="str">
        <f t="shared" si="14"/>
        <v>MARKETING</v>
      </c>
      <c r="D118" s="66" t="str">
        <f t="shared" si="15"/>
        <v>pcs</v>
      </c>
      <c r="E118" s="53">
        <f t="shared" si="16"/>
        <v>800</v>
      </c>
      <c r="F118" s="48">
        <f t="shared" si="17"/>
        <v>50</v>
      </c>
      <c r="G118" s="67" t="str">
        <f t="shared" si="18"/>
        <v>0</v>
      </c>
      <c r="H118" s="67">
        <f t="shared" si="19"/>
        <v>-50</v>
      </c>
      <c r="I118" s="53">
        <f t="shared" si="20"/>
        <v>-40000</v>
      </c>
      <c r="J118" s="31" t="str">
        <f t="shared" si="21"/>
        <v>Penurunan IU</v>
      </c>
      <c r="K118" s="42"/>
      <c r="AG118" s="20">
        <v>9</v>
      </c>
      <c r="AH118" s="18" t="s">
        <v>23</v>
      </c>
      <c r="AI118" s="18" t="s">
        <v>24</v>
      </c>
      <c r="AJ118" s="18" t="s">
        <v>4</v>
      </c>
      <c r="AK118" s="21">
        <v>38</v>
      </c>
      <c r="AL118" s="18" t="s">
        <v>25</v>
      </c>
      <c r="AM118" s="21">
        <v>17760</v>
      </c>
      <c r="AN118" s="19">
        <v>674880</v>
      </c>
      <c r="AX118" s="3" t="s">
        <v>520</v>
      </c>
      <c r="AY118" t="s">
        <v>521</v>
      </c>
      <c r="AZ118" t="s">
        <v>67</v>
      </c>
      <c r="BA118" s="10">
        <v>1</v>
      </c>
      <c r="BB118" t="s">
        <v>5</v>
      </c>
      <c r="BC118" s="10">
        <v>10000</v>
      </c>
      <c r="BD118" s="4">
        <v>10000</v>
      </c>
    </row>
    <row r="119" spans="1:56" ht="15" thickTop="1" x14ac:dyDescent="0.35">
      <c r="A119" s="38" t="str">
        <v>OTH00041</v>
      </c>
      <c r="B119" s="31" t="str">
        <f t="shared" si="13"/>
        <v>ANTI SLIP DASH MAT</v>
      </c>
      <c r="C119" s="31" t="str">
        <f t="shared" si="14"/>
        <v>OTHERS</v>
      </c>
      <c r="D119" s="66" t="str">
        <f t="shared" si="15"/>
        <v>pcs</v>
      </c>
      <c r="E119" s="53">
        <f t="shared" si="16"/>
        <v>44470.32</v>
      </c>
      <c r="F119" s="48">
        <f t="shared" si="17"/>
        <v>1</v>
      </c>
      <c r="G119" s="67" t="str">
        <f t="shared" si="18"/>
        <v>0</v>
      </c>
      <c r="H119" s="67">
        <f t="shared" si="19"/>
        <v>-1</v>
      </c>
      <c r="I119" s="53">
        <f t="shared" si="20"/>
        <v>-44470.32</v>
      </c>
      <c r="J119" s="31" t="str">
        <f t="shared" si="21"/>
        <v>Penurunan IU</v>
      </c>
      <c r="K119" s="42"/>
      <c r="O119" s="88" t="s">
        <v>0</v>
      </c>
      <c r="P119" s="89"/>
      <c r="Q119" s="89"/>
      <c r="R119" s="89"/>
      <c r="S119" s="89"/>
      <c r="T119" s="1"/>
      <c r="U119" s="1"/>
      <c r="V119" s="2"/>
      <c r="AG119" s="20">
        <v>10</v>
      </c>
      <c r="AH119" s="18" t="s">
        <v>28</v>
      </c>
      <c r="AI119" s="18" t="s">
        <v>29</v>
      </c>
      <c r="AJ119" s="18" t="s">
        <v>4</v>
      </c>
      <c r="AK119" s="21">
        <v>26</v>
      </c>
      <c r="AL119" s="18" t="s">
        <v>30</v>
      </c>
      <c r="AM119" s="21">
        <v>19760</v>
      </c>
      <c r="AN119" s="19">
        <v>513760</v>
      </c>
      <c r="AX119" s="3" t="s">
        <v>100</v>
      </c>
      <c r="AY119" t="s">
        <v>101</v>
      </c>
      <c r="AZ119" t="s">
        <v>67</v>
      </c>
      <c r="BA119" s="10">
        <v>1</v>
      </c>
      <c r="BB119" t="s">
        <v>87</v>
      </c>
      <c r="BC119" s="10">
        <v>8318.75</v>
      </c>
      <c r="BD119" s="4">
        <v>8318.75</v>
      </c>
    </row>
    <row r="120" spans="1:56" x14ac:dyDescent="0.35">
      <c r="A120" s="38" t="str">
        <v>OTH00092</v>
      </c>
      <c r="B120" s="31" t="str">
        <f t="shared" si="13"/>
        <v>KABEL TIES 10 CM</v>
      </c>
      <c r="C120" s="31" t="str">
        <f t="shared" si="14"/>
        <v>OTHERS</v>
      </c>
      <c r="D120" s="66" t="str">
        <f t="shared" si="15"/>
        <v>pack</v>
      </c>
      <c r="E120" s="53">
        <f t="shared" si="16"/>
        <v>2794.34</v>
      </c>
      <c r="F120" s="48">
        <f t="shared" si="17"/>
        <v>2</v>
      </c>
      <c r="G120" s="67" t="str">
        <f t="shared" si="18"/>
        <v>0</v>
      </c>
      <c r="H120" s="67">
        <f t="shared" si="19"/>
        <v>-2</v>
      </c>
      <c r="I120" s="53">
        <f t="shared" si="20"/>
        <v>-5588.68</v>
      </c>
      <c r="J120" s="31" t="str">
        <f t="shared" si="21"/>
        <v>Penurunan IU</v>
      </c>
      <c r="K120" s="42"/>
      <c r="O120" s="86" t="s">
        <v>1</v>
      </c>
      <c r="P120" s="87"/>
      <c r="Q120" s="87"/>
      <c r="R120" s="87"/>
      <c r="S120" s="87"/>
      <c r="V120" s="4"/>
      <c r="AG120" s="20">
        <v>11</v>
      </c>
      <c r="AH120" s="18" t="s">
        <v>33</v>
      </c>
      <c r="AI120" s="18" t="s">
        <v>34</v>
      </c>
      <c r="AJ120" s="18" t="s">
        <v>4</v>
      </c>
      <c r="AK120" s="21">
        <v>20</v>
      </c>
      <c r="AL120" s="18" t="s">
        <v>30</v>
      </c>
      <c r="AM120" s="21">
        <v>13000</v>
      </c>
      <c r="AN120" s="19">
        <v>260000</v>
      </c>
      <c r="AX120" s="3" t="s">
        <v>254</v>
      </c>
      <c r="AY120" t="s">
        <v>255</v>
      </c>
      <c r="AZ120" t="s">
        <v>67</v>
      </c>
      <c r="BA120" s="10">
        <v>0.86</v>
      </c>
      <c r="BB120" t="s">
        <v>5</v>
      </c>
      <c r="BC120" s="10">
        <v>34500</v>
      </c>
      <c r="BD120" s="4">
        <v>29670</v>
      </c>
    </row>
    <row r="121" spans="1:56" x14ac:dyDescent="0.35">
      <c r="A121" s="38" t="str">
        <v>OTH00098</v>
      </c>
      <c r="B121" s="31" t="str">
        <f t="shared" si="13"/>
        <v>TEMPAT LILIN KRISTAL BENING</v>
      </c>
      <c r="C121" s="31" t="str">
        <f t="shared" si="14"/>
        <v>OTHERS</v>
      </c>
      <c r="D121" s="66" t="str">
        <f t="shared" si="15"/>
        <v>pcs</v>
      </c>
      <c r="E121" s="53">
        <f t="shared" si="16"/>
        <v>5044.4399999999996</v>
      </c>
      <c r="F121" s="48">
        <f t="shared" si="17"/>
        <v>6</v>
      </c>
      <c r="G121" s="67" t="str">
        <f t="shared" si="18"/>
        <v>0</v>
      </c>
      <c r="H121" s="67">
        <f t="shared" si="19"/>
        <v>-6</v>
      </c>
      <c r="I121" s="53">
        <f t="shared" si="20"/>
        <v>-30266.639999999999</v>
      </c>
      <c r="J121" s="31" t="str">
        <f t="shared" si="21"/>
        <v>Penurunan IU</v>
      </c>
      <c r="K121" s="42"/>
      <c r="O121" s="3"/>
      <c r="V121" s="4"/>
      <c r="AG121" s="20">
        <v>12</v>
      </c>
      <c r="AH121" s="18" t="s">
        <v>50</v>
      </c>
      <c r="AI121" s="18" t="s">
        <v>51</v>
      </c>
      <c r="AJ121" s="18" t="s">
        <v>41</v>
      </c>
      <c r="AK121" s="21">
        <v>22</v>
      </c>
      <c r="AL121" s="18" t="s">
        <v>52</v>
      </c>
      <c r="AM121" s="21">
        <v>20500</v>
      </c>
      <c r="AN121" s="19">
        <v>451000</v>
      </c>
      <c r="AX121" s="3" t="s">
        <v>522</v>
      </c>
      <c r="AY121" t="s">
        <v>523</v>
      </c>
      <c r="AZ121" t="s">
        <v>67</v>
      </c>
      <c r="BA121" s="10">
        <v>1</v>
      </c>
      <c r="BB121" t="s">
        <v>160</v>
      </c>
      <c r="BC121" s="10">
        <v>10500</v>
      </c>
      <c r="BD121" s="4">
        <v>10500</v>
      </c>
    </row>
    <row r="122" spans="1:56" x14ac:dyDescent="0.35">
      <c r="A122" s="38" t="str">
        <v>OTH00120</v>
      </c>
      <c r="B122" s="31" t="str">
        <f t="shared" si="13"/>
        <v>ALUMUNIUM FOIL</v>
      </c>
      <c r="C122" s="31" t="str">
        <f t="shared" si="14"/>
        <v>OTHERS</v>
      </c>
      <c r="D122" s="66" t="str">
        <f t="shared" si="15"/>
        <v>pcs</v>
      </c>
      <c r="E122" s="53">
        <f t="shared" si="16"/>
        <v>39900</v>
      </c>
      <c r="F122" s="48">
        <f t="shared" si="17"/>
        <v>0.3</v>
      </c>
      <c r="G122" s="67" t="str">
        <f t="shared" si="18"/>
        <v>0</v>
      </c>
      <c r="H122" s="67">
        <f t="shared" si="19"/>
        <v>-0.3</v>
      </c>
      <c r="I122" s="53">
        <f t="shared" si="20"/>
        <v>-11970</v>
      </c>
      <c r="J122" s="31" t="str">
        <f t="shared" si="21"/>
        <v>Penurunan IU</v>
      </c>
      <c r="K122" s="42"/>
      <c r="O122" s="86" t="s">
        <v>10</v>
      </c>
      <c r="P122" s="87" t="s">
        <v>11</v>
      </c>
      <c r="Q122" t="s">
        <v>659</v>
      </c>
      <c r="V122" s="4"/>
      <c r="AG122" s="20">
        <v>13</v>
      </c>
      <c r="AH122" s="18" t="s">
        <v>308</v>
      </c>
      <c r="AI122" s="18" t="s">
        <v>309</v>
      </c>
      <c r="AJ122" s="18" t="s">
        <v>41</v>
      </c>
      <c r="AK122" s="21">
        <v>9</v>
      </c>
      <c r="AL122" s="18" t="s">
        <v>20</v>
      </c>
      <c r="AM122" s="21">
        <v>7114.7187999999996</v>
      </c>
      <c r="AN122" s="19">
        <v>64032.4692</v>
      </c>
      <c r="AX122" s="3" t="s">
        <v>107</v>
      </c>
      <c r="AY122" t="s">
        <v>108</v>
      </c>
      <c r="AZ122" t="s">
        <v>67</v>
      </c>
      <c r="BA122" s="10">
        <v>3</v>
      </c>
      <c r="BB122" t="s">
        <v>5</v>
      </c>
      <c r="BC122" s="10">
        <v>16250</v>
      </c>
      <c r="BD122" s="4">
        <v>48750</v>
      </c>
    </row>
    <row r="123" spans="1:56" x14ac:dyDescent="0.35">
      <c r="A123" s="38" t="str">
        <v>OTH00151</v>
      </c>
      <c r="B123" s="31" t="str">
        <f t="shared" si="13"/>
        <v>LILIN ULANG TAHUN</v>
      </c>
      <c r="C123" s="31" t="str">
        <f t="shared" si="14"/>
        <v>OTHERS</v>
      </c>
      <c r="D123" s="66" t="str">
        <f t="shared" si="15"/>
        <v>pack</v>
      </c>
      <c r="E123" s="53">
        <f t="shared" si="16"/>
        <v>6563.79</v>
      </c>
      <c r="F123" s="48">
        <f t="shared" si="17"/>
        <v>5.5</v>
      </c>
      <c r="G123" s="67" t="str">
        <f t="shared" si="18"/>
        <v>0</v>
      </c>
      <c r="H123" s="67">
        <f t="shared" si="19"/>
        <v>-5.5</v>
      </c>
      <c r="I123" s="53">
        <f t="shared" si="20"/>
        <v>-36100.845000000001</v>
      </c>
      <c r="J123" s="31" t="str">
        <f t="shared" si="21"/>
        <v>Penurunan IU</v>
      </c>
      <c r="K123" s="42"/>
      <c r="O123" s="86" t="s">
        <v>16</v>
      </c>
      <c r="P123" s="87" t="s">
        <v>11</v>
      </c>
      <c r="Q123" t="s">
        <v>17</v>
      </c>
      <c r="V123" s="4"/>
      <c r="AG123" s="20">
        <v>14</v>
      </c>
      <c r="AH123" s="18" t="s">
        <v>53</v>
      </c>
      <c r="AI123" s="18" t="s">
        <v>54</v>
      </c>
      <c r="AJ123" s="18" t="s">
        <v>41</v>
      </c>
      <c r="AK123" s="21">
        <v>8</v>
      </c>
      <c r="AL123" s="18" t="s">
        <v>20</v>
      </c>
      <c r="AM123" s="21">
        <v>3221.9837000000002</v>
      </c>
      <c r="AN123" s="19">
        <v>25775.869600000002</v>
      </c>
      <c r="AX123" s="3" t="s">
        <v>110</v>
      </c>
      <c r="AY123" t="s">
        <v>111</v>
      </c>
      <c r="AZ123" t="s">
        <v>67</v>
      </c>
      <c r="BA123" s="10">
        <v>1</v>
      </c>
      <c r="BB123" t="s">
        <v>94</v>
      </c>
      <c r="BC123" s="10">
        <v>10500</v>
      </c>
      <c r="BD123" s="4">
        <v>10500</v>
      </c>
    </row>
    <row r="124" spans="1:56" ht="15" thickBot="1" x14ac:dyDescent="0.4">
      <c r="A124" s="43" t="str">
        <v>OTH00198</v>
      </c>
      <c r="B124" s="32" t="str">
        <f t="shared" si="13"/>
        <v>SODA API</v>
      </c>
      <c r="C124" s="32" t="str">
        <f t="shared" si="14"/>
        <v>OTHERS</v>
      </c>
      <c r="D124" s="68" t="str">
        <f t="shared" si="15"/>
        <v>pcs</v>
      </c>
      <c r="E124" s="55">
        <f t="shared" si="16"/>
        <v>15000</v>
      </c>
      <c r="F124" s="51">
        <f t="shared" si="17"/>
        <v>2</v>
      </c>
      <c r="G124" s="69" t="str">
        <f t="shared" si="18"/>
        <v>0</v>
      </c>
      <c r="H124" s="69">
        <f t="shared" si="19"/>
        <v>-2</v>
      </c>
      <c r="I124" s="55">
        <f t="shared" si="20"/>
        <v>-30000</v>
      </c>
      <c r="J124" s="32" t="str">
        <f t="shared" si="21"/>
        <v>Penurunan IU</v>
      </c>
      <c r="K124" s="46"/>
      <c r="O124" s="86" t="s">
        <v>21</v>
      </c>
      <c r="P124" s="87" t="s">
        <v>11</v>
      </c>
      <c r="Q124" t="s">
        <v>640</v>
      </c>
      <c r="V124" s="4"/>
      <c r="AG124" s="20">
        <v>15</v>
      </c>
      <c r="AH124" s="18" t="s">
        <v>453</v>
      </c>
      <c r="AI124" s="18" t="s">
        <v>454</v>
      </c>
      <c r="AJ124" s="18" t="s">
        <v>41</v>
      </c>
      <c r="AK124" s="21">
        <v>2</v>
      </c>
      <c r="AL124" s="18" t="s">
        <v>267</v>
      </c>
      <c r="AM124" s="21">
        <v>17539.232352941173</v>
      </c>
      <c r="AN124" s="19">
        <v>35078.464705999999</v>
      </c>
      <c r="AX124" s="3" t="s">
        <v>630</v>
      </c>
      <c r="AY124" t="s">
        <v>631</v>
      </c>
      <c r="AZ124" t="s">
        <v>67</v>
      </c>
      <c r="BA124" s="10">
        <v>12</v>
      </c>
      <c r="BB124" t="s">
        <v>20</v>
      </c>
      <c r="BC124" s="10">
        <v>1762</v>
      </c>
      <c r="BD124" s="4">
        <v>21144</v>
      </c>
    </row>
    <row r="125" spans="1:56" ht="15" thickTop="1" x14ac:dyDescent="0.35">
      <c r="O125" s="86" t="s">
        <v>26</v>
      </c>
      <c r="P125" s="87" t="s">
        <v>11</v>
      </c>
      <c r="Q125" t="s">
        <v>660</v>
      </c>
      <c r="V125" s="4"/>
      <c r="AG125" s="20">
        <v>16</v>
      </c>
      <c r="AH125" s="18" t="s">
        <v>801</v>
      </c>
      <c r="AI125" s="18" t="s">
        <v>802</v>
      </c>
      <c r="AJ125" s="18" t="s">
        <v>41</v>
      </c>
      <c r="AK125" s="21">
        <v>1</v>
      </c>
      <c r="AL125" s="18" t="s">
        <v>20</v>
      </c>
      <c r="AM125" s="21">
        <v>7500</v>
      </c>
      <c r="AN125" s="19">
        <v>7500</v>
      </c>
      <c r="AX125" s="3" t="s">
        <v>364</v>
      </c>
      <c r="AY125" t="s">
        <v>365</v>
      </c>
      <c r="AZ125" t="s">
        <v>67</v>
      </c>
      <c r="BA125" s="10">
        <v>0.5</v>
      </c>
      <c r="BB125" t="s">
        <v>52</v>
      </c>
      <c r="BC125" s="10">
        <v>16546</v>
      </c>
      <c r="BD125" s="4">
        <v>8273</v>
      </c>
    </row>
    <row r="126" spans="1:56" x14ac:dyDescent="0.35">
      <c r="O126" s="86" t="s">
        <v>31</v>
      </c>
      <c r="P126" s="87" t="s">
        <v>11</v>
      </c>
      <c r="Q126" t="s">
        <v>186</v>
      </c>
      <c r="V126" s="4"/>
      <c r="AG126" s="20">
        <v>17</v>
      </c>
      <c r="AH126" s="18" t="s">
        <v>310</v>
      </c>
      <c r="AI126" s="18" t="s">
        <v>311</v>
      </c>
      <c r="AJ126" s="18" t="s">
        <v>41</v>
      </c>
      <c r="AK126" s="21">
        <v>1</v>
      </c>
      <c r="AL126" s="18" t="s">
        <v>20</v>
      </c>
      <c r="AM126" s="21">
        <v>8315.0625</v>
      </c>
      <c r="AN126" s="19">
        <v>8315.0625</v>
      </c>
      <c r="AX126" s="3" t="s">
        <v>258</v>
      </c>
      <c r="AY126" t="s">
        <v>259</v>
      </c>
      <c r="AZ126" t="s">
        <v>67</v>
      </c>
      <c r="BA126" s="10">
        <v>1</v>
      </c>
      <c r="BB126" t="s">
        <v>5</v>
      </c>
      <c r="BC126" s="10">
        <v>24500</v>
      </c>
      <c r="BD126" s="4">
        <v>24500</v>
      </c>
    </row>
    <row r="127" spans="1:56" x14ac:dyDescent="0.35">
      <c r="O127" s="86" t="s">
        <v>35</v>
      </c>
      <c r="P127" s="87" t="s">
        <v>11</v>
      </c>
      <c r="Q127" t="s">
        <v>661</v>
      </c>
      <c r="V127" s="4"/>
      <c r="AG127" s="20">
        <v>18</v>
      </c>
      <c r="AH127" s="18" t="s">
        <v>57</v>
      </c>
      <c r="AI127" s="18" t="s">
        <v>58</v>
      </c>
      <c r="AJ127" s="18" t="s">
        <v>41</v>
      </c>
      <c r="AK127" s="21">
        <v>3</v>
      </c>
      <c r="AL127" s="18" t="s">
        <v>5</v>
      </c>
      <c r="AM127" s="21">
        <v>7698.2756000000018</v>
      </c>
      <c r="AN127" s="19">
        <v>23094.826799999999</v>
      </c>
      <c r="AX127" s="3" t="s">
        <v>260</v>
      </c>
      <c r="AY127" t="s">
        <v>261</v>
      </c>
      <c r="AZ127" t="s">
        <v>67</v>
      </c>
      <c r="BA127">
        <v>2</v>
      </c>
      <c r="BB127" t="s">
        <v>5</v>
      </c>
      <c r="BC127">
        <v>2100</v>
      </c>
      <c r="BD127" s="4">
        <v>4200</v>
      </c>
    </row>
    <row r="128" spans="1:56" x14ac:dyDescent="0.35">
      <c r="O128" s="3"/>
      <c r="V128" s="4"/>
      <c r="AG128" s="20">
        <v>19</v>
      </c>
      <c r="AH128" s="18" t="s">
        <v>59</v>
      </c>
      <c r="AI128" s="18" t="s">
        <v>60</v>
      </c>
      <c r="AJ128" s="18" t="s">
        <v>41</v>
      </c>
      <c r="AK128" s="21">
        <v>21</v>
      </c>
      <c r="AL128" s="18" t="s">
        <v>5</v>
      </c>
      <c r="AM128" s="21">
        <v>7699.7855</v>
      </c>
      <c r="AN128" s="19">
        <v>161695.49549999999</v>
      </c>
      <c r="AX128" s="3" t="s">
        <v>166</v>
      </c>
      <c r="AY128" t="s">
        <v>167</v>
      </c>
      <c r="AZ128" t="s">
        <v>165</v>
      </c>
      <c r="BA128" s="10">
        <v>1</v>
      </c>
      <c r="BB128" t="s">
        <v>20</v>
      </c>
      <c r="BC128" s="10">
        <v>25700.68</v>
      </c>
      <c r="BD128" s="4">
        <v>25700.68</v>
      </c>
    </row>
    <row r="129" spans="15:56" x14ac:dyDescent="0.35">
      <c r="O129" s="3" t="s">
        <v>42</v>
      </c>
      <c r="P129" t="s">
        <v>43</v>
      </c>
      <c r="Q129" t="s">
        <v>44</v>
      </c>
      <c r="R129" t="s">
        <v>45</v>
      </c>
      <c r="S129" t="s">
        <v>46</v>
      </c>
      <c r="T129" t="s">
        <v>47</v>
      </c>
      <c r="U129" t="s">
        <v>48</v>
      </c>
      <c r="V129" s="4" t="s">
        <v>49</v>
      </c>
      <c r="AG129" s="20">
        <v>20</v>
      </c>
      <c r="AH129" s="18" t="s">
        <v>61</v>
      </c>
      <c r="AI129" s="18" t="s">
        <v>62</v>
      </c>
      <c r="AJ129" s="18" t="s">
        <v>41</v>
      </c>
      <c r="AK129" s="18">
        <v>5</v>
      </c>
      <c r="AL129" s="18" t="s">
        <v>5</v>
      </c>
      <c r="AM129" s="18">
        <v>16684.142100000001</v>
      </c>
      <c r="AN129" s="19">
        <v>83420.710500000001</v>
      </c>
      <c r="AX129" s="3" t="s">
        <v>427</v>
      </c>
      <c r="AY129" t="s">
        <v>428</v>
      </c>
      <c r="AZ129" t="s">
        <v>165</v>
      </c>
      <c r="BA129" s="10">
        <v>1</v>
      </c>
      <c r="BB129" t="s">
        <v>20</v>
      </c>
      <c r="BC129" s="10">
        <v>32500</v>
      </c>
      <c r="BD129" s="4">
        <v>32500</v>
      </c>
    </row>
    <row r="130" spans="15:56" ht="15" thickBot="1" x14ac:dyDescent="0.4">
      <c r="O130" s="3">
        <v>1</v>
      </c>
      <c r="P130" t="s">
        <v>115</v>
      </c>
      <c r="Q130" t="s">
        <v>116</v>
      </c>
      <c r="R130" t="s">
        <v>117</v>
      </c>
      <c r="S130" s="10">
        <v>1000</v>
      </c>
      <c r="T130" t="s">
        <v>52</v>
      </c>
      <c r="U130" s="10">
        <v>628.57100000000003</v>
      </c>
      <c r="V130" s="4">
        <v>628571</v>
      </c>
      <c r="AG130" s="22" t="s">
        <v>223</v>
      </c>
      <c r="AH130" s="23" t="s">
        <v>223</v>
      </c>
      <c r="AI130" s="23" t="s">
        <v>223</v>
      </c>
      <c r="AJ130" s="23" t="s">
        <v>223</v>
      </c>
      <c r="AK130" s="23" t="s">
        <v>223</v>
      </c>
      <c r="AL130" s="23" t="s">
        <v>223</v>
      </c>
      <c r="AM130" s="23" t="s">
        <v>224</v>
      </c>
      <c r="AN130" s="24">
        <v>3044793.5304060001</v>
      </c>
      <c r="AX130" s="3" t="s">
        <v>286</v>
      </c>
      <c r="AY130" t="s">
        <v>287</v>
      </c>
      <c r="AZ130" t="s">
        <v>165</v>
      </c>
      <c r="BA130" s="10">
        <v>1</v>
      </c>
      <c r="BB130" t="s">
        <v>20</v>
      </c>
      <c r="BC130" s="10">
        <v>43200</v>
      </c>
      <c r="BD130" s="4">
        <v>43200</v>
      </c>
    </row>
    <row r="131" spans="15:56" x14ac:dyDescent="0.35">
      <c r="O131" s="3">
        <v>2</v>
      </c>
      <c r="P131" t="s">
        <v>316</v>
      </c>
      <c r="Q131" t="s">
        <v>317</v>
      </c>
      <c r="R131" t="s">
        <v>117</v>
      </c>
      <c r="S131" s="10">
        <v>1</v>
      </c>
      <c r="T131" t="s">
        <v>20</v>
      </c>
      <c r="U131" s="10">
        <v>465300</v>
      </c>
      <c r="V131" s="4">
        <v>465300</v>
      </c>
      <c r="AX131" s="3" t="s">
        <v>375</v>
      </c>
      <c r="AY131" t="s">
        <v>376</v>
      </c>
      <c r="AZ131" t="s">
        <v>165</v>
      </c>
      <c r="BA131" s="10">
        <v>1</v>
      </c>
      <c r="BB131" t="s">
        <v>20</v>
      </c>
      <c r="BC131" s="10">
        <v>12389.928599999999</v>
      </c>
      <c r="BD131" s="4">
        <v>12389.928599999999</v>
      </c>
    </row>
    <row r="132" spans="15:56" x14ac:dyDescent="0.35">
      <c r="O132" s="3">
        <v>3</v>
      </c>
      <c r="P132" t="s">
        <v>350</v>
      </c>
      <c r="Q132" t="s">
        <v>351</v>
      </c>
      <c r="R132" t="s">
        <v>117</v>
      </c>
      <c r="S132" s="10">
        <v>1</v>
      </c>
      <c r="T132" t="s">
        <v>20</v>
      </c>
      <c r="U132" s="10">
        <v>115000</v>
      </c>
      <c r="V132" s="4">
        <v>115000</v>
      </c>
      <c r="AX132" s="3" t="s">
        <v>288</v>
      </c>
      <c r="AY132" t="s">
        <v>289</v>
      </c>
      <c r="AZ132" t="s">
        <v>165</v>
      </c>
      <c r="BA132" s="10">
        <v>1</v>
      </c>
      <c r="BB132" t="s">
        <v>20</v>
      </c>
      <c r="BC132" s="10">
        <v>45500</v>
      </c>
      <c r="BD132" s="4">
        <v>45500</v>
      </c>
    </row>
    <row r="133" spans="15:56" x14ac:dyDescent="0.35">
      <c r="O133" s="3">
        <v>4</v>
      </c>
      <c r="P133" t="s">
        <v>318</v>
      </c>
      <c r="Q133" t="s">
        <v>319</v>
      </c>
      <c r="R133" t="s">
        <v>117</v>
      </c>
      <c r="S133" s="10">
        <v>50</v>
      </c>
      <c r="T133" t="s">
        <v>20</v>
      </c>
      <c r="U133" s="10">
        <v>800</v>
      </c>
      <c r="V133" s="4">
        <v>40000</v>
      </c>
      <c r="AX133" s="3" t="s">
        <v>648</v>
      </c>
      <c r="AY133" t="s">
        <v>649</v>
      </c>
      <c r="AZ133" t="s">
        <v>165</v>
      </c>
      <c r="BA133" s="10">
        <v>2</v>
      </c>
      <c r="BB133" t="s">
        <v>20</v>
      </c>
      <c r="BC133" s="10">
        <v>27480.833299999998</v>
      </c>
      <c r="BD133" s="4">
        <v>54961.666599999997</v>
      </c>
    </row>
    <row r="134" spans="15:56" x14ac:dyDescent="0.35">
      <c r="O134" s="3">
        <v>5</v>
      </c>
      <c r="P134" t="s">
        <v>121</v>
      </c>
      <c r="Q134" t="s">
        <v>122</v>
      </c>
      <c r="R134" t="s">
        <v>123</v>
      </c>
      <c r="S134" s="10">
        <v>8</v>
      </c>
      <c r="T134" t="s">
        <v>5</v>
      </c>
      <c r="U134" s="10">
        <v>5500.3105999999998</v>
      </c>
      <c r="V134" s="4">
        <v>44002.484799999998</v>
      </c>
      <c r="AX134" s="3" t="s">
        <v>290</v>
      </c>
      <c r="AY134" t="s">
        <v>291</v>
      </c>
      <c r="AZ134" t="s">
        <v>165</v>
      </c>
      <c r="BA134" s="10">
        <v>2</v>
      </c>
      <c r="BB134" t="s">
        <v>20</v>
      </c>
      <c r="BC134" s="10">
        <v>12168.3333</v>
      </c>
      <c r="BD134" s="4">
        <v>24336.6666</v>
      </c>
    </row>
    <row r="135" spans="15:56" x14ac:dyDescent="0.35">
      <c r="O135" s="3">
        <v>6</v>
      </c>
      <c r="P135" t="s">
        <v>124</v>
      </c>
      <c r="Q135" t="s">
        <v>125</v>
      </c>
      <c r="R135" t="s">
        <v>123</v>
      </c>
      <c r="S135" s="10">
        <v>37</v>
      </c>
      <c r="T135" t="s">
        <v>5</v>
      </c>
      <c r="U135" s="10">
        <v>5516.9993999999997</v>
      </c>
      <c r="V135" s="4">
        <v>204128.97779999999</v>
      </c>
      <c r="AX135" s="3" t="s">
        <v>178</v>
      </c>
      <c r="AY135" t="s">
        <v>179</v>
      </c>
      <c r="AZ135" t="s">
        <v>165</v>
      </c>
      <c r="BA135" s="10">
        <v>2</v>
      </c>
      <c r="BB135" t="s">
        <v>20</v>
      </c>
      <c r="BC135" s="10">
        <v>9945</v>
      </c>
      <c r="BD135" s="4">
        <v>19890</v>
      </c>
    </row>
    <row r="136" spans="15:56" x14ac:dyDescent="0.35">
      <c r="O136" s="3">
        <v>7</v>
      </c>
      <c r="P136" t="s">
        <v>126</v>
      </c>
      <c r="Q136" t="s">
        <v>127</v>
      </c>
      <c r="R136" t="s">
        <v>123</v>
      </c>
      <c r="S136" s="10">
        <v>5</v>
      </c>
      <c r="T136" t="s">
        <v>5</v>
      </c>
      <c r="U136" s="10">
        <v>6752.5654999999997</v>
      </c>
      <c r="V136" s="4">
        <v>33762.827499999999</v>
      </c>
      <c r="AX136" s="3" t="s">
        <v>431</v>
      </c>
      <c r="AY136" t="s">
        <v>432</v>
      </c>
      <c r="AZ136" t="s">
        <v>165</v>
      </c>
      <c r="BA136" s="10">
        <v>1</v>
      </c>
      <c r="BB136" t="s">
        <v>20</v>
      </c>
      <c r="BC136" s="10">
        <v>30681.538499999999</v>
      </c>
      <c r="BD136" s="4">
        <v>30681.538499999999</v>
      </c>
    </row>
    <row r="137" spans="15:56" x14ac:dyDescent="0.35">
      <c r="O137" s="3">
        <v>8</v>
      </c>
      <c r="P137" t="s">
        <v>128</v>
      </c>
      <c r="Q137" t="s">
        <v>129</v>
      </c>
      <c r="R137" t="s">
        <v>123</v>
      </c>
      <c r="S137" s="10">
        <v>1.5</v>
      </c>
      <c r="T137" t="s">
        <v>74</v>
      </c>
      <c r="U137" s="10">
        <v>142067.9852</v>
      </c>
      <c r="V137" s="4">
        <v>213101.97779999999</v>
      </c>
      <c r="AX137" s="3" t="s">
        <v>650</v>
      </c>
      <c r="AY137" t="s">
        <v>651</v>
      </c>
      <c r="AZ137" t="s">
        <v>165</v>
      </c>
      <c r="BA137" s="10">
        <v>1</v>
      </c>
      <c r="BB137" t="s">
        <v>20</v>
      </c>
      <c r="BC137" s="10">
        <v>7250</v>
      </c>
      <c r="BD137" s="4">
        <v>7250</v>
      </c>
    </row>
    <row r="138" spans="15:56" x14ac:dyDescent="0.35">
      <c r="O138" s="3">
        <v>9</v>
      </c>
      <c r="P138" t="s">
        <v>130</v>
      </c>
      <c r="Q138" t="s">
        <v>131</v>
      </c>
      <c r="R138" t="s">
        <v>123</v>
      </c>
      <c r="S138" s="10">
        <v>68</v>
      </c>
      <c r="T138" t="s">
        <v>5</v>
      </c>
      <c r="U138" s="10">
        <v>6354.7900999999993</v>
      </c>
      <c r="V138" s="4">
        <v>432125.7268</v>
      </c>
      <c r="AX138" s="3" t="s">
        <v>539</v>
      </c>
      <c r="AY138" t="s">
        <v>540</v>
      </c>
      <c r="AZ138" t="s">
        <v>165</v>
      </c>
      <c r="BA138" s="10">
        <v>1</v>
      </c>
      <c r="BB138" t="s">
        <v>20</v>
      </c>
      <c r="BC138" s="10">
        <v>20250</v>
      </c>
      <c r="BD138" s="4">
        <v>20250</v>
      </c>
    </row>
    <row r="139" spans="15:56" x14ac:dyDescent="0.35">
      <c r="O139" s="3">
        <v>10</v>
      </c>
      <c r="P139" t="s">
        <v>132</v>
      </c>
      <c r="Q139" t="s">
        <v>133</v>
      </c>
      <c r="R139" t="s">
        <v>123</v>
      </c>
      <c r="S139" s="10">
        <v>204</v>
      </c>
      <c r="T139" t="s">
        <v>134</v>
      </c>
      <c r="U139" s="10">
        <v>13013.7184</v>
      </c>
      <c r="V139" s="4">
        <v>2654798.5536000002</v>
      </c>
      <c r="AX139" s="3" t="s">
        <v>542</v>
      </c>
      <c r="AY139" t="s">
        <v>543</v>
      </c>
      <c r="AZ139" t="s">
        <v>165</v>
      </c>
      <c r="BA139" s="10">
        <v>2</v>
      </c>
      <c r="BB139" t="s">
        <v>20</v>
      </c>
      <c r="BC139" s="10">
        <v>22153.85</v>
      </c>
      <c r="BD139" s="4">
        <v>44307.7</v>
      </c>
    </row>
    <row r="140" spans="15:56" x14ac:dyDescent="0.35">
      <c r="O140" s="3">
        <v>11</v>
      </c>
      <c r="P140" t="s">
        <v>135</v>
      </c>
      <c r="Q140" t="s">
        <v>136</v>
      </c>
      <c r="R140" t="s">
        <v>123</v>
      </c>
      <c r="S140" s="10">
        <v>20</v>
      </c>
      <c r="T140" t="s">
        <v>5</v>
      </c>
      <c r="U140" s="10">
        <v>5678.5204999999996</v>
      </c>
      <c r="V140" s="4">
        <v>113570.41</v>
      </c>
      <c r="AX140" s="3" t="s">
        <v>436</v>
      </c>
      <c r="AY140" t="s">
        <v>437</v>
      </c>
      <c r="AZ140" t="s">
        <v>165</v>
      </c>
      <c r="BA140" s="10">
        <v>0.5</v>
      </c>
      <c r="BB140" t="s">
        <v>5</v>
      </c>
      <c r="BC140" s="10">
        <v>11000</v>
      </c>
      <c r="BD140" s="4">
        <v>5500</v>
      </c>
    </row>
    <row r="141" spans="15:56" x14ac:dyDescent="0.35">
      <c r="O141" s="3">
        <v>12</v>
      </c>
      <c r="P141" t="s">
        <v>137</v>
      </c>
      <c r="Q141" t="s">
        <v>138</v>
      </c>
      <c r="R141" t="s">
        <v>123</v>
      </c>
      <c r="S141" s="10">
        <v>50</v>
      </c>
      <c r="T141" t="s">
        <v>5</v>
      </c>
      <c r="U141" s="10">
        <v>16066.195100000001</v>
      </c>
      <c r="V141" s="4">
        <v>803309.755</v>
      </c>
      <c r="AX141" s="3" t="s">
        <v>594</v>
      </c>
      <c r="AY141" t="s">
        <v>595</v>
      </c>
      <c r="AZ141" t="s">
        <v>182</v>
      </c>
      <c r="BA141" s="10">
        <v>5</v>
      </c>
      <c r="BB141" t="s">
        <v>20</v>
      </c>
      <c r="BC141" s="10">
        <v>19333.33090909091</v>
      </c>
      <c r="BD141" s="4">
        <v>96666.654544999998</v>
      </c>
    </row>
    <row r="142" spans="15:56" x14ac:dyDescent="0.35">
      <c r="O142" s="3">
        <v>13</v>
      </c>
      <c r="P142" t="s">
        <v>139</v>
      </c>
      <c r="Q142" t="s">
        <v>140</v>
      </c>
      <c r="R142" t="s">
        <v>123</v>
      </c>
      <c r="S142" s="10">
        <v>19</v>
      </c>
      <c r="T142" t="s">
        <v>5</v>
      </c>
      <c r="U142" s="10">
        <v>42375.581700000002</v>
      </c>
      <c r="V142" s="4">
        <v>805136.05229999998</v>
      </c>
      <c r="AX142" s="3" t="s">
        <v>553</v>
      </c>
      <c r="AY142" t="s">
        <v>554</v>
      </c>
      <c r="AZ142" t="s">
        <v>182</v>
      </c>
      <c r="BA142" s="10">
        <v>1</v>
      </c>
      <c r="BB142" t="s">
        <v>20</v>
      </c>
      <c r="BC142" s="10">
        <v>20169.697</v>
      </c>
      <c r="BD142" s="4">
        <v>20169.697</v>
      </c>
    </row>
    <row r="143" spans="15:56" x14ac:dyDescent="0.35">
      <c r="O143" s="3">
        <v>14</v>
      </c>
      <c r="P143" t="s">
        <v>141</v>
      </c>
      <c r="Q143" t="s">
        <v>142</v>
      </c>
      <c r="R143" t="s">
        <v>123</v>
      </c>
      <c r="S143" s="10">
        <v>1</v>
      </c>
      <c r="T143" t="s">
        <v>5</v>
      </c>
      <c r="U143" s="10">
        <v>41526.315799999997</v>
      </c>
      <c r="V143" s="4">
        <v>41526.315799999997</v>
      </c>
      <c r="AX143" s="3" t="s">
        <v>474</v>
      </c>
      <c r="AY143" t="s">
        <v>475</v>
      </c>
      <c r="AZ143" t="s">
        <v>192</v>
      </c>
      <c r="BA143" s="10">
        <v>2</v>
      </c>
      <c r="BB143" t="s">
        <v>20</v>
      </c>
      <c r="BC143" s="10">
        <v>8750</v>
      </c>
      <c r="BD143" s="4">
        <v>17500</v>
      </c>
    </row>
    <row r="144" spans="15:56" x14ac:dyDescent="0.35">
      <c r="O144" s="3">
        <v>15</v>
      </c>
      <c r="P144" t="s">
        <v>145</v>
      </c>
      <c r="Q144" t="s">
        <v>146</v>
      </c>
      <c r="R144" t="s">
        <v>123</v>
      </c>
      <c r="S144" s="10">
        <v>140</v>
      </c>
      <c r="T144" t="s">
        <v>5</v>
      </c>
      <c r="U144" s="10">
        <v>4604.1441999999997</v>
      </c>
      <c r="V144" s="4">
        <v>644580.18799999997</v>
      </c>
      <c r="AX144" s="3" t="s">
        <v>190</v>
      </c>
      <c r="AY144" t="s">
        <v>191</v>
      </c>
      <c r="AZ144" t="s">
        <v>192</v>
      </c>
      <c r="BA144" s="10">
        <v>3</v>
      </c>
      <c r="BB144" t="s">
        <v>20</v>
      </c>
      <c r="BC144" s="10">
        <v>137700.79180000001</v>
      </c>
      <c r="BD144" s="4">
        <v>413102.37540000002</v>
      </c>
    </row>
    <row r="145" spans="15:56" x14ac:dyDescent="0.35">
      <c r="O145" s="3">
        <v>16</v>
      </c>
      <c r="P145" t="s">
        <v>147</v>
      </c>
      <c r="Q145" t="s">
        <v>148</v>
      </c>
      <c r="R145" t="s">
        <v>123</v>
      </c>
      <c r="S145" s="10">
        <v>2.5</v>
      </c>
      <c r="T145" t="s">
        <v>5</v>
      </c>
      <c r="U145" s="10">
        <v>15000</v>
      </c>
      <c r="V145" s="4">
        <v>37500</v>
      </c>
      <c r="AX145" s="3" t="s">
        <v>596</v>
      </c>
      <c r="AY145" t="s">
        <v>597</v>
      </c>
      <c r="AZ145" t="s">
        <v>192</v>
      </c>
      <c r="BA145" s="10">
        <v>1</v>
      </c>
      <c r="BB145" t="s">
        <v>20</v>
      </c>
      <c r="BC145" s="10">
        <v>51170</v>
      </c>
      <c r="BD145" s="4">
        <v>51170</v>
      </c>
    </row>
    <row r="146" spans="15:56" x14ac:dyDescent="0.35">
      <c r="O146" s="3">
        <v>17</v>
      </c>
      <c r="P146" t="s">
        <v>421</v>
      </c>
      <c r="Q146" t="s">
        <v>422</v>
      </c>
      <c r="R146" t="s">
        <v>151</v>
      </c>
      <c r="S146" s="10">
        <v>1</v>
      </c>
      <c r="T146" t="s">
        <v>20</v>
      </c>
      <c r="U146" s="10">
        <v>44470.3174</v>
      </c>
      <c r="V146" s="4">
        <v>44470.3174</v>
      </c>
      <c r="AX146" s="3" t="s">
        <v>442</v>
      </c>
      <c r="AY146" t="s">
        <v>443</v>
      </c>
      <c r="AZ146" t="s">
        <v>192</v>
      </c>
      <c r="BA146" s="10">
        <v>3</v>
      </c>
      <c r="BB146" t="s">
        <v>20</v>
      </c>
      <c r="BC146" s="10">
        <v>18480</v>
      </c>
      <c r="BD146" s="4">
        <v>55440</v>
      </c>
    </row>
    <row r="147" spans="15:56" x14ac:dyDescent="0.35">
      <c r="O147" s="3">
        <v>18</v>
      </c>
      <c r="P147" t="s">
        <v>154</v>
      </c>
      <c r="Q147" t="s">
        <v>155</v>
      </c>
      <c r="R147" t="s">
        <v>151</v>
      </c>
      <c r="S147" s="10">
        <v>30</v>
      </c>
      <c r="T147" t="s">
        <v>20</v>
      </c>
      <c r="U147" s="10">
        <v>968.92899999999997</v>
      </c>
      <c r="V147" s="4">
        <v>29067.87</v>
      </c>
      <c r="AX147" s="3" t="s">
        <v>555</v>
      </c>
      <c r="AY147" t="s">
        <v>556</v>
      </c>
      <c r="AZ147" t="s">
        <v>192</v>
      </c>
      <c r="BA147" s="10">
        <v>1</v>
      </c>
      <c r="BB147" t="s">
        <v>20</v>
      </c>
      <c r="BC147" s="10">
        <v>36166.666700000009</v>
      </c>
      <c r="BD147" s="4">
        <v>36166.666700000002</v>
      </c>
    </row>
    <row r="148" spans="15:56" x14ac:dyDescent="0.35">
      <c r="O148" s="3">
        <v>19</v>
      </c>
      <c r="P148" t="s">
        <v>156</v>
      </c>
      <c r="Q148" t="s">
        <v>157</v>
      </c>
      <c r="R148" t="s">
        <v>151</v>
      </c>
      <c r="S148" s="10">
        <v>7</v>
      </c>
      <c r="T148" t="s">
        <v>20</v>
      </c>
      <c r="U148" s="10">
        <v>2371.4018000000001</v>
      </c>
      <c r="V148" s="4">
        <v>16599.812600000001</v>
      </c>
      <c r="AX148" s="3" t="s">
        <v>333</v>
      </c>
      <c r="AY148" t="s">
        <v>334</v>
      </c>
      <c r="AZ148" t="s">
        <v>192</v>
      </c>
      <c r="BA148">
        <v>33</v>
      </c>
      <c r="BB148" t="s">
        <v>20</v>
      </c>
      <c r="BC148">
        <v>3666.67</v>
      </c>
      <c r="BD148" s="4">
        <v>121000.11</v>
      </c>
    </row>
    <row r="149" spans="15:56" x14ac:dyDescent="0.35">
      <c r="O149" s="3">
        <v>20</v>
      </c>
      <c r="P149" t="s">
        <v>272</v>
      </c>
      <c r="Q149" t="s">
        <v>273</v>
      </c>
      <c r="R149" t="s">
        <v>151</v>
      </c>
      <c r="S149" s="10">
        <v>2</v>
      </c>
      <c r="T149" t="s">
        <v>5</v>
      </c>
      <c r="U149" s="10">
        <v>2794.3427999999999</v>
      </c>
      <c r="V149" s="4">
        <v>5588.6855999999998</v>
      </c>
      <c r="AX149" s="3" t="s">
        <v>115</v>
      </c>
      <c r="AY149" t="s">
        <v>116</v>
      </c>
      <c r="AZ149" t="s">
        <v>117</v>
      </c>
      <c r="BA149" s="10">
        <v>1000</v>
      </c>
      <c r="BB149" t="s">
        <v>52</v>
      </c>
      <c r="BC149" s="10">
        <v>628.57100000000003</v>
      </c>
      <c r="BD149" s="4">
        <v>628571</v>
      </c>
    </row>
    <row r="150" spans="15:56" x14ac:dyDescent="0.35">
      <c r="O150" s="3">
        <v>21</v>
      </c>
      <c r="P150" t="s">
        <v>423</v>
      </c>
      <c r="Q150" t="s">
        <v>424</v>
      </c>
      <c r="R150" t="s">
        <v>151</v>
      </c>
      <c r="S150" s="10">
        <v>6</v>
      </c>
      <c r="T150" t="s">
        <v>20</v>
      </c>
      <c r="U150" s="10">
        <v>5044.4444444444443</v>
      </c>
      <c r="V150" s="4">
        <v>30266.666667000001</v>
      </c>
      <c r="AX150" s="3" t="s">
        <v>316</v>
      </c>
      <c r="AY150" t="s">
        <v>317</v>
      </c>
      <c r="AZ150" t="s">
        <v>117</v>
      </c>
      <c r="BA150" s="10">
        <v>1</v>
      </c>
      <c r="BB150" t="s">
        <v>20</v>
      </c>
      <c r="BC150" s="10">
        <v>465300</v>
      </c>
      <c r="BD150" s="4">
        <v>465300</v>
      </c>
    </row>
    <row r="151" spans="15:56" x14ac:dyDescent="0.35">
      <c r="O151" s="3">
        <v>22</v>
      </c>
      <c r="P151" t="s">
        <v>655</v>
      </c>
      <c r="Q151" t="s">
        <v>656</v>
      </c>
      <c r="R151" t="s">
        <v>151</v>
      </c>
      <c r="S151" s="10">
        <v>0.3</v>
      </c>
      <c r="T151" t="s">
        <v>20</v>
      </c>
      <c r="U151" s="10">
        <v>39900</v>
      </c>
      <c r="V151" s="4">
        <v>11970</v>
      </c>
      <c r="AX151" s="3" t="s">
        <v>350</v>
      </c>
      <c r="AY151" t="s">
        <v>351</v>
      </c>
      <c r="AZ151" t="s">
        <v>117</v>
      </c>
      <c r="BA151" s="10">
        <v>1</v>
      </c>
      <c r="BB151" t="s">
        <v>20</v>
      </c>
      <c r="BC151" s="10">
        <v>115000</v>
      </c>
      <c r="BD151" s="4">
        <v>115000</v>
      </c>
    </row>
    <row r="152" spans="15:56" x14ac:dyDescent="0.35">
      <c r="O152" s="3">
        <v>23</v>
      </c>
      <c r="P152" t="s">
        <v>161</v>
      </c>
      <c r="Q152" t="s">
        <v>162</v>
      </c>
      <c r="R152" t="s">
        <v>151</v>
      </c>
      <c r="S152" s="10">
        <v>5.5</v>
      </c>
      <c r="T152" t="s">
        <v>5</v>
      </c>
      <c r="U152" s="10">
        <v>6563.7948999999999</v>
      </c>
      <c r="V152" s="4">
        <v>36100.871950000001</v>
      </c>
      <c r="AX152" s="3" t="s">
        <v>318</v>
      </c>
      <c r="AY152" t="s">
        <v>319</v>
      </c>
      <c r="AZ152" t="s">
        <v>117</v>
      </c>
      <c r="BA152" s="10">
        <v>50</v>
      </c>
      <c r="BB152" t="s">
        <v>20</v>
      </c>
      <c r="BC152" s="10">
        <v>800</v>
      </c>
      <c r="BD152" s="4">
        <v>40000</v>
      </c>
    </row>
    <row r="153" spans="15:56" x14ac:dyDescent="0.35">
      <c r="O153" s="3">
        <v>24</v>
      </c>
      <c r="P153" t="s">
        <v>468</v>
      </c>
      <c r="Q153" t="s">
        <v>469</v>
      </c>
      <c r="R153" t="s">
        <v>151</v>
      </c>
      <c r="S153" s="10">
        <v>44</v>
      </c>
      <c r="T153" t="s">
        <v>20</v>
      </c>
      <c r="U153" s="10">
        <v>793.9</v>
      </c>
      <c r="V153" s="4">
        <v>34931.599999999999</v>
      </c>
      <c r="AX153" s="3" t="s">
        <v>121</v>
      </c>
      <c r="AY153" t="s">
        <v>122</v>
      </c>
      <c r="AZ153" t="s">
        <v>123</v>
      </c>
      <c r="BA153" s="10">
        <v>8</v>
      </c>
      <c r="BB153" t="s">
        <v>5</v>
      </c>
      <c r="BC153" s="10">
        <v>5500.3105999999998</v>
      </c>
      <c r="BD153" s="4">
        <v>44002.484799999998</v>
      </c>
    </row>
    <row r="154" spans="15:56" x14ac:dyDescent="0.35">
      <c r="O154" s="3">
        <v>25</v>
      </c>
      <c r="P154" t="s">
        <v>657</v>
      </c>
      <c r="Q154" t="s">
        <v>658</v>
      </c>
      <c r="R154" t="s">
        <v>151</v>
      </c>
      <c r="S154">
        <v>2</v>
      </c>
      <c r="T154" t="s">
        <v>20</v>
      </c>
      <c r="U154">
        <v>15000</v>
      </c>
      <c r="V154" s="4">
        <v>30000</v>
      </c>
      <c r="AX154" s="3" t="s">
        <v>124</v>
      </c>
      <c r="AY154" t="s">
        <v>125</v>
      </c>
      <c r="AZ154" t="s">
        <v>123</v>
      </c>
      <c r="BA154" s="10">
        <v>37</v>
      </c>
      <c r="BB154" t="s">
        <v>5</v>
      </c>
      <c r="BC154" s="10">
        <v>5516.9993999999997</v>
      </c>
      <c r="BD154" s="4">
        <v>204128.97779999999</v>
      </c>
    </row>
    <row r="155" spans="15:56" ht="15" thickBot="1" x14ac:dyDescent="0.4">
      <c r="O155" s="11" t="s">
        <v>223</v>
      </c>
      <c r="P155" s="12" t="s">
        <v>223</v>
      </c>
      <c r="Q155" s="12" t="s">
        <v>223</v>
      </c>
      <c r="R155" s="12" t="s">
        <v>223</v>
      </c>
      <c r="S155" s="12" t="s">
        <v>223</v>
      </c>
      <c r="T155" s="12" t="s">
        <v>223</v>
      </c>
      <c r="U155" s="12" t="s">
        <v>224</v>
      </c>
      <c r="V155" s="13">
        <v>7515410.0936169997</v>
      </c>
      <c r="AX155" s="3" t="s">
        <v>126</v>
      </c>
      <c r="AY155" t="s">
        <v>127</v>
      </c>
      <c r="AZ155" t="s">
        <v>123</v>
      </c>
      <c r="BA155" s="10">
        <v>5</v>
      </c>
      <c r="BB155" t="s">
        <v>5</v>
      </c>
      <c r="BC155" s="10">
        <v>6752.5654999999997</v>
      </c>
      <c r="BD155" s="4">
        <v>33762.827499999999</v>
      </c>
    </row>
    <row r="156" spans="15:56" ht="15" thickTop="1" x14ac:dyDescent="0.35">
      <c r="AX156" s="3" t="s">
        <v>128</v>
      </c>
      <c r="AY156" t="s">
        <v>129</v>
      </c>
      <c r="AZ156" t="s">
        <v>123</v>
      </c>
      <c r="BA156" s="10">
        <v>1.5</v>
      </c>
      <c r="BB156" t="s">
        <v>74</v>
      </c>
      <c r="BC156" s="10">
        <v>142067.9852</v>
      </c>
      <c r="BD156" s="4">
        <v>213101.97779999999</v>
      </c>
    </row>
    <row r="157" spans="15:56" x14ac:dyDescent="0.35">
      <c r="AX157" s="3" t="s">
        <v>130</v>
      </c>
      <c r="AY157" t="s">
        <v>131</v>
      </c>
      <c r="AZ157" t="s">
        <v>123</v>
      </c>
      <c r="BA157" s="10">
        <v>68</v>
      </c>
      <c r="BB157" t="s">
        <v>5</v>
      </c>
      <c r="BC157" s="10">
        <v>6354.7900999999993</v>
      </c>
      <c r="BD157" s="4">
        <v>432125.7268</v>
      </c>
    </row>
    <row r="158" spans="15:56" x14ac:dyDescent="0.35">
      <c r="AX158" s="3" t="s">
        <v>132</v>
      </c>
      <c r="AY158" t="s">
        <v>133</v>
      </c>
      <c r="AZ158" t="s">
        <v>123</v>
      </c>
      <c r="BA158" s="10">
        <v>204</v>
      </c>
      <c r="BB158" t="s">
        <v>134</v>
      </c>
      <c r="BC158" s="10">
        <v>13013.7184</v>
      </c>
      <c r="BD158" s="4">
        <v>2654798.5536000002</v>
      </c>
    </row>
    <row r="159" spans="15:56" x14ac:dyDescent="0.35">
      <c r="AX159" s="3" t="s">
        <v>135</v>
      </c>
      <c r="AY159" t="s">
        <v>136</v>
      </c>
      <c r="AZ159" t="s">
        <v>123</v>
      </c>
      <c r="BA159" s="10">
        <v>20</v>
      </c>
      <c r="BB159" t="s">
        <v>5</v>
      </c>
      <c r="BC159" s="10">
        <v>5678.5204999999996</v>
      </c>
      <c r="BD159" s="4">
        <v>113570.41</v>
      </c>
    </row>
    <row r="160" spans="15:56" x14ac:dyDescent="0.35">
      <c r="AX160" s="3" t="s">
        <v>137</v>
      </c>
      <c r="AY160" t="s">
        <v>138</v>
      </c>
      <c r="AZ160" t="s">
        <v>123</v>
      </c>
      <c r="BA160" s="10">
        <v>50</v>
      </c>
      <c r="BB160" t="s">
        <v>5</v>
      </c>
      <c r="BC160" s="10">
        <v>16066.195100000001</v>
      </c>
      <c r="BD160" s="4">
        <v>803309.755</v>
      </c>
    </row>
    <row r="161" spans="50:56" x14ac:dyDescent="0.35">
      <c r="AX161" s="3" t="s">
        <v>139</v>
      </c>
      <c r="AY161" t="s">
        <v>140</v>
      </c>
      <c r="AZ161" t="s">
        <v>123</v>
      </c>
      <c r="BA161" s="10">
        <v>19</v>
      </c>
      <c r="BB161" t="s">
        <v>5</v>
      </c>
      <c r="BC161" s="10">
        <v>42375.581700000002</v>
      </c>
      <c r="BD161" s="4">
        <v>805136.05229999998</v>
      </c>
    </row>
    <row r="162" spans="50:56" x14ac:dyDescent="0.35">
      <c r="AX162" s="3" t="s">
        <v>141</v>
      </c>
      <c r="AY162" t="s">
        <v>142</v>
      </c>
      <c r="AZ162" t="s">
        <v>123</v>
      </c>
      <c r="BA162" s="10">
        <v>1</v>
      </c>
      <c r="BB162" t="s">
        <v>5</v>
      </c>
      <c r="BC162" s="10">
        <v>41526.315799999997</v>
      </c>
      <c r="BD162" s="4">
        <v>41526.315799999997</v>
      </c>
    </row>
    <row r="163" spans="50:56" x14ac:dyDescent="0.35">
      <c r="AX163" s="3" t="s">
        <v>145</v>
      </c>
      <c r="AY163" t="s">
        <v>146</v>
      </c>
      <c r="AZ163" t="s">
        <v>123</v>
      </c>
      <c r="BA163" s="10">
        <v>140</v>
      </c>
      <c r="BB163" t="s">
        <v>5</v>
      </c>
      <c r="BC163" s="10">
        <v>4604.1441999999997</v>
      </c>
      <c r="BD163" s="4">
        <v>644580.18799999997</v>
      </c>
    </row>
    <row r="164" spans="50:56" x14ac:dyDescent="0.35">
      <c r="AX164" s="3" t="s">
        <v>147</v>
      </c>
      <c r="AY164" t="s">
        <v>148</v>
      </c>
      <c r="AZ164" t="s">
        <v>123</v>
      </c>
      <c r="BA164" s="10">
        <v>2.5</v>
      </c>
      <c r="BB164" t="s">
        <v>5</v>
      </c>
      <c r="BC164" s="10">
        <v>15000</v>
      </c>
      <c r="BD164" s="4">
        <v>37500</v>
      </c>
    </row>
    <row r="165" spans="50:56" x14ac:dyDescent="0.35">
      <c r="AX165" s="3" t="s">
        <v>421</v>
      </c>
      <c r="AY165" t="s">
        <v>422</v>
      </c>
      <c r="AZ165" t="s">
        <v>151</v>
      </c>
      <c r="BA165" s="10">
        <v>1</v>
      </c>
      <c r="BB165" t="s">
        <v>20</v>
      </c>
      <c r="BC165" s="10">
        <v>44470.3174</v>
      </c>
      <c r="BD165" s="4">
        <v>44470.3174</v>
      </c>
    </row>
    <row r="166" spans="50:56" x14ac:dyDescent="0.35">
      <c r="AX166" s="3" t="s">
        <v>154</v>
      </c>
      <c r="AY166" t="s">
        <v>155</v>
      </c>
      <c r="AZ166" t="s">
        <v>151</v>
      </c>
      <c r="BA166" s="10">
        <v>30</v>
      </c>
      <c r="BB166" t="s">
        <v>20</v>
      </c>
      <c r="BC166" s="10">
        <v>968.92899999999997</v>
      </c>
      <c r="BD166" s="4">
        <v>29067.87</v>
      </c>
    </row>
    <row r="167" spans="50:56" x14ac:dyDescent="0.35">
      <c r="AX167" s="3" t="s">
        <v>156</v>
      </c>
      <c r="AY167" t="s">
        <v>157</v>
      </c>
      <c r="AZ167" t="s">
        <v>151</v>
      </c>
      <c r="BA167" s="10">
        <v>7</v>
      </c>
      <c r="BB167" t="s">
        <v>20</v>
      </c>
      <c r="BC167" s="10">
        <v>2371.4018000000001</v>
      </c>
      <c r="BD167" s="4">
        <v>16599.812600000001</v>
      </c>
    </row>
    <row r="168" spans="50:56" x14ac:dyDescent="0.35">
      <c r="AX168" s="3" t="s">
        <v>272</v>
      </c>
      <c r="AY168" t="s">
        <v>273</v>
      </c>
      <c r="AZ168" t="s">
        <v>151</v>
      </c>
      <c r="BA168" s="10">
        <v>2</v>
      </c>
      <c r="BB168" t="s">
        <v>5</v>
      </c>
      <c r="BC168" s="10">
        <v>2794.3427999999999</v>
      </c>
      <c r="BD168" s="4">
        <v>5588.6855999999998</v>
      </c>
    </row>
    <row r="169" spans="50:56" x14ac:dyDescent="0.35">
      <c r="AX169" s="3" t="s">
        <v>423</v>
      </c>
      <c r="AY169" t="s">
        <v>424</v>
      </c>
      <c r="AZ169" t="s">
        <v>151</v>
      </c>
      <c r="BA169" s="10">
        <v>6</v>
      </c>
      <c r="BB169" t="s">
        <v>20</v>
      </c>
      <c r="BC169" s="10">
        <v>5044.4444444444443</v>
      </c>
      <c r="BD169" s="4">
        <v>30266.666667000001</v>
      </c>
    </row>
    <row r="170" spans="50:56" x14ac:dyDescent="0.35">
      <c r="AX170" s="3" t="s">
        <v>655</v>
      </c>
      <c r="AY170" t="s">
        <v>656</v>
      </c>
      <c r="AZ170" t="s">
        <v>151</v>
      </c>
      <c r="BA170" s="10">
        <v>0.3</v>
      </c>
      <c r="BB170" t="s">
        <v>20</v>
      </c>
      <c r="BC170" s="10">
        <v>39900</v>
      </c>
      <c r="BD170" s="4">
        <v>11970</v>
      </c>
    </row>
    <row r="171" spans="50:56" x14ac:dyDescent="0.35">
      <c r="AX171" s="3" t="s">
        <v>161</v>
      </c>
      <c r="AY171" t="s">
        <v>162</v>
      </c>
      <c r="AZ171" t="s">
        <v>151</v>
      </c>
      <c r="BA171" s="10">
        <v>5.5</v>
      </c>
      <c r="BB171" t="s">
        <v>5</v>
      </c>
      <c r="BC171" s="10">
        <v>6563.7948999999999</v>
      </c>
      <c r="BD171" s="4">
        <v>36100.871950000001</v>
      </c>
    </row>
    <row r="172" spans="50:56" x14ac:dyDescent="0.35">
      <c r="AX172" s="3" t="s">
        <v>468</v>
      </c>
      <c r="AY172" t="s">
        <v>469</v>
      </c>
      <c r="AZ172" t="s">
        <v>151</v>
      </c>
      <c r="BA172" s="10">
        <v>44</v>
      </c>
      <c r="BB172" t="s">
        <v>20</v>
      </c>
      <c r="BC172" s="10">
        <v>793.9</v>
      </c>
      <c r="BD172" s="4">
        <v>34931.599999999999</v>
      </c>
    </row>
    <row r="173" spans="50:56" ht="15" thickBot="1" x14ac:dyDescent="0.4">
      <c r="AX173" s="11" t="s">
        <v>657</v>
      </c>
      <c r="AY173" s="12" t="s">
        <v>658</v>
      </c>
      <c r="AZ173" s="12" t="s">
        <v>151</v>
      </c>
      <c r="BA173" s="12">
        <v>2</v>
      </c>
      <c r="BB173" s="12" t="s">
        <v>20</v>
      </c>
      <c r="BC173" s="12">
        <v>15000</v>
      </c>
      <c r="BD173" s="13">
        <v>30000</v>
      </c>
    </row>
    <row r="174" spans="50:56" ht="15" thickTop="1" x14ac:dyDescent="0.35"/>
  </sheetData>
  <mergeCells count="64">
    <mergeCell ref="O45:P45"/>
    <mergeCell ref="O8:S8"/>
    <mergeCell ref="O9:S9"/>
    <mergeCell ref="O11:P11"/>
    <mergeCell ref="O12:P12"/>
    <mergeCell ref="O13:P13"/>
    <mergeCell ref="O14:P14"/>
    <mergeCell ref="O15:P15"/>
    <mergeCell ref="O16:P16"/>
    <mergeCell ref="O41:S41"/>
    <mergeCell ref="O42:S42"/>
    <mergeCell ref="O44:P44"/>
    <mergeCell ref="O93:P93"/>
    <mergeCell ref="O46:P46"/>
    <mergeCell ref="O47:P47"/>
    <mergeCell ref="O48:P48"/>
    <mergeCell ref="O49:P49"/>
    <mergeCell ref="O85:S85"/>
    <mergeCell ref="O86:S86"/>
    <mergeCell ref="O88:P88"/>
    <mergeCell ref="O89:P89"/>
    <mergeCell ref="O90:P90"/>
    <mergeCell ref="O91:P91"/>
    <mergeCell ref="O92:P92"/>
    <mergeCell ref="O126:P126"/>
    <mergeCell ref="O127:P127"/>
    <mergeCell ref="AG8:AK8"/>
    <mergeCell ref="AG9:AK9"/>
    <mergeCell ref="AG11:AH11"/>
    <mergeCell ref="AG12:AH12"/>
    <mergeCell ref="AG13:AH13"/>
    <mergeCell ref="AG14:AH14"/>
    <mergeCell ref="AG15:AH15"/>
    <mergeCell ref="AG16:AH16"/>
    <mergeCell ref="O119:S119"/>
    <mergeCell ref="O120:S120"/>
    <mergeCell ref="O122:P122"/>
    <mergeCell ref="O123:P123"/>
    <mergeCell ref="O124:P124"/>
    <mergeCell ref="O125:P125"/>
    <mergeCell ref="AG73:AH73"/>
    <mergeCell ref="AG32:AK32"/>
    <mergeCell ref="AG33:AK33"/>
    <mergeCell ref="AG35:AH35"/>
    <mergeCell ref="AG36:AH36"/>
    <mergeCell ref="AG37:AH37"/>
    <mergeCell ref="AG38:AH38"/>
    <mergeCell ref="AG39:AH39"/>
    <mergeCell ref="AG40:AH40"/>
    <mergeCell ref="AG69:AK69"/>
    <mergeCell ref="AG70:AK70"/>
    <mergeCell ref="AG72:AH72"/>
    <mergeCell ref="AG107:AH107"/>
    <mergeCell ref="AG74:AH74"/>
    <mergeCell ref="AG75:AH75"/>
    <mergeCell ref="AG76:AH76"/>
    <mergeCell ref="AG77:AH77"/>
    <mergeCell ref="AG99:AK99"/>
    <mergeCell ref="AG100:AK100"/>
    <mergeCell ref="AG102:AH102"/>
    <mergeCell ref="AG103:AH103"/>
    <mergeCell ref="AG104:AH104"/>
    <mergeCell ref="AG105:AH105"/>
    <mergeCell ref="AG106:AH106"/>
  </mergeCells>
  <conditionalFormatting sqref="H12:H124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2:J124">
    <cfRule type="containsText" dxfId="30" priority="7" operator="containsText" text="tidak ada perubahan">
      <formula>NOT(ISERROR(SEARCH("tidak ada perubahan",J12)))</formula>
    </cfRule>
    <cfRule type="containsText" dxfId="29" priority="8" operator="containsText" text="penurunan iu">
      <formula>NOT(ISERROR(SEARCH("penurunan iu",J12)))</formula>
    </cfRule>
    <cfRule type="containsText" dxfId="28" priority="9" operator="containsText" text="kenaikan iu">
      <formula>NOT(ISERROR(SEARCH("kenaikan iu",J12)))</formula>
    </cfRule>
  </conditionalFormatting>
  <conditionalFormatting sqref="A12:I12">
    <cfRule type="expression" dxfId="27" priority="6">
      <formula>CELL("row")=ROW()</formula>
    </cfRule>
  </conditionalFormatting>
  <conditionalFormatting sqref="A12:I124">
    <cfRule type="expression" dxfId="26" priority="5">
      <formula>CELL("row")=ROW()</formula>
    </cfRule>
  </conditionalFormatting>
  <conditionalFormatting sqref="K12:K124">
    <cfRule type="expression" dxfId="25" priority="4">
      <formula>CELL("row")=ROW()</formula>
    </cfRule>
  </conditionalFormatting>
  <conditionalFormatting sqref="D5:F9">
    <cfRule type="expression" dxfId="24" priority="2">
      <formula>CELL("row")=ROW()</formula>
    </cfRule>
  </conditionalFormatting>
  <conditionalFormatting sqref="H5:J9">
    <cfRule type="expression" dxfId="23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A3D1F-BEF3-4D3C-B11D-C154051D62EE}">
  <sheetPr codeName="Sheet8">
    <tabColor rgb="FFFF0000"/>
  </sheetPr>
  <dimension ref="A1:AD129"/>
  <sheetViews>
    <sheetView topLeftCell="D2" zoomScale="70" zoomScaleNormal="70" workbookViewId="0">
      <selection activeCell="O2" sqref="O2:AD129"/>
    </sheetView>
  </sheetViews>
  <sheetFormatPr defaultRowHeight="14.5" x14ac:dyDescent="0.35"/>
  <sheetData>
    <row r="1" spans="1:30" ht="15" thickBot="1" x14ac:dyDescent="0.4"/>
    <row r="2" spans="1:30" x14ac:dyDescent="0.35">
      <c r="O2" s="84" t="s">
        <v>0</v>
      </c>
      <c r="P2" s="85"/>
      <c r="Q2" s="85"/>
      <c r="R2" s="85"/>
      <c r="S2" s="85"/>
      <c r="T2" s="16"/>
      <c r="U2" s="16"/>
      <c r="V2" s="17"/>
      <c r="X2" s="25" t="s">
        <v>2</v>
      </c>
      <c r="Y2" s="16" t="s">
        <v>3</v>
      </c>
      <c r="Z2" s="16" t="s">
        <v>4</v>
      </c>
      <c r="AA2" s="26">
        <v>4</v>
      </c>
      <c r="AB2" s="16" t="s">
        <v>5</v>
      </c>
      <c r="AC2" s="26">
        <v>20487.5</v>
      </c>
      <c r="AD2" s="17">
        <v>81950</v>
      </c>
    </row>
    <row r="3" spans="1:30" ht="21" x14ac:dyDescent="0.5">
      <c r="B3" s="14" t="s">
        <v>662</v>
      </c>
      <c r="O3" s="82" t="s">
        <v>1</v>
      </c>
      <c r="P3" s="87"/>
      <c r="Q3" s="87"/>
      <c r="R3" s="87"/>
      <c r="S3" s="87"/>
      <c r="V3" s="19"/>
      <c r="X3" s="20" t="s">
        <v>217</v>
      </c>
      <c r="Y3" t="s">
        <v>218</v>
      </c>
      <c r="Z3" t="s">
        <v>4</v>
      </c>
      <c r="AA3" s="10">
        <v>1</v>
      </c>
      <c r="AB3" t="s">
        <v>9</v>
      </c>
      <c r="AC3" s="10">
        <v>55300</v>
      </c>
      <c r="AD3" s="19">
        <v>55300</v>
      </c>
    </row>
    <row r="4" spans="1:30" x14ac:dyDescent="0.35">
      <c r="O4" s="20"/>
      <c r="V4" s="19"/>
      <c r="X4" s="20" t="s">
        <v>13</v>
      </c>
      <c r="Y4" t="s">
        <v>14</v>
      </c>
      <c r="Z4" t="s">
        <v>4</v>
      </c>
      <c r="AA4" s="10">
        <v>1.8</v>
      </c>
      <c r="AB4" t="s">
        <v>15</v>
      </c>
      <c r="AC4" s="10">
        <v>77700</v>
      </c>
      <c r="AD4" s="19">
        <v>139860</v>
      </c>
    </row>
    <row r="5" spans="1:30" x14ac:dyDescent="0.35">
      <c r="A5" s="15" t="s">
        <v>200</v>
      </c>
      <c r="B5" s="15" t="s">
        <v>201</v>
      </c>
      <c r="C5" s="15" t="s">
        <v>202</v>
      </c>
      <c r="D5" s="15" t="s">
        <v>203</v>
      </c>
      <c r="E5" s="15" t="s">
        <v>204</v>
      </c>
      <c r="F5" s="15" t="s">
        <v>205</v>
      </c>
      <c r="G5" s="15" t="s">
        <v>206</v>
      </c>
      <c r="H5" s="15" t="s">
        <v>207</v>
      </c>
      <c r="I5" s="15" t="s">
        <v>208</v>
      </c>
      <c r="J5" s="15" t="s">
        <v>209</v>
      </c>
      <c r="O5" s="82" t="s">
        <v>10</v>
      </c>
      <c r="P5" s="87" t="s">
        <v>11</v>
      </c>
      <c r="Q5" t="s">
        <v>663</v>
      </c>
      <c r="V5" s="19"/>
      <c r="X5" s="20" t="s">
        <v>18</v>
      </c>
      <c r="Y5" t="s">
        <v>19</v>
      </c>
      <c r="Z5" t="s">
        <v>4</v>
      </c>
      <c r="AA5" s="10">
        <v>0.5</v>
      </c>
      <c r="AB5" t="s">
        <v>20</v>
      </c>
      <c r="AC5" s="10">
        <v>151400</v>
      </c>
      <c r="AD5" s="19">
        <v>75700</v>
      </c>
    </row>
    <row r="6" spans="1:30" x14ac:dyDescent="0.35">
      <c r="O6" s="82" t="s">
        <v>16</v>
      </c>
      <c r="P6" s="87" t="s">
        <v>11</v>
      </c>
      <c r="Q6" t="s">
        <v>17</v>
      </c>
      <c r="V6" s="19"/>
      <c r="X6" s="20" t="s">
        <v>23</v>
      </c>
      <c r="Y6" t="s">
        <v>24</v>
      </c>
      <c r="Z6" t="s">
        <v>4</v>
      </c>
      <c r="AA6" s="10">
        <v>35</v>
      </c>
      <c r="AB6" t="s">
        <v>25</v>
      </c>
      <c r="AC6" s="10">
        <v>17762.268899999999</v>
      </c>
      <c r="AD6" s="19">
        <v>621679.41150000005</v>
      </c>
    </row>
    <row r="7" spans="1:30" x14ac:dyDescent="0.35">
      <c r="O7" s="82" t="s">
        <v>21</v>
      </c>
      <c r="P7" s="87" t="s">
        <v>11</v>
      </c>
      <c r="Q7" t="s">
        <v>664</v>
      </c>
      <c r="V7" s="19"/>
      <c r="X7" s="20" t="s">
        <v>28</v>
      </c>
      <c r="Y7" t="s">
        <v>29</v>
      </c>
      <c r="Z7" t="s">
        <v>4</v>
      </c>
      <c r="AA7" s="10">
        <v>13</v>
      </c>
      <c r="AB7" t="s">
        <v>30</v>
      </c>
      <c r="AC7" s="10">
        <v>19760</v>
      </c>
      <c r="AD7" s="19">
        <v>256880</v>
      </c>
    </row>
    <row r="8" spans="1:30" x14ac:dyDescent="0.35">
      <c r="O8" s="82" t="s">
        <v>26</v>
      </c>
      <c r="P8" s="87" t="s">
        <v>11</v>
      </c>
      <c r="Q8" t="s">
        <v>665</v>
      </c>
      <c r="V8" s="19"/>
      <c r="X8" s="20" t="s">
        <v>33</v>
      </c>
      <c r="Y8" t="s">
        <v>34</v>
      </c>
      <c r="Z8" t="s">
        <v>4</v>
      </c>
      <c r="AA8" s="10">
        <v>5</v>
      </c>
      <c r="AB8" t="s">
        <v>30</v>
      </c>
      <c r="AC8" s="10">
        <v>13000</v>
      </c>
      <c r="AD8" s="19">
        <v>65000</v>
      </c>
    </row>
    <row r="9" spans="1:30" x14ac:dyDescent="0.35">
      <c r="O9" s="82" t="s">
        <v>31</v>
      </c>
      <c r="P9" s="87" t="s">
        <v>11</v>
      </c>
      <c r="Q9" t="s">
        <v>32</v>
      </c>
      <c r="V9" s="19"/>
      <c r="X9" s="20" t="s">
        <v>37</v>
      </c>
      <c r="Y9" t="s">
        <v>38</v>
      </c>
      <c r="Z9" t="s">
        <v>4</v>
      </c>
      <c r="AA9" s="10">
        <v>21</v>
      </c>
      <c r="AB9" t="s">
        <v>20</v>
      </c>
      <c r="AC9" s="10">
        <v>1536.8</v>
      </c>
      <c r="AD9" s="19">
        <v>32272.799999999999</v>
      </c>
    </row>
    <row r="10" spans="1:30" x14ac:dyDescent="0.35">
      <c r="O10" s="82" t="s">
        <v>35</v>
      </c>
      <c r="P10" s="87" t="s">
        <v>11</v>
      </c>
      <c r="Q10" t="s">
        <v>666</v>
      </c>
      <c r="V10" s="19"/>
      <c r="X10" s="20" t="s">
        <v>50</v>
      </c>
      <c r="Y10" t="s">
        <v>51</v>
      </c>
      <c r="Z10" t="s">
        <v>41</v>
      </c>
      <c r="AA10" s="10">
        <v>40</v>
      </c>
      <c r="AB10" t="s">
        <v>52</v>
      </c>
      <c r="AC10" s="10">
        <v>19780</v>
      </c>
      <c r="AD10" s="19">
        <v>791200</v>
      </c>
    </row>
    <row r="11" spans="1:30" x14ac:dyDescent="0.35">
      <c r="O11" s="20"/>
      <c r="V11" s="19"/>
      <c r="X11" s="20" t="s">
        <v>53</v>
      </c>
      <c r="Y11" t="s">
        <v>54</v>
      </c>
      <c r="Z11" t="s">
        <v>41</v>
      </c>
      <c r="AA11" s="10">
        <v>12</v>
      </c>
      <c r="AB11" t="s">
        <v>20</v>
      </c>
      <c r="AC11" s="10">
        <v>3251.57</v>
      </c>
      <c r="AD11" s="19">
        <v>39018.839999999997</v>
      </c>
    </row>
    <row r="12" spans="1:30" x14ac:dyDescent="0.35">
      <c r="O12" s="20" t="s">
        <v>42</v>
      </c>
      <c r="P12" t="s">
        <v>43</v>
      </c>
      <c r="Q12" t="s">
        <v>44</v>
      </c>
      <c r="R12" t="s">
        <v>45</v>
      </c>
      <c r="S12" t="s">
        <v>46</v>
      </c>
      <c r="T12" t="s">
        <v>47</v>
      </c>
      <c r="U12" t="s">
        <v>48</v>
      </c>
      <c r="V12" s="19" t="s">
        <v>49</v>
      </c>
      <c r="X12" s="20" t="s">
        <v>407</v>
      </c>
      <c r="Y12" t="s">
        <v>408</v>
      </c>
      <c r="Z12" t="s">
        <v>41</v>
      </c>
      <c r="AA12" s="10">
        <v>1</v>
      </c>
      <c r="AB12" t="s">
        <v>267</v>
      </c>
      <c r="AC12" s="10">
        <v>45980</v>
      </c>
      <c r="AD12" s="19">
        <v>45980</v>
      </c>
    </row>
    <row r="13" spans="1:30" x14ac:dyDescent="0.35">
      <c r="O13" s="20">
        <v>1</v>
      </c>
      <c r="P13" t="s">
        <v>2</v>
      </c>
      <c r="Q13" t="s">
        <v>3</v>
      </c>
      <c r="R13" t="s">
        <v>4</v>
      </c>
      <c r="S13" s="10">
        <v>4</v>
      </c>
      <c r="T13" t="s">
        <v>5</v>
      </c>
      <c r="U13" s="10">
        <v>20487.5</v>
      </c>
      <c r="V13" s="19">
        <v>81950</v>
      </c>
      <c r="X13" s="20" t="s">
        <v>667</v>
      </c>
      <c r="Y13" t="s">
        <v>668</v>
      </c>
      <c r="Z13" t="s">
        <v>41</v>
      </c>
      <c r="AA13" s="10">
        <v>1</v>
      </c>
      <c r="AB13" t="s">
        <v>20</v>
      </c>
      <c r="AC13" s="10">
        <v>14915</v>
      </c>
      <c r="AD13" s="19">
        <v>14915</v>
      </c>
    </row>
    <row r="14" spans="1:30" x14ac:dyDescent="0.35">
      <c r="O14" s="20">
        <v>2</v>
      </c>
      <c r="P14" t="s">
        <v>217</v>
      </c>
      <c r="Q14" t="s">
        <v>218</v>
      </c>
      <c r="R14" t="s">
        <v>4</v>
      </c>
      <c r="S14" s="10">
        <v>1</v>
      </c>
      <c r="T14" t="s">
        <v>9</v>
      </c>
      <c r="U14" s="10">
        <v>55300</v>
      </c>
      <c r="V14" s="19">
        <v>55300</v>
      </c>
      <c r="X14" s="20" t="s">
        <v>310</v>
      </c>
      <c r="Y14" t="s">
        <v>311</v>
      </c>
      <c r="Z14" t="s">
        <v>41</v>
      </c>
      <c r="AA14" s="10">
        <v>2</v>
      </c>
      <c r="AB14" t="s">
        <v>20</v>
      </c>
      <c r="AC14" s="10">
        <v>8304.59</v>
      </c>
      <c r="AD14" s="19">
        <v>16609.18</v>
      </c>
    </row>
    <row r="15" spans="1:30" x14ac:dyDescent="0.35">
      <c r="O15" s="20">
        <v>3</v>
      </c>
      <c r="P15" t="s">
        <v>13</v>
      </c>
      <c r="Q15" t="s">
        <v>14</v>
      </c>
      <c r="R15" t="s">
        <v>4</v>
      </c>
      <c r="S15" s="10">
        <v>1.8</v>
      </c>
      <c r="T15" t="s">
        <v>15</v>
      </c>
      <c r="U15" s="10">
        <v>77700</v>
      </c>
      <c r="V15" s="19">
        <v>139860</v>
      </c>
      <c r="X15" s="20" t="s">
        <v>59</v>
      </c>
      <c r="Y15" t="s">
        <v>60</v>
      </c>
      <c r="Z15" t="s">
        <v>41</v>
      </c>
      <c r="AA15" s="10">
        <v>13</v>
      </c>
      <c r="AB15" t="s">
        <v>5</v>
      </c>
      <c r="AC15" s="10">
        <v>7700</v>
      </c>
      <c r="AD15" s="19">
        <v>100100</v>
      </c>
    </row>
    <row r="16" spans="1:30" x14ac:dyDescent="0.35">
      <c r="O16" s="20">
        <v>4</v>
      </c>
      <c r="P16" t="s">
        <v>18</v>
      </c>
      <c r="Q16" t="s">
        <v>19</v>
      </c>
      <c r="R16" t="s">
        <v>4</v>
      </c>
      <c r="S16" s="10">
        <v>0.5</v>
      </c>
      <c r="T16" t="s">
        <v>20</v>
      </c>
      <c r="U16" s="10">
        <v>151400</v>
      </c>
      <c r="V16" s="19">
        <v>75700</v>
      </c>
      <c r="X16" s="20" t="s">
        <v>61</v>
      </c>
      <c r="Y16" t="s">
        <v>62</v>
      </c>
      <c r="Z16" t="s">
        <v>41</v>
      </c>
      <c r="AA16" s="10">
        <v>6</v>
      </c>
      <c r="AB16" t="s">
        <v>5</v>
      </c>
      <c r="AC16" s="10">
        <v>19219.4899</v>
      </c>
      <c r="AD16" s="19">
        <v>115316.9394</v>
      </c>
    </row>
    <row r="17" spans="15:30" x14ac:dyDescent="0.35">
      <c r="O17" s="20">
        <v>5</v>
      </c>
      <c r="P17" t="s">
        <v>23</v>
      </c>
      <c r="Q17" t="s">
        <v>24</v>
      </c>
      <c r="R17" t="s">
        <v>4</v>
      </c>
      <c r="S17" s="10">
        <v>35</v>
      </c>
      <c r="T17" t="s">
        <v>25</v>
      </c>
      <c r="U17" s="10">
        <v>17762.268899999999</v>
      </c>
      <c r="V17" s="19">
        <v>621679.41150000005</v>
      </c>
      <c r="X17" s="20" t="s">
        <v>314</v>
      </c>
      <c r="Y17" t="s">
        <v>315</v>
      </c>
      <c r="Z17" t="s">
        <v>41</v>
      </c>
      <c r="AA17">
        <v>28</v>
      </c>
      <c r="AB17" t="s">
        <v>20</v>
      </c>
      <c r="AC17">
        <v>749.59</v>
      </c>
      <c r="AD17" s="19">
        <v>20988.52</v>
      </c>
    </row>
    <row r="18" spans="15:30" x14ac:dyDescent="0.35">
      <c r="O18" s="20">
        <v>6</v>
      </c>
      <c r="P18" t="s">
        <v>28</v>
      </c>
      <c r="Q18" t="s">
        <v>29</v>
      </c>
      <c r="R18" t="s">
        <v>4</v>
      </c>
      <c r="S18" s="10">
        <v>13</v>
      </c>
      <c r="T18" t="s">
        <v>30</v>
      </c>
      <c r="U18" s="10">
        <v>19760</v>
      </c>
      <c r="V18" s="19">
        <v>256880</v>
      </c>
      <c r="X18" s="20" t="s">
        <v>669</v>
      </c>
      <c r="Y18" t="s">
        <v>670</v>
      </c>
      <c r="Z18" t="s">
        <v>117</v>
      </c>
      <c r="AA18" s="10">
        <v>1</v>
      </c>
      <c r="AB18" t="s">
        <v>20</v>
      </c>
      <c r="AC18" s="10">
        <v>15000</v>
      </c>
      <c r="AD18" s="19">
        <v>15000</v>
      </c>
    </row>
    <row r="19" spans="15:30" x14ac:dyDescent="0.35">
      <c r="O19" s="20">
        <v>7</v>
      </c>
      <c r="P19" t="s">
        <v>33</v>
      </c>
      <c r="Q19" t="s">
        <v>34</v>
      </c>
      <c r="R19" t="s">
        <v>4</v>
      </c>
      <c r="S19" s="10">
        <v>5</v>
      </c>
      <c r="T19" t="s">
        <v>30</v>
      </c>
      <c r="U19" s="10">
        <v>13000</v>
      </c>
      <c r="V19" s="19">
        <v>65000</v>
      </c>
      <c r="X19" s="20" t="s">
        <v>671</v>
      </c>
      <c r="Y19" t="s">
        <v>672</v>
      </c>
      <c r="Z19" t="s">
        <v>123</v>
      </c>
      <c r="AA19" s="10">
        <v>6</v>
      </c>
      <c r="AB19" t="s">
        <v>94</v>
      </c>
      <c r="AC19" s="10">
        <v>17115.405599999998</v>
      </c>
      <c r="AD19" s="19">
        <v>102692.4336</v>
      </c>
    </row>
    <row r="20" spans="15:30" x14ac:dyDescent="0.35">
      <c r="O20" s="20">
        <v>8</v>
      </c>
      <c r="P20" t="s">
        <v>37</v>
      </c>
      <c r="Q20" t="s">
        <v>38</v>
      </c>
      <c r="R20" t="s">
        <v>4</v>
      </c>
      <c r="S20" s="10">
        <v>21</v>
      </c>
      <c r="T20" t="s">
        <v>20</v>
      </c>
      <c r="U20" s="10">
        <v>1536.8</v>
      </c>
      <c r="V20" s="19">
        <v>32272.799999999999</v>
      </c>
      <c r="X20" s="20" t="s">
        <v>124</v>
      </c>
      <c r="Y20" t="s">
        <v>125</v>
      </c>
      <c r="Z20" t="s">
        <v>123</v>
      </c>
      <c r="AA20" s="10">
        <v>16</v>
      </c>
      <c r="AB20" t="s">
        <v>5</v>
      </c>
      <c r="AC20" s="10">
        <v>5523.0403999999999</v>
      </c>
      <c r="AD20" s="19">
        <v>88368.646399999998</v>
      </c>
    </row>
    <row r="21" spans="15:30" x14ac:dyDescent="0.35">
      <c r="O21" s="20">
        <v>9</v>
      </c>
      <c r="P21" t="s">
        <v>50</v>
      </c>
      <c r="Q21" t="s">
        <v>51</v>
      </c>
      <c r="R21" t="s">
        <v>41</v>
      </c>
      <c r="S21" s="10">
        <v>40</v>
      </c>
      <c r="T21" t="s">
        <v>52</v>
      </c>
      <c r="U21" s="10">
        <v>19780</v>
      </c>
      <c r="V21" s="19">
        <v>791200</v>
      </c>
      <c r="X21" s="20" t="s">
        <v>126</v>
      </c>
      <c r="Y21" t="s">
        <v>127</v>
      </c>
      <c r="Z21" t="s">
        <v>123</v>
      </c>
      <c r="AA21" s="10">
        <v>18</v>
      </c>
      <c r="AB21" t="s">
        <v>5</v>
      </c>
      <c r="AC21" s="10">
        <v>6723.8226999999997</v>
      </c>
      <c r="AD21" s="19">
        <v>121028.8086</v>
      </c>
    </row>
    <row r="22" spans="15:30" x14ac:dyDescent="0.35">
      <c r="O22" s="20">
        <v>10</v>
      </c>
      <c r="P22" t="s">
        <v>53</v>
      </c>
      <c r="Q22" t="s">
        <v>54</v>
      </c>
      <c r="R22" t="s">
        <v>41</v>
      </c>
      <c r="S22" s="10">
        <v>12</v>
      </c>
      <c r="T22" t="s">
        <v>20</v>
      </c>
      <c r="U22" s="10">
        <v>3251.57</v>
      </c>
      <c r="V22" s="19">
        <v>39018.839999999997</v>
      </c>
      <c r="X22" s="20" t="s">
        <v>130</v>
      </c>
      <c r="Y22" t="s">
        <v>131</v>
      </c>
      <c r="Z22" t="s">
        <v>123</v>
      </c>
      <c r="AA22" s="10">
        <v>62</v>
      </c>
      <c r="AB22" t="s">
        <v>5</v>
      </c>
      <c r="AC22" s="10">
        <v>6354.1691000000001</v>
      </c>
      <c r="AD22" s="19">
        <v>393958.48420000001</v>
      </c>
    </row>
    <row r="23" spans="15:30" x14ac:dyDescent="0.35">
      <c r="O23" s="20">
        <v>11</v>
      </c>
      <c r="P23" t="s">
        <v>407</v>
      </c>
      <c r="Q23" t="s">
        <v>408</v>
      </c>
      <c r="R23" t="s">
        <v>41</v>
      </c>
      <c r="S23" s="10">
        <v>1</v>
      </c>
      <c r="T23" t="s">
        <v>267</v>
      </c>
      <c r="U23" s="10">
        <v>45980</v>
      </c>
      <c r="V23" s="19">
        <v>45980</v>
      </c>
      <c r="X23" s="20" t="s">
        <v>132</v>
      </c>
      <c r="Y23" t="s">
        <v>133</v>
      </c>
      <c r="Z23" t="s">
        <v>123</v>
      </c>
      <c r="AA23" s="10">
        <v>5.5</v>
      </c>
      <c r="AB23" t="s">
        <v>134</v>
      </c>
      <c r="AC23" s="10">
        <v>13000</v>
      </c>
      <c r="AD23" s="19">
        <v>71500</v>
      </c>
    </row>
    <row r="24" spans="15:30" x14ac:dyDescent="0.35">
      <c r="O24" s="20">
        <v>12</v>
      </c>
      <c r="P24" t="s">
        <v>667</v>
      </c>
      <c r="Q24" t="s">
        <v>668</v>
      </c>
      <c r="R24" t="s">
        <v>41</v>
      </c>
      <c r="S24" s="10">
        <v>1</v>
      </c>
      <c r="T24" t="s">
        <v>20</v>
      </c>
      <c r="U24" s="10">
        <v>14915</v>
      </c>
      <c r="V24" s="19">
        <v>14915</v>
      </c>
      <c r="X24" s="20" t="s">
        <v>135</v>
      </c>
      <c r="Y24" t="s">
        <v>136</v>
      </c>
      <c r="Z24" t="s">
        <v>123</v>
      </c>
      <c r="AA24" s="10">
        <v>11</v>
      </c>
      <c r="AB24" t="s">
        <v>5</v>
      </c>
      <c r="AC24" s="10">
        <v>5682.9234999999999</v>
      </c>
      <c r="AD24" s="19">
        <v>62512.158499999998</v>
      </c>
    </row>
    <row r="25" spans="15:30" x14ac:dyDescent="0.35">
      <c r="O25" s="20">
        <v>13</v>
      </c>
      <c r="P25" t="s">
        <v>310</v>
      </c>
      <c r="Q25" t="s">
        <v>311</v>
      </c>
      <c r="R25" t="s">
        <v>41</v>
      </c>
      <c r="S25" s="10">
        <v>2</v>
      </c>
      <c r="T25" t="s">
        <v>20</v>
      </c>
      <c r="U25" s="10">
        <v>8304.59</v>
      </c>
      <c r="V25" s="19">
        <v>16609.18</v>
      </c>
      <c r="X25" s="20" t="s">
        <v>137</v>
      </c>
      <c r="Y25" t="s">
        <v>138</v>
      </c>
      <c r="Z25" t="s">
        <v>123</v>
      </c>
      <c r="AA25" s="10">
        <v>19</v>
      </c>
      <c r="AB25" t="s">
        <v>5</v>
      </c>
      <c r="AC25" s="10">
        <v>16076.8892</v>
      </c>
      <c r="AD25" s="19">
        <v>305460.89480000001</v>
      </c>
    </row>
    <row r="26" spans="15:30" x14ac:dyDescent="0.35">
      <c r="O26" s="20">
        <v>14</v>
      </c>
      <c r="P26" t="s">
        <v>59</v>
      </c>
      <c r="Q26" t="s">
        <v>60</v>
      </c>
      <c r="R26" t="s">
        <v>41</v>
      </c>
      <c r="S26" s="10">
        <v>13</v>
      </c>
      <c r="T26" t="s">
        <v>5</v>
      </c>
      <c r="U26" s="10">
        <v>7700</v>
      </c>
      <c r="V26" s="19">
        <v>100100</v>
      </c>
      <c r="X26" s="20" t="s">
        <v>139</v>
      </c>
      <c r="Y26" t="s">
        <v>140</v>
      </c>
      <c r="Z26" t="s">
        <v>123</v>
      </c>
      <c r="AA26" s="10">
        <v>3</v>
      </c>
      <c r="AB26" t="s">
        <v>5</v>
      </c>
      <c r="AC26" s="10">
        <v>42240.963900000002</v>
      </c>
      <c r="AD26" s="19">
        <v>126722.89169999999</v>
      </c>
    </row>
    <row r="27" spans="15:30" x14ac:dyDescent="0.35">
      <c r="O27" s="20">
        <v>15</v>
      </c>
      <c r="P27" t="s">
        <v>61</v>
      </c>
      <c r="Q27" t="s">
        <v>62</v>
      </c>
      <c r="R27" t="s">
        <v>41</v>
      </c>
      <c r="S27" s="10">
        <v>6</v>
      </c>
      <c r="T27" t="s">
        <v>5</v>
      </c>
      <c r="U27" s="10">
        <v>19219.4899</v>
      </c>
      <c r="V27" s="19">
        <v>115316.9394</v>
      </c>
      <c r="X27" s="20" t="s">
        <v>141</v>
      </c>
      <c r="Y27" t="s">
        <v>142</v>
      </c>
      <c r="Z27" t="s">
        <v>123</v>
      </c>
      <c r="AA27" s="10">
        <v>6</v>
      </c>
      <c r="AB27" t="s">
        <v>5</v>
      </c>
      <c r="AC27" s="10">
        <v>41769.568899999998</v>
      </c>
      <c r="AD27" s="19">
        <v>250617.41339999999</v>
      </c>
    </row>
    <row r="28" spans="15:30" x14ac:dyDescent="0.35">
      <c r="O28" s="20">
        <v>16</v>
      </c>
      <c r="P28" t="s">
        <v>314</v>
      </c>
      <c r="Q28" t="s">
        <v>315</v>
      </c>
      <c r="R28" t="s">
        <v>41</v>
      </c>
      <c r="S28">
        <v>28</v>
      </c>
      <c r="T28" t="s">
        <v>20</v>
      </c>
      <c r="U28">
        <v>749.59</v>
      </c>
      <c r="V28" s="19">
        <v>20988.52</v>
      </c>
      <c r="X28" s="20" t="s">
        <v>143</v>
      </c>
      <c r="Y28" t="s">
        <v>144</v>
      </c>
      <c r="Z28" t="s">
        <v>123</v>
      </c>
      <c r="AA28" s="10">
        <v>5</v>
      </c>
      <c r="AB28" t="s">
        <v>5</v>
      </c>
      <c r="AC28" s="10">
        <v>5000</v>
      </c>
      <c r="AD28" s="19">
        <v>25000</v>
      </c>
    </row>
    <row r="29" spans="15:30" ht="15" thickBot="1" x14ac:dyDescent="0.4">
      <c r="O29" s="22" t="s">
        <v>223</v>
      </c>
      <c r="P29" s="23" t="s">
        <v>223</v>
      </c>
      <c r="Q29" s="23" t="s">
        <v>223</v>
      </c>
      <c r="R29" s="23" t="s">
        <v>223</v>
      </c>
      <c r="S29" s="23" t="s">
        <v>223</v>
      </c>
      <c r="T29" s="23" t="s">
        <v>223</v>
      </c>
      <c r="U29" s="23" t="s">
        <v>224</v>
      </c>
      <c r="V29" s="24">
        <v>2472770.6909000003</v>
      </c>
      <c r="X29" s="20" t="s">
        <v>145</v>
      </c>
      <c r="Y29" t="s">
        <v>146</v>
      </c>
      <c r="Z29" t="s">
        <v>123</v>
      </c>
      <c r="AA29" s="10">
        <v>145</v>
      </c>
      <c r="AB29" t="s">
        <v>5</v>
      </c>
      <c r="AC29" s="10">
        <v>4604.1441999999997</v>
      </c>
      <c r="AD29" s="19">
        <v>667600.90899999999</v>
      </c>
    </row>
    <row r="30" spans="15:30" x14ac:dyDescent="0.35">
      <c r="X30" s="20" t="s">
        <v>147</v>
      </c>
      <c r="Y30" t="s">
        <v>148</v>
      </c>
      <c r="Z30" t="s">
        <v>123</v>
      </c>
      <c r="AA30" s="10">
        <v>0.5</v>
      </c>
      <c r="AB30" t="s">
        <v>5</v>
      </c>
      <c r="AC30" s="10">
        <v>15000</v>
      </c>
      <c r="AD30" s="19">
        <v>7500</v>
      </c>
    </row>
    <row r="31" spans="15:30" ht="15" thickBot="1" x14ac:dyDescent="0.4">
      <c r="X31" s="20" t="s">
        <v>673</v>
      </c>
      <c r="Y31" t="s">
        <v>674</v>
      </c>
      <c r="Z31" t="s">
        <v>151</v>
      </c>
      <c r="AA31" s="10">
        <v>118</v>
      </c>
      <c r="AB31" t="s">
        <v>267</v>
      </c>
      <c r="AC31" s="10">
        <v>186565.7481</v>
      </c>
      <c r="AD31" s="19">
        <v>22014758.275800001</v>
      </c>
    </row>
    <row r="32" spans="15:30" x14ac:dyDescent="0.35">
      <c r="O32" s="84" t="s">
        <v>0</v>
      </c>
      <c r="P32" s="85"/>
      <c r="Q32" s="85"/>
      <c r="R32" s="85"/>
      <c r="S32" s="85"/>
      <c r="T32" s="16"/>
      <c r="U32" s="16"/>
      <c r="V32" s="17"/>
      <c r="X32" s="20" t="s">
        <v>675</v>
      </c>
      <c r="Y32" t="s">
        <v>676</v>
      </c>
      <c r="Z32" t="s">
        <v>151</v>
      </c>
      <c r="AA32" s="10">
        <v>4</v>
      </c>
      <c r="AB32" t="s">
        <v>677</v>
      </c>
      <c r="AC32" s="10">
        <v>161950</v>
      </c>
      <c r="AD32" s="19">
        <v>647800</v>
      </c>
    </row>
    <row r="33" spans="15:30" x14ac:dyDescent="0.35">
      <c r="O33" s="82" t="s">
        <v>1</v>
      </c>
      <c r="P33" s="87"/>
      <c r="Q33" s="87"/>
      <c r="R33" s="87"/>
      <c r="S33" s="87"/>
      <c r="V33" s="19"/>
      <c r="X33" s="20" t="s">
        <v>272</v>
      </c>
      <c r="Y33" t="s">
        <v>273</v>
      </c>
      <c r="Z33" t="s">
        <v>151</v>
      </c>
      <c r="AA33">
        <v>5</v>
      </c>
      <c r="AB33" t="s">
        <v>5</v>
      </c>
      <c r="AC33">
        <v>2771.6415000000002</v>
      </c>
      <c r="AD33" s="19">
        <v>13858.2075</v>
      </c>
    </row>
    <row r="34" spans="15:30" x14ac:dyDescent="0.35">
      <c r="O34" s="20"/>
      <c r="V34" s="19"/>
      <c r="X34" s="20" t="s">
        <v>65</v>
      </c>
      <c r="Y34" t="s">
        <v>66</v>
      </c>
      <c r="Z34" t="s">
        <v>67</v>
      </c>
      <c r="AA34" s="10">
        <v>2</v>
      </c>
      <c r="AB34" t="s">
        <v>20</v>
      </c>
      <c r="AC34" s="10">
        <v>320</v>
      </c>
      <c r="AD34" s="19">
        <v>640</v>
      </c>
    </row>
    <row r="35" spans="15:30" x14ac:dyDescent="0.35">
      <c r="O35" s="82" t="s">
        <v>10</v>
      </c>
      <c r="P35" s="87" t="s">
        <v>11</v>
      </c>
      <c r="Q35" t="s">
        <v>678</v>
      </c>
      <c r="V35" s="19"/>
      <c r="X35" s="20" t="s">
        <v>68</v>
      </c>
      <c r="Y35" t="s">
        <v>69</v>
      </c>
      <c r="Z35" t="s">
        <v>67</v>
      </c>
      <c r="AA35" s="10">
        <v>0.01</v>
      </c>
      <c r="AB35" t="s">
        <v>5</v>
      </c>
      <c r="AC35" s="10">
        <v>18750</v>
      </c>
      <c r="AD35" s="19">
        <v>187.5</v>
      </c>
    </row>
    <row r="36" spans="15:30" x14ac:dyDescent="0.35">
      <c r="O36" s="82" t="s">
        <v>16</v>
      </c>
      <c r="P36" s="87" t="s">
        <v>11</v>
      </c>
      <c r="Q36" t="s">
        <v>17</v>
      </c>
      <c r="V36" s="19"/>
      <c r="X36" s="20" t="s">
        <v>70</v>
      </c>
      <c r="Y36" t="s">
        <v>71</v>
      </c>
      <c r="Z36" t="s">
        <v>67</v>
      </c>
      <c r="AA36" s="10">
        <v>2</v>
      </c>
      <c r="AB36" t="s">
        <v>5</v>
      </c>
      <c r="AC36" s="10">
        <v>9000</v>
      </c>
      <c r="AD36" s="19">
        <v>18000</v>
      </c>
    </row>
    <row r="37" spans="15:30" x14ac:dyDescent="0.35">
      <c r="O37" s="82" t="s">
        <v>21</v>
      </c>
      <c r="P37" s="87" t="s">
        <v>11</v>
      </c>
      <c r="Q37" t="s">
        <v>664</v>
      </c>
      <c r="V37" s="19"/>
      <c r="X37" s="20" t="s">
        <v>230</v>
      </c>
      <c r="Y37" t="s">
        <v>231</v>
      </c>
      <c r="Z37" t="s">
        <v>67</v>
      </c>
      <c r="AA37" s="10">
        <v>5</v>
      </c>
      <c r="AB37" t="s">
        <v>5</v>
      </c>
      <c r="AC37" s="10">
        <v>9000</v>
      </c>
      <c r="AD37" s="19">
        <v>45000</v>
      </c>
    </row>
    <row r="38" spans="15:30" x14ac:dyDescent="0.35">
      <c r="O38" s="82" t="s">
        <v>26</v>
      </c>
      <c r="P38" s="87" t="s">
        <v>11</v>
      </c>
      <c r="Q38" t="s">
        <v>679</v>
      </c>
      <c r="V38" s="19"/>
      <c r="X38" s="20" t="s">
        <v>72</v>
      </c>
      <c r="Y38" t="s">
        <v>73</v>
      </c>
      <c r="Z38" t="s">
        <v>67</v>
      </c>
      <c r="AA38" s="10">
        <v>11</v>
      </c>
      <c r="AB38" t="s">
        <v>74</v>
      </c>
      <c r="AC38" s="10">
        <v>3000</v>
      </c>
      <c r="AD38" s="19">
        <v>33000</v>
      </c>
    </row>
    <row r="39" spans="15:30" x14ac:dyDescent="0.35">
      <c r="O39" s="82" t="s">
        <v>31</v>
      </c>
      <c r="P39" s="87" t="s">
        <v>11</v>
      </c>
      <c r="Q39" t="s">
        <v>186</v>
      </c>
      <c r="V39" s="19"/>
      <c r="X39" s="20" t="s">
        <v>77</v>
      </c>
      <c r="Y39" t="s">
        <v>78</v>
      </c>
      <c r="Z39" t="s">
        <v>67</v>
      </c>
      <c r="AA39" s="10">
        <v>1</v>
      </c>
      <c r="AB39" t="s">
        <v>20</v>
      </c>
      <c r="AC39" s="10">
        <v>6500</v>
      </c>
      <c r="AD39" s="19">
        <v>6500</v>
      </c>
    </row>
    <row r="40" spans="15:30" x14ac:dyDescent="0.35">
      <c r="O40" s="82" t="s">
        <v>35</v>
      </c>
      <c r="P40" s="87" t="s">
        <v>11</v>
      </c>
      <c r="Q40" t="s">
        <v>680</v>
      </c>
      <c r="V40" s="19"/>
      <c r="X40" s="20" t="s">
        <v>484</v>
      </c>
      <c r="Y40" t="s">
        <v>485</v>
      </c>
      <c r="Z40" t="s">
        <v>67</v>
      </c>
      <c r="AA40" s="10">
        <v>1</v>
      </c>
      <c r="AB40" t="s">
        <v>486</v>
      </c>
      <c r="AC40" s="10">
        <v>8500</v>
      </c>
      <c r="AD40" s="19">
        <v>8500</v>
      </c>
    </row>
    <row r="41" spans="15:30" x14ac:dyDescent="0.35">
      <c r="O41" s="20"/>
      <c r="V41" s="19"/>
      <c r="X41" s="20" t="s">
        <v>357</v>
      </c>
      <c r="Y41" t="s">
        <v>358</v>
      </c>
      <c r="Z41" t="s">
        <v>67</v>
      </c>
      <c r="AA41" s="10">
        <v>0.3</v>
      </c>
      <c r="AB41" t="s">
        <v>5</v>
      </c>
      <c r="AC41" s="10">
        <v>32500</v>
      </c>
      <c r="AD41" s="19">
        <v>9750</v>
      </c>
    </row>
    <row r="42" spans="15:30" x14ac:dyDescent="0.35">
      <c r="O42" s="20" t="s">
        <v>42</v>
      </c>
      <c r="P42" t="s">
        <v>43</v>
      </c>
      <c r="Q42" t="s">
        <v>44</v>
      </c>
      <c r="R42" t="s">
        <v>45</v>
      </c>
      <c r="S42" t="s">
        <v>46</v>
      </c>
      <c r="T42" t="s">
        <v>47</v>
      </c>
      <c r="U42" t="s">
        <v>48</v>
      </c>
      <c r="V42" s="19" t="s">
        <v>49</v>
      </c>
      <c r="X42" s="20" t="s">
        <v>624</v>
      </c>
      <c r="Y42" t="s">
        <v>625</v>
      </c>
      <c r="Z42" t="s">
        <v>67</v>
      </c>
      <c r="AA42" s="10">
        <v>0.7</v>
      </c>
      <c r="AB42" t="s">
        <v>5</v>
      </c>
      <c r="AC42" s="10">
        <v>13000</v>
      </c>
      <c r="AD42" s="19">
        <v>9100</v>
      </c>
    </row>
    <row r="43" spans="15:30" x14ac:dyDescent="0.35">
      <c r="O43" s="20">
        <v>1</v>
      </c>
      <c r="P43" t="s">
        <v>669</v>
      </c>
      <c r="Q43" t="s">
        <v>670</v>
      </c>
      <c r="R43" t="s">
        <v>117</v>
      </c>
      <c r="S43" s="10">
        <v>1</v>
      </c>
      <c r="T43" t="s">
        <v>20</v>
      </c>
      <c r="U43" s="10">
        <v>15000</v>
      </c>
      <c r="V43" s="19">
        <v>15000</v>
      </c>
      <c r="X43" s="20" t="s">
        <v>395</v>
      </c>
      <c r="Y43" t="s">
        <v>396</v>
      </c>
      <c r="Z43" t="s">
        <v>67</v>
      </c>
      <c r="AA43" s="10">
        <v>0.5</v>
      </c>
      <c r="AB43" t="s">
        <v>216</v>
      </c>
      <c r="AC43" s="10">
        <v>6000</v>
      </c>
      <c r="AD43" s="19">
        <v>3000</v>
      </c>
    </row>
    <row r="44" spans="15:30" x14ac:dyDescent="0.35">
      <c r="O44" s="20">
        <v>2</v>
      </c>
      <c r="P44" t="s">
        <v>671</v>
      </c>
      <c r="Q44" t="s">
        <v>672</v>
      </c>
      <c r="R44" t="s">
        <v>123</v>
      </c>
      <c r="S44" s="10">
        <v>6</v>
      </c>
      <c r="T44" t="s">
        <v>94</v>
      </c>
      <c r="U44" s="10">
        <v>17115.405599999998</v>
      </c>
      <c r="V44" s="19">
        <v>102692.4336</v>
      </c>
      <c r="X44" s="20" t="s">
        <v>83</v>
      </c>
      <c r="Y44" t="s">
        <v>84</v>
      </c>
      <c r="Z44" t="s">
        <v>67</v>
      </c>
      <c r="AA44" s="10">
        <v>2</v>
      </c>
      <c r="AB44" t="s">
        <v>20</v>
      </c>
      <c r="AC44" s="10">
        <v>7875</v>
      </c>
      <c r="AD44" s="19">
        <v>15750</v>
      </c>
    </row>
    <row r="45" spans="15:30" x14ac:dyDescent="0.35">
      <c r="O45" s="20">
        <v>3</v>
      </c>
      <c r="P45" t="s">
        <v>124</v>
      </c>
      <c r="Q45" t="s">
        <v>125</v>
      </c>
      <c r="R45" t="s">
        <v>123</v>
      </c>
      <c r="S45" s="10">
        <v>16</v>
      </c>
      <c r="T45" t="s">
        <v>5</v>
      </c>
      <c r="U45" s="10">
        <v>5523.0403999999999</v>
      </c>
      <c r="V45" s="19">
        <v>88368.646399999998</v>
      </c>
      <c r="X45" s="20" t="s">
        <v>85</v>
      </c>
      <c r="Y45" t="s">
        <v>86</v>
      </c>
      <c r="Z45" t="s">
        <v>67</v>
      </c>
      <c r="AA45" s="10">
        <v>1.5</v>
      </c>
      <c r="AB45" t="s">
        <v>87</v>
      </c>
      <c r="AC45" s="10">
        <v>18500</v>
      </c>
      <c r="AD45" s="19">
        <v>27750</v>
      </c>
    </row>
    <row r="46" spans="15:30" x14ac:dyDescent="0.35">
      <c r="O46" s="20">
        <v>4</v>
      </c>
      <c r="P46" t="s">
        <v>126</v>
      </c>
      <c r="Q46" t="s">
        <v>127</v>
      </c>
      <c r="R46" t="s">
        <v>123</v>
      </c>
      <c r="S46" s="10">
        <v>18</v>
      </c>
      <c r="T46" t="s">
        <v>5</v>
      </c>
      <c r="U46" s="10">
        <v>6723.8226999999997</v>
      </c>
      <c r="V46" s="19">
        <v>121028.8086</v>
      </c>
      <c r="X46" s="20" t="s">
        <v>242</v>
      </c>
      <c r="Y46" t="s">
        <v>243</v>
      </c>
      <c r="Z46" t="s">
        <v>67</v>
      </c>
      <c r="AA46" s="10">
        <v>2.5</v>
      </c>
      <c r="AB46" t="s">
        <v>87</v>
      </c>
      <c r="AC46" s="10">
        <v>14500</v>
      </c>
      <c r="AD46" s="19">
        <v>36250</v>
      </c>
    </row>
    <row r="47" spans="15:30" x14ac:dyDescent="0.35">
      <c r="O47" s="20">
        <v>5</v>
      </c>
      <c r="P47" t="s">
        <v>130</v>
      </c>
      <c r="Q47" t="s">
        <v>131</v>
      </c>
      <c r="R47" t="s">
        <v>123</v>
      </c>
      <c r="S47" s="10">
        <v>62</v>
      </c>
      <c r="T47" t="s">
        <v>5</v>
      </c>
      <c r="U47" s="10">
        <v>6354.1691000000001</v>
      </c>
      <c r="V47" s="19">
        <v>393958.48420000001</v>
      </c>
      <c r="X47" s="20" t="s">
        <v>244</v>
      </c>
      <c r="Y47" t="s">
        <v>245</v>
      </c>
      <c r="Z47" t="s">
        <v>67</v>
      </c>
      <c r="AA47" s="10">
        <v>1</v>
      </c>
      <c r="AB47" t="s">
        <v>20</v>
      </c>
      <c r="AC47" s="10">
        <v>6000</v>
      </c>
      <c r="AD47" s="19">
        <v>6000</v>
      </c>
    </row>
    <row r="48" spans="15:30" x14ac:dyDescent="0.35">
      <c r="O48" s="20">
        <v>6</v>
      </c>
      <c r="P48" t="s">
        <v>132</v>
      </c>
      <c r="Q48" t="s">
        <v>133</v>
      </c>
      <c r="R48" t="s">
        <v>123</v>
      </c>
      <c r="S48" s="10">
        <v>5.5</v>
      </c>
      <c r="T48" t="s">
        <v>134</v>
      </c>
      <c r="U48" s="10">
        <v>13000</v>
      </c>
      <c r="V48" s="19">
        <v>71500</v>
      </c>
      <c r="X48" s="20" t="s">
        <v>246</v>
      </c>
      <c r="Y48" t="s">
        <v>247</v>
      </c>
      <c r="Z48" t="s">
        <v>67</v>
      </c>
      <c r="AA48" s="10">
        <v>6</v>
      </c>
      <c r="AB48" t="s">
        <v>5</v>
      </c>
      <c r="AC48" s="10">
        <v>1485.7143000000001</v>
      </c>
      <c r="AD48" s="19">
        <v>8914.2857999999997</v>
      </c>
    </row>
    <row r="49" spans="15:30" x14ac:dyDescent="0.35">
      <c r="O49" s="20">
        <v>7</v>
      </c>
      <c r="P49" t="s">
        <v>135</v>
      </c>
      <c r="Q49" t="s">
        <v>136</v>
      </c>
      <c r="R49" t="s">
        <v>123</v>
      </c>
      <c r="S49" s="10">
        <v>11</v>
      </c>
      <c r="T49" t="s">
        <v>5</v>
      </c>
      <c r="U49" s="10">
        <v>5682.9234999999999</v>
      </c>
      <c r="V49" s="19">
        <v>62512.158499999998</v>
      </c>
      <c r="X49" s="20" t="s">
        <v>327</v>
      </c>
      <c r="Y49" t="s">
        <v>328</v>
      </c>
      <c r="Z49" t="s">
        <v>67</v>
      </c>
      <c r="AA49" s="10">
        <v>2.2999999999999998</v>
      </c>
      <c r="AB49" t="s">
        <v>5</v>
      </c>
      <c r="AC49" s="10">
        <v>6298.9129999999996</v>
      </c>
      <c r="AD49" s="19">
        <v>14487.499900000001</v>
      </c>
    </row>
    <row r="50" spans="15:30" x14ac:dyDescent="0.35">
      <c r="O50" s="20">
        <v>8</v>
      </c>
      <c r="P50" t="s">
        <v>137</v>
      </c>
      <c r="Q50" t="s">
        <v>138</v>
      </c>
      <c r="R50" t="s">
        <v>123</v>
      </c>
      <c r="S50" s="10">
        <v>19</v>
      </c>
      <c r="T50" t="s">
        <v>5</v>
      </c>
      <c r="U50" s="10">
        <v>16076.8892</v>
      </c>
      <c r="V50" s="19">
        <v>305460.89480000001</v>
      </c>
      <c r="X50" s="20" t="s">
        <v>92</v>
      </c>
      <c r="Y50" t="s">
        <v>93</v>
      </c>
      <c r="Z50" t="s">
        <v>67</v>
      </c>
      <c r="AA50" s="10">
        <v>61</v>
      </c>
      <c r="AB50" t="s">
        <v>94</v>
      </c>
      <c r="AC50" s="10">
        <v>11800.426299999999</v>
      </c>
      <c r="AD50" s="19">
        <v>719826.00430000003</v>
      </c>
    </row>
    <row r="51" spans="15:30" x14ac:dyDescent="0.35">
      <c r="O51" s="20">
        <v>9</v>
      </c>
      <c r="P51" t="s">
        <v>139</v>
      </c>
      <c r="Q51" t="s">
        <v>140</v>
      </c>
      <c r="R51" t="s">
        <v>123</v>
      </c>
      <c r="S51" s="10">
        <v>3</v>
      </c>
      <c r="T51" t="s">
        <v>5</v>
      </c>
      <c r="U51" s="10">
        <v>42240.963900000002</v>
      </c>
      <c r="V51" s="19">
        <v>126722.89169999999</v>
      </c>
      <c r="X51" s="20" t="s">
        <v>518</v>
      </c>
      <c r="Y51" t="s">
        <v>519</v>
      </c>
      <c r="Z51" t="s">
        <v>67</v>
      </c>
      <c r="AA51" s="10">
        <v>3</v>
      </c>
      <c r="AB51" t="s">
        <v>98</v>
      </c>
      <c r="AC51" s="10">
        <v>18000</v>
      </c>
      <c r="AD51" s="19">
        <v>54000</v>
      </c>
    </row>
    <row r="52" spans="15:30" x14ac:dyDescent="0.35">
      <c r="O52" s="20">
        <v>10</v>
      </c>
      <c r="P52" t="s">
        <v>141</v>
      </c>
      <c r="Q52" t="s">
        <v>142</v>
      </c>
      <c r="R52" t="s">
        <v>123</v>
      </c>
      <c r="S52" s="10">
        <v>6</v>
      </c>
      <c r="T52" t="s">
        <v>5</v>
      </c>
      <c r="U52" s="10">
        <v>41769.568899999998</v>
      </c>
      <c r="V52" s="19">
        <v>250617.41339999999</v>
      </c>
      <c r="X52" s="20" t="s">
        <v>100</v>
      </c>
      <c r="Y52" t="s">
        <v>101</v>
      </c>
      <c r="Z52" t="s">
        <v>67</v>
      </c>
      <c r="AA52" s="10">
        <v>2</v>
      </c>
      <c r="AB52" t="s">
        <v>87</v>
      </c>
      <c r="AC52" s="10">
        <v>8600</v>
      </c>
      <c r="AD52" s="19">
        <v>17200</v>
      </c>
    </row>
    <row r="53" spans="15:30" x14ac:dyDescent="0.35">
      <c r="O53" s="20">
        <v>11</v>
      </c>
      <c r="P53" t="s">
        <v>143</v>
      </c>
      <c r="Q53" t="s">
        <v>144</v>
      </c>
      <c r="R53" t="s">
        <v>123</v>
      </c>
      <c r="S53" s="10">
        <v>5</v>
      </c>
      <c r="T53" t="s">
        <v>5</v>
      </c>
      <c r="U53" s="10">
        <v>5000</v>
      </c>
      <c r="V53" s="19">
        <v>25000</v>
      </c>
      <c r="X53" s="20" t="s">
        <v>254</v>
      </c>
      <c r="Y53" t="s">
        <v>255</v>
      </c>
      <c r="Z53" t="s">
        <v>67</v>
      </c>
      <c r="AA53" s="10">
        <v>0.45</v>
      </c>
      <c r="AB53" t="s">
        <v>5</v>
      </c>
      <c r="AC53" s="10">
        <v>34500</v>
      </c>
      <c r="AD53" s="19">
        <v>15525</v>
      </c>
    </row>
    <row r="54" spans="15:30" x14ac:dyDescent="0.35">
      <c r="O54" s="20">
        <v>12</v>
      </c>
      <c r="P54" t="s">
        <v>145</v>
      </c>
      <c r="Q54" t="s">
        <v>146</v>
      </c>
      <c r="R54" t="s">
        <v>123</v>
      </c>
      <c r="S54" s="10">
        <v>145</v>
      </c>
      <c r="T54" t="s">
        <v>5</v>
      </c>
      <c r="U54" s="10">
        <v>4604.1441999999997</v>
      </c>
      <c r="V54" s="19">
        <v>667600.90899999999</v>
      </c>
      <c r="X54" s="20" t="s">
        <v>628</v>
      </c>
      <c r="Y54" t="s">
        <v>629</v>
      </c>
      <c r="Z54" t="s">
        <v>67</v>
      </c>
      <c r="AA54" s="10">
        <v>1</v>
      </c>
      <c r="AB54" t="s">
        <v>20</v>
      </c>
      <c r="AC54" s="10">
        <v>28500</v>
      </c>
      <c r="AD54" s="19">
        <v>28500</v>
      </c>
    </row>
    <row r="55" spans="15:30" x14ac:dyDescent="0.35">
      <c r="O55" s="20">
        <v>13</v>
      </c>
      <c r="P55" t="s">
        <v>147</v>
      </c>
      <c r="Q55" t="s">
        <v>148</v>
      </c>
      <c r="R55" t="s">
        <v>123</v>
      </c>
      <c r="S55" s="10">
        <v>0.5</v>
      </c>
      <c r="T55" t="s">
        <v>5</v>
      </c>
      <c r="U55" s="10">
        <v>15000</v>
      </c>
      <c r="V55" s="19">
        <v>7500</v>
      </c>
      <c r="X55" s="20" t="s">
        <v>104</v>
      </c>
      <c r="Y55" t="s">
        <v>105</v>
      </c>
      <c r="Z55" t="s">
        <v>67</v>
      </c>
      <c r="AA55" s="10">
        <v>2.6</v>
      </c>
      <c r="AB55" t="s">
        <v>5</v>
      </c>
      <c r="AC55" s="10">
        <v>6250</v>
      </c>
      <c r="AD55" s="19">
        <v>16250</v>
      </c>
    </row>
    <row r="56" spans="15:30" x14ac:dyDescent="0.35">
      <c r="O56" s="20">
        <v>14</v>
      </c>
      <c r="P56" t="s">
        <v>673</v>
      </c>
      <c r="Q56" t="s">
        <v>674</v>
      </c>
      <c r="R56" t="s">
        <v>151</v>
      </c>
      <c r="S56" s="10">
        <v>118</v>
      </c>
      <c r="T56" t="s">
        <v>267</v>
      </c>
      <c r="U56" s="10">
        <v>186565.7481</v>
      </c>
      <c r="V56" s="19">
        <v>22014758.275800001</v>
      </c>
      <c r="X56" s="20" t="s">
        <v>107</v>
      </c>
      <c r="Y56" t="s">
        <v>108</v>
      </c>
      <c r="Z56" t="s">
        <v>67</v>
      </c>
      <c r="AA56" s="10">
        <v>1.5</v>
      </c>
      <c r="AB56" t="s">
        <v>5</v>
      </c>
      <c r="AC56" s="10">
        <v>16224.8441</v>
      </c>
      <c r="AD56" s="19">
        <v>24337.266149999999</v>
      </c>
    </row>
    <row r="57" spans="15:30" x14ac:dyDescent="0.35">
      <c r="O57" s="20">
        <v>15</v>
      </c>
      <c r="P57" t="s">
        <v>675</v>
      </c>
      <c r="Q57" t="s">
        <v>676</v>
      </c>
      <c r="R57" t="s">
        <v>151</v>
      </c>
      <c r="S57" s="10">
        <v>4</v>
      </c>
      <c r="T57" t="s">
        <v>677</v>
      </c>
      <c r="U57" s="10">
        <v>161950</v>
      </c>
      <c r="V57" s="19">
        <v>647800</v>
      </c>
      <c r="X57" s="20" t="s">
        <v>630</v>
      </c>
      <c r="Y57" t="s">
        <v>631</v>
      </c>
      <c r="Z57" t="s">
        <v>67</v>
      </c>
      <c r="AA57" s="10">
        <v>7</v>
      </c>
      <c r="AB57" t="s">
        <v>20</v>
      </c>
      <c r="AC57" s="10">
        <v>3565.835</v>
      </c>
      <c r="AD57" s="19">
        <v>24960.845000000001</v>
      </c>
    </row>
    <row r="58" spans="15:30" x14ac:dyDescent="0.35">
      <c r="O58" s="20">
        <v>16</v>
      </c>
      <c r="P58" t="s">
        <v>272</v>
      </c>
      <c r="Q58" t="s">
        <v>273</v>
      </c>
      <c r="R58" t="s">
        <v>151</v>
      </c>
      <c r="S58">
        <v>5</v>
      </c>
      <c r="T58" t="s">
        <v>5</v>
      </c>
      <c r="U58">
        <v>2771.6415000000002</v>
      </c>
      <c r="V58" s="19">
        <v>13858.2075</v>
      </c>
      <c r="X58" s="20" t="s">
        <v>364</v>
      </c>
      <c r="Y58" t="s">
        <v>365</v>
      </c>
      <c r="Z58" t="s">
        <v>67</v>
      </c>
      <c r="AA58" s="10">
        <v>4.4000000000000004</v>
      </c>
      <c r="AB58" t="s">
        <v>52</v>
      </c>
      <c r="AC58" s="10">
        <v>29168.714285714283</v>
      </c>
      <c r="AD58" s="19">
        <v>128342.342857</v>
      </c>
    </row>
    <row r="59" spans="15:30" ht="15" thickBot="1" x14ac:dyDescent="0.4">
      <c r="O59" s="22" t="s">
        <v>223</v>
      </c>
      <c r="P59" s="23" t="s">
        <v>223</v>
      </c>
      <c r="Q59" s="23" t="s">
        <v>223</v>
      </c>
      <c r="R59" s="23" t="s">
        <v>223</v>
      </c>
      <c r="S59" s="23" t="s">
        <v>223</v>
      </c>
      <c r="T59" s="23" t="s">
        <v>223</v>
      </c>
      <c r="U59" s="23" t="s">
        <v>224</v>
      </c>
      <c r="V59" s="24">
        <v>24914379.123500001</v>
      </c>
      <c r="X59" s="20" t="s">
        <v>258</v>
      </c>
      <c r="Y59" t="s">
        <v>259</v>
      </c>
      <c r="Z59" t="s">
        <v>67</v>
      </c>
      <c r="AA59" s="10">
        <v>0.5</v>
      </c>
      <c r="AB59" t="s">
        <v>5</v>
      </c>
      <c r="AC59" s="10">
        <v>24500</v>
      </c>
      <c r="AD59" s="19">
        <v>12250</v>
      </c>
    </row>
    <row r="60" spans="15:30" x14ac:dyDescent="0.35">
      <c r="X60" s="20" t="s">
        <v>587</v>
      </c>
      <c r="Y60" t="s">
        <v>588</v>
      </c>
      <c r="Z60" t="s">
        <v>67</v>
      </c>
      <c r="AA60" s="10">
        <v>2</v>
      </c>
      <c r="AB60" t="s">
        <v>5</v>
      </c>
      <c r="AC60" s="10">
        <v>6250</v>
      </c>
      <c r="AD60" s="19">
        <v>12500</v>
      </c>
    </row>
    <row r="61" spans="15:30" ht="15" thickBot="1" x14ac:dyDescent="0.4">
      <c r="X61" s="20" t="s">
        <v>681</v>
      </c>
      <c r="Y61" t="s">
        <v>682</v>
      </c>
      <c r="Z61" t="s">
        <v>67</v>
      </c>
      <c r="AA61">
        <v>3</v>
      </c>
      <c r="AB61" t="s">
        <v>52</v>
      </c>
      <c r="AC61">
        <v>4000</v>
      </c>
      <c r="AD61" s="19">
        <v>12000</v>
      </c>
    </row>
    <row r="62" spans="15:30" x14ac:dyDescent="0.35">
      <c r="O62" s="84" t="s">
        <v>0</v>
      </c>
      <c r="P62" s="85"/>
      <c r="Q62" s="85"/>
      <c r="R62" s="85"/>
      <c r="S62" s="85"/>
      <c r="T62" s="16"/>
      <c r="U62" s="16"/>
      <c r="V62" s="17"/>
      <c r="X62" s="20" t="s">
        <v>290</v>
      </c>
      <c r="Y62" t="s">
        <v>291</v>
      </c>
      <c r="Z62" t="s">
        <v>165</v>
      </c>
      <c r="AA62" s="10">
        <v>6</v>
      </c>
      <c r="AB62" t="s">
        <v>20</v>
      </c>
      <c r="AC62" s="10">
        <v>12555.975609756097</v>
      </c>
      <c r="AD62" s="19">
        <v>75335.853659</v>
      </c>
    </row>
    <row r="63" spans="15:30" x14ac:dyDescent="0.35">
      <c r="O63" s="82" t="s">
        <v>1</v>
      </c>
      <c r="P63" s="87"/>
      <c r="Q63" s="87"/>
      <c r="R63" s="87"/>
      <c r="S63" s="87"/>
      <c r="V63" s="19"/>
      <c r="X63" s="20" t="s">
        <v>296</v>
      </c>
      <c r="Y63" t="s">
        <v>297</v>
      </c>
      <c r="Z63" t="s">
        <v>165</v>
      </c>
      <c r="AA63" s="10">
        <v>2</v>
      </c>
      <c r="AB63" t="s">
        <v>20</v>
      </c>
      <c r="AC63" s="10">
        <v>14005.390000000001</v>
      </c>
      <c r="AD63" s="19">
        <v>28010.78</v>
      </c>
    </row>
    <row r="64" spans="15:30" x14ac:dyDescent="0.35">
      <c r="O64" s="20"/>
      <c r="V64" s="19"/>
      <c r="X64" s="20" t="s">
        <v>547</v>
      </c>
      <c r="Y64" t="s">
        <v>548</v>
      </c>
      <c r="Z64" t="s">
        <v>165</v>
      </c>
      <c r="AA64" s="10">
        <v>1</v>
      </c>
      <c r="AB64" t="s">
        <v>20</v>
      </c>
      <c r="AC64" s="10">
        <v>10028</v>
      </c>
      <c r="AD64" s="19">
        <v>10028</v>
      </c>
    </row>
    <row r="65" spans="15:30" x14ac:dyDescent="0.35">
      <c r="O65" s="82" t="s">
        <v>10</v>
      </c>
      <c r="P65" s="87" t="s">
        <v>11</v>
      </c>
      <c r="Q65" t="s">
        <v>683</v>
      </c>
      <c r="V65" s="19"/>
      <c r="X65" s="20" t="s">
        <v>187</v>
      </c>
      <c r="Y65" t="s">
        <v>188</v>
      </c>
      <c r="Z65" t="s">
        <v>182</v>
      </c>
      <c r="AA65" s="10">
        <v>38</v>
      </c>
      <c r="AB65" t="s">
        <v>20</v>
      </c>
      <c r="AC65" s="10">
        <v>4973.0453021276589</v>
      </c>
      <c r="AD65" s="19">
        <v>188975.72148099999</v>
      </c>
    </row>
    <row r="66" spans="15:30" x14ac:dyDescent="0.35">
      <c r="O66" s="82" t="s">
        <v>16</v>
      </c>
      <c r="P66" s="87" t="s">
        <v>11</v>
      </c>
      <c r="Q66" t="s">
        <v>17</v>
      </c>
      <c r="V66" s="19"/>
      <c r="X66" s="20" t="s">
        <v>684</v>
      </c>
      <c r="Y66" t="s">
        <v>685</v>
      </c>
      <c r="Z66" t="s">
        <v>182</v>
      </c>
      <c r="AA66" s="10">
        <v>13</v>
      </c>
      <c r="AB66" t="s">
        <v>20</v>
      </c>
      <c r="AC66" s="10">
        <v>134950.5</v>
      </c>
      <c r="AD66" s="19">
        <v>1754356.5</v>
      </c>
    </row>
    <row r="67" spans="15:30" x14ac:dyDescent="0.35">
      <c r="O67" s="82" t="s">
        <v>21</v>
      </c>
      <c r="P67" s="87" t="s">
        <v>11</v>
      </c>
      <c r="Q67" t="s">
        <v>664</v>
      </c>
      <c r="V67" s="19"/>
      <c r="X67" s="20" t="s">
        <v>553</v>
      </c>
      <c r="Y67" t="s">
        <v>554</v>
      </c>
      <c r="Z67" t="s">
        <v>182</v>
      </c>
      <c r="AA67" s="10">
        <v>8</v>
      </c>
      <c r="AB67" t="s">
        <v>20</v>
      </c>
      <c r="AC67" s="10">
        <v>20000</v>
      </c>
      <c r="AD67" s="19">
        <v>160000</v>
      </c>
    </row>
    <row r="68" spans="15:30" x14ac:dyDescent="0.35">
      <c r="O68" s="82" t="s">
        <v>26</v>
      </c>
      <c r="P68" s="87" t="s">
        <v>11</v>
      </c>
      <c r="Q68" t="s">
        <v>686</v>
      </c>
      <c r="V68" s="19"/>
      <c r="X68" s="20" t="s">
        <v>474</v>
      </c>
      <c r="Y68" t="s">
        <v>475</v>
      </c>
      <c r="Z68" t="s">
        <v>192</v>
      </c>
      <c r="AA68" s="10">
        <v>1</v>
      </c>
      <c r="AB68" t="s">
        <v>20</v>
      </c>
      <c r="AC68" s="10">
        <v>8750</v>
      </c>
      <c r="AD68" s="19">
        <v>8750</v>
      </c>
    </row>
    <row r="69" spans="15:30" x14ac:dyDescent="0.35">
      <c r="O69" s="82" t="s">
        <v>31</v>
      </c>
      <c r="P69" s="87" t="s">
        <v>11</v>
      </c>
      <c r="Q69" t="s">
        <v>109</v>
      </c>
      <c r="V69" s="19"/>
      <c r="X69" s="20" t="s">
        <v>193</v>
      </c>
      <c r="Y69" t="s">
        <v>194</v>
      </c>
      <c r="Z69" t="s">
        <v>192</v>
      </c>
      <c r="AA69" s="10">
        <v>2</v>
      </c>
      <c r="AB69" t="s">
        <v>20</v>
      </c>
      <c r="AC69" s="10">
        <v>3590</v>
      </c>
      <c r="AD69" s="19">
        <v>7180</v>
      </c>
    </row>
    <row r="70" spans="15:30" x14ac:dyDescent="0.35">
      <c r="O70" s="82" t="s">
        <v>35</v>
      </c>
      <c r="P70" s="87" t="s">
        <v>11</v>
      </c>
      <c r="Q70" t="s">
        <v>687</v>
      </c>
      <c r="V70" s="19"/>
      <c r="X70" s="20" t="s">
        <v>442</v>
      </c>
      <c r="Y70" t="s">
        <v>443</v>
      </c>
      <c r="Z70" t="s">
        <v>192</v>
      </c>
      <c r="AA70" s="10">
        <v>48</v>
      </c>
      <c r="AB70" t="s">
        <v>20</v>
      </c>
      <c r="AC70" s="10">
        <v>18480</v>
      </c>
      <c r="AD70" s="19">
        <v>887040</v>
      </c>
    </row>
    <row r="71" spans="15:30" x14ac:dyDescent="0.35">
      <c r="O71" s="20"/>
      <c r="V71" s="19"/>
      <c r="X71" s="20" t="s">
        <v>333</v>
      </c>
      <c r="Y71" t="s">
        <v>334</v>
      </c>
      <c r="Z71" t="s">
        <v>192</v>
      </c>
      <c r="AA71" s="10">
        <v>8</v>
      </c>
      <c r="AB71" t="s">
        <v>20</v>
      </c>
      <c r="AC71" s="10">
        <v>3666.67</v>
      </c>
      <c r="AD71" s="19">
        <v>29333.360000000001</v>
      </c>
    </row>
    <row r="72" spans="15:30" x14ac:dyDescent="0.35">
      <c r="O72" s="20" t="s">
        <v>42</v>
      </c>
      <c r="P72" t="s">
        <v>43</v>
      </c>
      <c r="Q72" t="s">
        <v>44</v>
      </c>
      <c r="R72" t="s">
        <v>45</v>
      </c>
      <c r="S72" t="s">
        <v>46</v>
      </c>
      <c r="T72" t="s">
        <v>47</v>
      </c>
      <c r="U72" t="s">
        <v>48</v>
      </c>
      <c r="V72" s="19" t="s">
        <v>49</v>
      </c>
      <c r="X72" s="20" t="s">
        <v>688</v>
      </c>
      <c r="Y72" t="s">
        <v>689</v>
      </c>
      <c r="Z72" t="s">
        <v>192</v>
      </c>
      <c r="AA72" s="10">
        <v>3</v>
      </c>
      <c r="AB72" t="s">
        <v>20</v>
      </c>
      <c r="AC72" s="10">
        <v>12083.37</v>
      </c>
      <c r="AD72" s="19">
        <v>36250.11</v>
      </c>
    </row>
    <row r="73" spans="15:30" x14ac:dyDescent="0.35">
      <c r="O73" s="20">
        <v>1</v>
      </c>
      <c r="P73" t="s">
        <v>65</v>
      </c>
      <c r="Q73" t="s">
        <v>66</v>
      </c>
      <c r="R73" t="s">
        <v>67</v>
      </c>
      <c r="S73" s="10">
        <v>2</v>
      </c>
      <c r="T73" t="s">
        <v>20</v>
      </c>
      <c r="U73" s="10">
        <v>320</v>
      </c>
      <c r="V73" s="19">
        <v>640</v>
      </c>
      <c r="X73" s="20" t="s">
        <v>690</v>
      </c>
      <c r="Y73" t="s">
        <v>691</v>
      </c>
      <c r="Z73" t="s">
        <v>192</v>
      </c>
      <c r="AA73" s="10">
        <v>1</v>
      </c>
      <c r="AB73" t="s">
        <v>20</v>
      </c>
      <c r="AC73" s="10">
        <v>23520</v>
      </c>
      <c r="AD73" s="19">
        <v>23520</v>
      </c>
    </row>
    <row r="74" spans="15:30" ht="15" thickBot="1" x14ac:dyDescent="0.4">
      <c r="O74" s="20">
        <v>2</v>
      </c>
      <c r="P74" t="s">
        <v>68</v>
      </c>
      <c r="Q74" t="s">
        <v>69</v>
      </c>
      <c r="R74" t="s">
        <v>67</v>
      </c>
      <c r="S74" s="10">
        <v>0.01</v>
      </c>
      <c r="T74" t="s">
        <v>5</v>
      </c>
      <c r="U74" s="10">
        <v>18750</v>
      </c>
      <c r="V74" s="19">
        <v>187.5</v>
      </c>
      <c r="X74" s="22" t="s">
        <v>692</v>
      </c>
      <c r="Y74" s="23" t="s">
        <v>693</v>
      </c>
      <c r="Z74" s="23" t="s">
        <v>192</v>
      </c>
      <c r="AA74" s="23">
        <v>8</v>
      </c>
      <c r="AB74" s="23" t="s">
        <v>20</v>
      </c>
      <c r="AC74" s="23">
        <v>13316.665555557691</v>
      </c>
      <c r="AD74" s="24">
        <v>106533.324444</v>
      </c>
    </row>
    <row r="75" spans="15:30" x14ac:dyDescent="0.35">
      <c r="O75" s="20">
        <v>3</v>
      </c>
      <c r="P75" t="s">
        <v>70</v>
      </c>
      <c r="Q75" t="s">
        <v>71</v>
      </c>
      <c r="R75" t="s">
        <v>67</v>
      </c>
      <c r="S75" s="10">
        <v>2</v>
      </c>
      <c r="T75" t="s">
        <v>5</v>
      </c>
      <c r="U75" s="10">
        <v>9000</v>
      </c>
      <c r="V75" s="19">
        <v>18000</v>
      </c>
    </row>
    <row r="76" spans="15:30" x14ac:dyDescent="0.35">
      <c r="O76" s="20">
        <v>4</v>
      </c>
      <c r="P76" t="s">
        <v>230</v>
      </c>
      <c r="Q76" t="s">
        <v>231</v>
      </c>
      <c r="R76" t="s">
        <v>67</v>
      </c>
      <c r="S76" s="10">
        <v>5</v>
      </c>
      <c r="T76" t="s">
        <v>5</v>
      </c>
      <c r="U76" s="10">
        <v>9000</v>
      </c>
      <c r="V76" s="19">
        <v>45000</v>
      </c>
    </row>
    <row r="77" spans="15:30" x14ac:dyDescent="0.35">
      <c r="O77" s="20">
        <v>5</v>
      </c>
      <c r="P77" t="s">
        <v>72</v>
      </c>
      <c r="Q77" t="s">
        <v>73</v>
      </c>
      <c r="R77" t="s">
        <v>67</v>
      </c>
      <c r="S77" s="10">
        <v>11</v>
      </c>
      <c r="T77" t="s">
        <v>74</v>
      </c>
      <c r="U77" s="10">
        <v>3000</v>
      </c>
      <c r="V77" s="19">
        <v>33000</v>
      </c>
    </row>
    <row r="78" spans="15:30" x14ac:dyDescent="0.35">
      <c r="O78" s="20">
        <v>6</v>
      </c>
      <c r="P78" t="s">
        <v>77</v>
      </c>
      <c r="Q78" t="s">
        <v>78</v>
      </c>
      <c r="R78" t="s">
        <v>67</v>
      </c>
      <c r="S78" s="10">
        <v>1</v>
      </c>
      <c r="T78" t="s">
        <v>20</v>
      </c>
      <c r="U78" s="10">
        <v>6500</v>
      </c>
      <c r="V78" s="19">
        <v>6500</v>
      </c>
    </row>
    <row r="79" spans="15:30" x14ac:dyDescent="0.35">
      <c r="O79" s="20">
        <v>7</v>
      </c>
      <c r="P79" t="s">
        <v>484</v>
      </c>
      <c r="Q79" t="s">
        <v>485</v>
      </c>
      <c r="R79" t="s">
        <v>67</v>
      </c>
      <c r="S79" s="10">
        <v>1</v>
      </c>
      <c r="T79" t="s">
        <v>486</v>
      </c>
      <c r="U79" s="10">
        <v>8500</v>
      </c>
      <c r="V79" s="19">
        <v>8500</v>
      </c>
    </row>
    <row r="80" spans="15:30" x14ac:dyDescent="0.35">
      <c r="O80" s="20">
        <v>8</v>
      </c>
      <c r="P80" t="s">
        <v>357</v>
      </c>
      <c r="Q80" t="s">
        <v>358</v>
      </c>
      <c r="R80" t="s">
        <v>67</v>
      </c>
      <c r="S80" s="10">
        <v>0.3</v>
      </c>
      <c r="T80" t="s">
        <v>5</v>
      </c>
      <c r="U80" s="10">
        <v>32500</v>
      </c>
      <c r="V80" s="19">
        <v>9750</v>
      </c>
    </row>
    <row r="81" spans="15:22" x14ac:dyDescent="0.35">
      <c r="O81" s="20">
        <v>9</v>
      </c>
      <c r="P81" t="s">
        <v>624</v>
      </c>
      <c r="Q81" t="s">
        <v>625</v>
      </c>
      <c r="R81" t="s">
        <v>67</v>
      </c>
      <c r="S81" s="10">
        <v>0.7</v>
      </c>
      <c r="T81" t="s">
        <v>5</v>
      </c>
      <c r="U81" s="10">
        <v>13000</v>
      </c>
      <c r="V81" s="19">
        <v>9100</v>
      </c>
    </row>
    <row r="82" spans="15:22" x14ac:dyDescent="0.35">
      <c r="O82" s="20">
        <v>10</v>
      </c>
      <c r="P82" t="s">
        <v>395</v>
      </c>
      <c r="Q82" t="s">
        <v>396</v>
      </c>
      <c r="R82" t="s">
        <v>67</v>
      </c>
      <c r="S82" s="10">
        <v>0.5</v>
      </c>
      <c r="T82" t="s">
        <v>216</v>
      </c>
      <c r="U82" s="10">
        <v>6000</v>
      </c>
      <c r="V82" s="19">
        <v>3000</v>
      </c>
    </row>
    <row r="83" spans="15:22" x14ac:dyDescent="0.35">
      <c r="O83" s="20">
        <v>11</v>
      </c>
      <c r="P83" t="s">
        <v>83</v>
      </c>
      <c r="Q83" t="s">
        <v>84</v>
      </c>
      <c r="R83" t="s">
        <v>67</v>
      </c>
      <c r="S83" s="10">
        <v>2</v>
      </c>
      <c r="T83" t="s">
        <v>20</v>
      </c>
      <c r="U83" s="10">
        <v>7875</v>
      </c>
      <c r="V83" s="19">
        <v>15750</v>
      </c>
    </row>
    <row r="84" spans="15:22" x14ac:dyDescent="0.35">
      <c r="O84" s="20">
        <v>12</v>
      </c>
      <c r="P84" t="s">
        <v>85</v>
      </c>
      <c r="Q84" t="s">
        <v>86</v>
      </c>
      <c r="R84" t="s">
        <v>67</v>
      </c>
      <c r="S84" s="10">
        <v>1.5</v>
      </c>
      <c r="T84" t="s">
        <v>87</v>
      </c>
      <c r="U84" s="10">
        <v>18500</v>
      </c>
      <c r="V84" s="19">
        <v>27750</v>
      </c>
    </row>
    <row r="85" spans="15:22" x14ac:dyDescent="0.35">
      <c r="O85" s="20">
        <v>13</v>
      </c>
      <c r="P85" t="s">
        <v>242</v>
      </c>
      <c r="Q85" t="s">
        <v>243</v>
      </c>
      <c r="R85" t="s">
        <v>67</v>
      </c>
      <c r="S85" s="10">
        <v>2.5</v>
      </c>
      <c r="T85" t="s">
        <v>87</v>
      </c>
      <c r="U85" s="10">
        <v>14500</v>
      </c>
      <c r="V85" s="19">
        <v>36250</v>
      </c>
    </row>
    <row r="86" spans="15:22" x14ac:dyDescent="0.35">
      <c r="O86" s="20">
        <v>14</v>
      </c>
      <c r="P86" t="s">
        <v>244</v>
      </c>
      <c r="Q86" t="s">
        <v>245</v>
      </c>
      <c r="R86" t="s">
        <v>67</v>
      </c>
      <c r="S86" s="10">
        <v>1</v>
      </c>
      <c r="T86" t="s">
        <v>20</v>
      </c>
      <c r="U86" s="10">
        <v>6000</v>
      </c>
      <c r="V86" s="19">
        <v>6000</v>
      </c>
    </row>
    <row r="87" spans="15:22" x14ac:dyDescent="0.35">
      <c r="O87" s="20">
        <v>15</v>
      </c>
      <c r="P87" t="s">
        <v>246</v>
      </c>
      <c r="Q87" t="s">
        <v>247</v>
      </c>
      <c r="R87" t="s">
        <v>67</v>
      </c>
      <c r="S87" s="10">
        <v>6</v>
      </c>
      <c r="T87" t="s">
        <v>5</v>
      </c>
      <c r="U87" s="10">
        <v>1485.7143000000001</v>
      </c>
      <c r="V87" s="19">
        <v>8914.2857999999997</v>
      </c>
    </row>
    <row r="88" spans="15:22" x14ac:dyDescent="0.35">
      <c r="O88" s="20">
        <v>16</v>
      </c>
      <c r="P88" t="s">
        <v>327</v>
      </c>
      <c r="Q88" t="s">
        <v>328</v>
      </c>
      <c r="R88" t="s">
        <v>67</v>
      </c>
      <c r="S88" s="10">
        <v>2.2999999999999998</v>
      </c>
      <c r="T88" t="s">
        <v>5</v>
      </c>
      <c r="U88" s="10">
        <v>6298.9129999999996</v>
      </c>
      <c r="V88" s="19">
        <v>14487.499900000001</v>
      </c>
    </row>
    <row r="89" spans="15:22" x14ac:dyDescent="0.35">
      <c r="O89" s="20">
        <v>17</v>
      </c>
      <c r="P89" t="s">
        <v>92</v>
      </c>
      <c r="Q89" t="s">
        <v>93</v>
      </c>
      <c r="R89" t="s">
        <v>67</v>
      </c>
      <c r="S89" s="10">
        <v>61</v>
      </c>
      <c r="T89" t="s">
        <v>94</v>
      </c>
      <c r="U89" s="10">
        <v>11800.426299999999</v>
      </c>
      <c r="V89" s="19">
        <v>719826.00430000003</v>
      </c>
    </row>
    <row r="90" spans="15:22" x14ac:dyDescent="0.35">
      <c r="O90" s="20">
        <v>18</v>
      </c>
      <c r="P90" t="s">
        <v>518</v>
      </c>
      <c r="Q90" t="s">
        <v>519</v>
      </c>
      <c r="R90" t="s">
        <v>67</v>
      </c>
      <c r="S90" s="10">
        <v>3</v>
      </c>
      <c r="T90" t="s">
        <v>98</v>
      </c>
      <c r="U90" s="10">
        <v>18000</v>
      </c>
      <c r="V90" s="19">
        <v>54000</v>
      </c>
    </row>
    <row r="91" spans="15:22" x14ac:dyDescent="0.35">
      <c r="O91" s="20">
        <v>19</v>
      </c>
      <c r="P91" t="s">
        <v>100</v>
      </c>
      <c r="Q91" t="s">
        <v>101</v>
      </c>
      <c r="R91" t="s">
        <v>67</v>
      </c>
      <c r="S91" s="10">
        <v>2</v>
      </c>
      <c r="T91" t="s">
        <v>87</v>
      </c>
      <c r="U91" s="10">
        <v>8600</v>
      </c>
      <c r="V91" s="19">
        <v>17200</v>
      </c>
    </row>
    <row r="92" spans="15:22" x14ac:dyDescent="0.35">
      <c r="O92" s="20">
        <v>20</v>
      </c>
      <c r="P92" t="s">
        <v>254</v>
      </c>
      <c r="Q92" t="s">
        <v>255</v>
      </c>
      <c r="R92" t="s">
        <v>67</v>
      </c>
      <c r="S92" s="10">
        <v>0.45</v>
      </c>
      <c r="T92" t="s">
        <v>5</v>
      </c>
      <c r="U92" s="10">
        <v>34500</v>
      </c>
      <c r="V92" s="19">
        <v>15525</v>
      </c>
    </row>
    <row r="93" spans="15:22" x14ac:dyDescent="0.35">
      <c r="O93" s="20">
        <v>21</v>
      </c>
      <c r="P93" t="s">
        <v>628</v>
      </c>
      <c r="Q93" t="s">
        <v>629</v>
      </c>
      <c r="R93" t="s">
        <v>67</v>
      </c>
      <c r="S93" s="10">
        <v>1</v>
      </c>
      <c r="T93" t="s">
        <v>20</v>
      </c>
      <c r="U93" s="10">
        <v>28500</v>
      </c>
      <c r="V93" s="19">
        <v>28500</v>
      </c>
    </row>
    <row r="94" spans="15:22" x14ac:dyDescent="0.35">
      <c r="O94" s="20">
        <v>22</v>
      </c>
      <c r="P94" t="s">
        <v>104</v>
      </c>
      <c r="Q94" t="s">
        <v>105</v>
      </c>
      <c r="R94" t="s">
        <v>67</v>
      </c>
      <c r="S94" s="10">
        <v>2.6</v>
      </c>
      <c r="T94" t="s">
        <v>5</v>
      </c>
      <c r="U94" s="10">
        <v>6250</v>
      </c>
      <c r="V94" s="19">
        <v>16250</v>
      </c>
    </row>
    <row r="95" spans="15:22" x14ac:dyDescent="0.35">
      <c r="O95" s="20">
        <v>23</v>
      </c>
      <c r="P95" t="s">
        <v>107</v>
      </c>
      <c r="Q95" t="s">
        <v>108</v>
      </c>
      <c r="R95" t="s">
        <v>67</v>
      </c>
      <c r="S95" s="10">
        <v>1.5</v>
      </c>
      <c r="T95" t="s">
        <v>5</v>
      </c>
      <c r="U95" s="10">
        <v>16224.8441</v>
      </c>
      <c r="V95" s="19">
        <v>24337.266149999999</v>
      </c>
    </row>
    <row r="96" spans="15:22" x14ac:dyDescent="0.35">
      <c r="O96" s="20">
        <v>24</v>
      </c>
      <c r="P96" t="s">
        <v>630</v>
      </c>
      <c r="Q96" t="s">
        <v>631</v>
      </c>
      <c r="R96" t="s">
        <v>67</v>
      </c>
      <c r="S96" s="10">
        <v>7</v>
      </c>
      <c r="T96" t="s">
        <v>20</v>
      </c>
      <c r="U96" s="10">
        <v>3565.835</v>
      </c>
      <c r="V96" s="19">
        <v>24960.845000000001</v>
      </c>
    </row>
    <row r="97" spans="15:22" x14ac:dyDescent="0.35">
      <c r="O97" s="20">
        <v>25</v>
      </c>
      <c r="P97" t="s">
        <v>364</v>
      </c>
      <c r="Q97" t="s">
        <v>365</v>
      </c>
      <c r="R97" t="s">
        <v>67</v>
      </c>
      <c r="S97" s="10">
        <v>4.4000000000000004</v>
      </c>
      <c r="T97" t="s">
        <v>52</v>
      </c>
      <c r="U97" s="10">
        <v>29168.714285714283</v>
      </c>
      <c r="V97" s="19">
        <v>128342.342857</v>
      </c>
    </row>
    <row r="98" spans="15:22" x14ac:dyDescent="0.35">
      <c r="O98" s="20">
        <v>26</v>
      </c>
      <c r="P98" t="s">
        <v>258</v>
      </c>
      <c r="Q98" t="s">
        <v>259</v>
      </c>
      <c r="R98" t="s">
        <v>67</v>
      </c>
      <c r="S98" s="10">
        <v>0.5</v>
      </c>
      <c r="T98" t="s">
        <v>5</v>
      </c>
      <c r="U98" s="10">
        <v>24500</v>
      </c>
      <c r="V98" s="19">
        <v>12250</v>
      </c>
    </row>
    <row r="99" spans="15:22" x14ac:dyDescent="0.35">
      <c r="O99" s="20">
        <v>27</v>
      </c>
      <c r="P99" t="s">
        <v>587</v>
      </c>
      <c r="Q99" t="s">
        <v>588</v>
      </c>
      <c r="R99" t="s">
        <v>67</v>
      </c>
      <c r="S99" s="10">
        <v>2</v>
      </c>
      <c r="T99" t="s">
        <v>5</v>
      </c>
      <c r="U99" s="10">
        <v>6250</v>
      </c>
      <c r="V99" s="19">
        <v>12500</v>
      </c>
    </row>
    <row r="100" spans="15:22" x14ac:dyDescent="0.35">
      <c r="O100" s="20">
        <v>28</v>
      </c>
      <c r="P100" t="s">
        <v>681</v>
      </c>
      <c r="Q100" t="s">
        <v>682</v>
      </c>
      <c r="R100" t="s">
        <v>67</v>
      </c>
      <c r="S100">
        <v>3</v>
      </c>
      <c r="T100" t="s">
        <v>52</v>
      </c>
      <c r="U100">
        <v>4000</v>
      </c>
      <c r="V100" s="19">
        <v>12000</v>
      </c>
    </row>
    <row r="101" spans="15:22" ht="15" thickBot="1" x14ac:dyDescent="0.4">
      <c r="O101" s="22" t="s">
        <v>223</v>
      </c>
      <c r="P101" s="23" t="s">
        <v>223</v>
      </c>
      <c r="Q101" s="23" t="s">
        <v>223</v>
      </c>
      <c r="R101" s="23" t="s">
        <v>223</v>
      </c>
      <c r="S101" s="23" t="s">
        <v>223</v>
      </c>
      <c r="T101" s="23" t="s">
        <v>223</v>
      </c>
      <c r="U101" s="23" t="s">
        <v>224</v>
      </c>
      <c r="V101" s="24">
        <v>1308520.744007</v>
      </c>
    </row>
    <row r="103" spans="15:22" ht="15" thickBot="1" x14ac:dyDescent="0.4"/>
    <row r="104" spans="15:22" x14ac:dyDescent="0.35">
      <c r="O104" s="84" t="s">
        <v>0</v>
      </c>
      <c r="P104" s="85"/>
      <c r="Q104" s="85"/>
      <c r="R104" s="85"/>
      <c r="S104" s="85"/>
      <c r="T104" s="16"/>
      <c r="U104" s="16"/>
      <c r="V104" s="17"/>
    </row>
    <row r="105" spans="15:22" x14ac:dyDescent="0.35">
      <c r="O105" s="82" t="s">
        <v>1</v>
      </c>
      <c r="P105" s="87"/>
      <c r="Q105" s="87"/>
      <c r="R105" s="87"/>
      <c r="S105" s="87"/>
      <c r="V105" s="19"/>
    </row>
    <row r="106" spans="15:22" x14ac:dyDescent="0.35">
      <c r="O106" s="20"/>
      <c r="V106" s="19"/>
    </row>
    <row r="107" spans="15:22" x14ac:dyDescent="0.35">
      <c r="O107" s="82" t="s">
        <v>10</v>
      </c>
      <c r="P107" s="87" t="s">
        <v>11</v>
      </c>
      <c r="Q107" t="s">
        <v>694</v>
      </c>
      <c r="V107" s="19"/>
    </row>
    <row r="108" spans="15:22" x14ac:dyDescent="0.35">
      <c r="O108" s="82" t="s">
        <v>16</v>
      </c>
      <c r="P108" s="87" t="s">
        <v>11</v>
      </c>
      <c r="Q108" t="s">
        <v>17</v>
      </c>
      <c r="V108" s="19"/>
    </row>
    <row r="109" spans="15:22" x14ac:dyDescent="0.35">
      <c r="O109" s="82" t="s">
        <v>21</v>
      </c>
      <c r="P109" s="87" t="s">
        <v>11</v>
      </c>
      <c r="Q109" t="s">
        <v>664</v>
      </c>
      <c r="V109" s="19"/>
    </row>
    <row r="110" spans="15:22" x14ac:dyDescent="0.35">
      <c r="O110" s="82" t="s">
        <v>26</v>
      </c>
      <c r="P110" s="87" t="s">
        <v>11</v>
      </c>
      <c r="Q110" t="s">
        <v>695</v>
      </c>
      <c r="V110" s="19"/>
    </row>
    <row r="111" spans="15:22" x14ac:dyDescent="0.35">
      <c r="O111" s="82" t="s">
        <v>31</v>
      </c>
      <c r="P111" s="87" t="s">
        <v>11</v>
      </c>
      <c r="Q111" t="s">
        <v>198</v>
      </c>
      <c r="V111" s="19"/>
    </row>
    <row r="112" spans="15:22" x14ac:dyDescent="0.35">
      <c r="O112" s="82" t="s">
        <v>35</v>
      </c>
      <c r="P112" s="87" t="s">
        <v>11</v>
      </c>
      <c r="Q112" t="s">
        <v>696</v>
      </c>
      <c r="V112" s="19"/>
    </row>
    <row r="113" spans="15:22" x14ac:dyDescent="0.35">
      <c r="O113" s="20"/>
      <c r="V113" s="19"/>
    </row>
    <row r="114" spans="15:22" x14ac:dyDescent="0.35">
      <c r="O114" s="20" t="s">
        <v>42</v>
      </c>
      <c r="P114" t="s">
        <v>43</v>
      </c>
      <c r="Q114" t="s">
        <v>44</v>
      </c>
      <c r="R114" t="s">
        <v>45</v>
      </c>
      <c r="S114" t="s">
        <v>46</v>
      </c>
      <c r="T114" t="s">
        <v>47</v>
      </c>
      <c r="U114" t="s">
        <v>48</v>
      </c>
      <c r="V114" s="19" t="s">
        <v>49</v>
      </c>
    </row>
    <row r="115" spans="15:22" x14ac:dyDescent="0.35">
      <c r="O115" s="20">
        <v>1</v>
      </c>
      <c r="P115" t="s">
        <v>290</v>
      </c>
      <c r="Q115" t="s">
        <v>291</v>
      </c>
      <c r="R115" t="s">
        <v>165</v>
      </c>
      <c r="S115" s="10">
        <v>6</v>
      </c>
      <c r="T115" t="s">
        <v>20</v>
      </c>
      <c r="U115" s="10">
        <v>12555.975609756097</v>
      </c>
      <c r="V115" s="19">
        <v>75335.853659</v>
      </c>
    </row>
    <row r="116" spans="15:22" x14ac:dyDescent="0.35">
      <c r="O116" s="20">
        <v>2</v>
      </c>
      <c r="P116" t="s">
        <v>296</v>
      </c>
      <c r="Q116" t="s">
        <v>297</v>
      </c>
      <c r="R116" t="s">
        <v>165</v>
      </c>
      <c r="S116" s="10">
        <v>2</v>
      </c>
      <c r="T116" t="s">
        <v>20</v>
      </c>
      <c r="U116" s="10">
        <v>14005.390000000001</v>
      </c>
      <c r="V116" s="19">
        <v>28010.78</v>
      </c>
    </row>
    <row r="117" spans="15:22" x14ac:dyDescent="0.35">
      <c r="O117" s="20">
        <v>3</v>
      </c>
      <c r="P117" t="s">
        <v>547</v>
      </c>
      <c r="Q117" t="s">
        <v>548</v>
      </c>
      <c r="R117" t="s">
        <v>165</v>
      </c>
      <c r="S117" s="10">
        <v>1</v>
      </c>
      <c r="T117" t="s">
        <v>20</v>
      </c>
      <c r="U117" s="10">
        <v>10028</v>
      </c>
      <c r="V117" s="19">
        <v>10028</v>
      </c>
    </row>
    <row r="118" spans="15:22" x14ac:dyDescent="0.35">
      <c r="O118" s="20">
        <v>4</v>
      </c>
      <c r="P118" t="s">
        <v>187</v>
      </c>
      <c r="Q118" t="s">
        <v>188</v>
      </c>
      <c r="R118" t="s">
        <v>182</v>
      </c>
      <c r="S118" s="10">
        <v>38</v>
      </c>
      <c r="T118" t="s">
        <v>20</v>
      </c>
      <c r="U118" s="10">
        <v>4973.0453021276589</v>
      </c>
      <c r="V118" s="19">
        <v>188975.72148099999</v>
      </c>
    </row>
    <row r="119" spans="15:22" x14ac:dyDescent="0.35">
      <c r="O119" s="20">
        <v>5</v>
      </c>
      <c r="P119" t="s">
        <v>684</v>
      </c>
      <c r="Q119" t="s">
        <v>685</v>
      </c>
      <c r="R119" t="s">
        <v>182</v>
      </c>
      <c r="S119" s="10">
        <v>13</v>
      </c>
      <c r="T119" t="s">
        <v>20</v>
      </c>
      <c r="U119" s="10">
        <v>134950.5</v>
      </c>
      <c r="V119" s="19">
        <v>1754356.5</v>
      </c>
    </row>
    <row r="120" spans="15:22" x14ac:dyDescent="0.35">
      <c r="O120" s="20">
        <v>6</v>
      </c>
      <c r="P120" t="s">
        <v>553</v>
      </c>
      <c r="Q120" t="s">
        <v>554</v>
      </c>
      <c r="R120" t="s">
        <v>182</v>
      </c>
      <c r="S120" s="10">
        <v>8</v>
      </c>
      <c r="T120" t="s">
        <v>20</v>
      </c>
      <c r="U120" s="10">
        <v>20000</v>
      </c>
      <c r="V120" s="19">
        <v>160000</v>
      </c>
    </row>
    <row r="121" spans="15:22" x14ac:dyDescent="0.35">
      <c r="O121" s="20">
        <v>7</v>
      </c>
      <c r="P121" t="s">
        <v>474</v>
      </c>
      <c r="Q121" t="s">
        <v>475</v>
      </c>
      <c r="R121" t="s">
        <v>192</v>
      </c>
      <c r="S121" s="10">
        <v>1</v>
      </c>
      <c r="T121" t="s">
        <v>20</v>
      </c>
      <c r="U121" s="10">
        <v>8750</v>
      </c>
      <c r="V121" s="19">
        <v>8750</v>
      </c>
    </row>
    <row r="122" spans="15:22" x14ac:dyDescent="0.35">
      <c r="O122" s="20">
        <v>8</v>
      </c>
      <c r="P122" t="s">
        <v>193</v>
      </c>
      <c r="Q122" t="s">
        <v>194</v>
      </c>
      <c r="R122" t="s">
        <v>192</v>
      </c>
      <c r="S122" s="10">
        <v>2</v>
      </c>
      <c r="T122" t="s">
        <v>20</v>
      </c>
      <c r="U122" s="10">
        <v>3590</v>
      </c>
      <c r="V122" s="19">
        <v>7180</v>
      </c>
    </row>
    <row r="123" spans="15:22" x14ac:dyDescent="0.35">
      <c r="O123" s="20">
        <v>9</v>
      </c>
      <c r="P123" t="s">
        <v>442</v>
      </c>
      <c r="Q123" t="s">
        <v>443</v>
      </c>
      <c r="R123" t="s">
        <v>192</v>
      </c>
      <c r="S123" s="10">
        <v>48</v>
      </c>
      <c r="T123" t="s">
        <v>20</v>
      </c>
      <c r="U123" s="10">
        <v>18480</v>
      </c>
      <c r="V123" s="19">
        <v>887040</v>
      </c>
    </row>
    <row r="124" spans="15:22" x14ac:dyDescent="0.35">
      <c r="O124" s="20">
        <v>10</v>
      </c>
      <c r="P124" t="s">
        <v>333</v>
      </c>
      <c r="Q124" t="s">
        <v>334</v>
      </c>
      <c r="R124" t="s">
        <v>192</v>
      </c>
      <c r="S124" s="10">
        <v>8</v>
      </c>
      <c r="T124" t="s">
        <v>20</v>
      </c>
      <c r="U124" s="10">
        <v>3666.67</v>
      </c>
      <c r="V124" s="19">
        <v>29333.360000000001</v>
      </c>
    </row>
    <row r="125" spans="15:22" x14ac:dyDescent="0.35">
      <c r="O125" s="20">
        <v>11</v>
      </c>
      <c r="P125" t="s">
        <v>688</v>
      </c>
      <c r="Q125" t="s">
        <v>689</v>
      </c>
      <c r="R125" t="s">
        <v>192</v>
      </c>
      <c r="S125" s="10">
        <v>3</v>
      </c>
      <c r="T125" t="s">
        <v>20</v>
      </c>
      <c r="U125" s="10">
        <v>12083.37</v>
      </c>
      <c r="V125" s="19">
        <v>36250.11</v>
      </c>
    </row>
    <row r="126" spans="15:22" x14ac:dyDescent="0.35">
      <c r="O126" s="20">
        <v>12</v>
      </c>
      <c r="P126" t="s">
        <v>690</v>
      </c>
      <c r="Q126" t="s">
        <v>691</v>
      </c>
      <c r="R126" t="s">
        <v>192</v>
      </c>
      <c r="S126" s="10">
        <v>1</v>
      </c>
      <c r="T126" t="s">
        <v>20</v>
      </c>
      <c r="U126" s="10">
        <v>23520</v>
      </c>
      <c r="V126" s="19">
        <v>23520</v>
      </c>
    </row>
    <row r="127" spans="15:22" x14ac:dyDescent="0.35">
      <c r="O127" s="20">
        <v>13</v>
      </c>
      <c r="P127" t="s">
        <v>692</v>
      </c>
      <c r="Q127" t="s">
        <v>693</v>
      </c>
      <c r="R127" t="s">
        <v>192</v>
      </c>
      <c r="S127">
        <v>8</v>
      </c>
      <c r="T127" t="s">
        <v>20</v>
      </c>
      <c r="U127">
        <v>13316.665555557691</v>
      </c>
      <c r="V127" s="19">
        <v>106533.324444</v>
      </c>
    </row>
    <row r="128" spans="15:22" x14ac:dyDescent="0.35">
      <c r="O128" s="20" t="s">
        <v>223</v>
      </c>
      <c r="P128" t="s">
        <v>223</v>
      </c>
      <c r="Q128" t="s">
        <v>223</v>
      </c>
      <c r="R128" t="s">
        <v>223</v>
      </c>
      <c r="S128" t="s">
        <v>223</v>
      </c>
      <c r="T128" t="s">
        <v>223</v>
      </c>
      <c r="U128" t="s">
        <v>224</v>
      </c>
      <c r="V128" s="19">
        <v>3315313.649584</v>
      </c>
    </row>
    <row r="129" spans="15:22" ht="15" thickBot="1" x14ac:dyDescent="0.4">
      <c r="O129" s="22"/>
      <c r="P129" s="23"/>
      <c r="Q129" s="23"/>
      <c r="R129" s="23"/>
      <c r="S129" s="23"/>
      <c r="T129" s="23"/>
      <c r="U129" s="23"/>
      <c r="V129" s="24"/>
    </row>
  </sheetData>
  <mergeCells count="32">
    <mergeCell ref="O36:P36"/>
    <mergeCell ref="O2:S2"/>
    <mergeCell ref="O3:S3"/>
    <mergeCell ref="O5:P5"/>
    <mergeCell ref="O6:P6"/>
    <mergeCell ref="O7:P7"/>
    <mergeCell ref="O8:P8"/>
    <mergeCell ref="O9:P9"/>
    <mergeCell ref="O10:P10"/>
    <mergeCell ref="O32:S32"/>
    <mergeCell ref="O33:S33"/>
    <mergeCell ref="O35:P35"/>
    <mergeCell ref="O70:P70"/>
    <mergeCell ref="O37:P37"/>
    <mergeCell ref="O38:P38"/>
    <mergeCell ref="O39:P39"/>
    <mergeCell ref="O40:P40"/>
    <mergeCell ref="O62:S62"/>
    <mergeCell ref="O63:S63"/>
    <mergeCell ref="O65:P65"/>
    <mergeCell ref="O66:P66"/>
    <mergeCell ref="O67:P67"/>
    <mergeCell ref="O68:P68"/>
    <mergeCell ref="O69:P69"/>
    <mergeCell ref="O111:P111"/>
    <mergeCell ref="O112:P112"/>
    <mergeCell ref="O104:S104"/>
    <mergeCell ref="O105:S105"/>
    <mergeCell ref="O107:P107"/>
    <mergeCell ref="O108:P108"/>
    <mergeCell ref="O109:P109"/>
    <mergeCell ref="O110:P11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6AA3B-D497-4B63-980C-ABF5EA39988C}">
  <sheetPr codeName="Sheet9"/>
  <dimension ref="A1:BD124"/>
  <sheetViews>
    <sheetView showGridLines="0" zoomScale="60" zoomScaleNormal="60" workbookViewId="0">
      <selection activeCell="K6" sqref="K6:K118"/>
    </sheetView>
  </sheetViews>
  <sheetFormatPr defaultRowHeight="14.5" x14ac:dyDescent="0.35"/>
  <cols>
    <col min="1" max="1" width="11" bestFit="1" customWidth="1"/>
    <col min="2" max="2" width="42.1796875" bestFit="1" customWidth="1"/>
    <col min="3" max="3" width="30.1796875" bestFit="1" customWidth="1"/>
    <col min="5" max="5" width="12.54296875" bestFit="1" customWidth="1"/>
    <col min="7" max="7" width="12.453125" bestFit="1" customWidth="1"/>
    <col min="9" max="9" width="18.1796875" customWidth="1"/>
    <col min="10" max="10" width="19" bestFit="1" customWidth="1"/>
    <col min="11" max="11" width="167.453125" bestFit="1" customWidth="1"/>
  </cols>
  <sheetData>
    <row r="1" spans="1:56" ht="15" thickBot="1" x14ac:dyDescent="0.4"/>
    <row r="2" spans="1:56" x14ac:dyDescent="0.35">
      <c r="O2" s="84" t="s">
        <v>0</v>
      </c>
      <c r="P2" s="85"/>
      <c r="Q2" s="85"/>
      <c r="R2" s="85"/>
      <c r="S2" s="85"/>
      <c r="T2" s="16"/>
      <c r="U2" s="16"/>
      <c r="V2" s="17"/>
      <c r="X2" s="25" t="s">
        <v>214</v>
      </c>
      <c r="Y2" s="16" t="s">
        <v>215</v>
      </c>
      <c r="Z2" s="16" t="s">
        <v>4</v>
      </c>
      <c r="AA2" s="26">
        <v>0.8</v>
      </c>
      <c r="AB2" s="16" t="s">
        <v>216</v>
      </c>
      <c r="AC2" s="26">
        <v>55300</v>
      </c>
      <c r="AD2" s="17">
        <v>44240</v>
      </c>
      <c r="AG2" s="84" t="s">
        <v>0</v>
      </c>
      <c r="AH2" s="85"/>
      <c r="AI2" s="85"/>
      <c r="AJ2" s="85"/>
      <c r="AK2" s="85"/>
      <c r="AL2" s="16"/>
      <c r="AM2" s="16"/>
      <c r="AN2" s="17"/>
      <c r="AP2" s="25" t="s">
        <v>2</v>
      </c>
      <c r="AQ2" s="16" t="s">
        <v>3</v>
      </c>
      <c r="AR2" s="16" t="s">
        <v>4</v>
      </c>
      <c r="AS2" s="26">
        <v>7</v>
      </c>
      <c r="AT2" s="16" t="s">
        <v>5</v>
      </c>
      <c r="AU2" s="26">
        <v>21075</v>
      </c>
      <c r="AV2" s="17">
        <v>147525</v>
      </c>
      <c r="AX2" s="25" t="s">
        <v>2</v>
      </c>
      <c r="AY2" s="16" t="s">
        <v>3</v>
      </c>
      <c r="AZ2" s="16" t="s">
        <v>4</v>
      </c>
      <c r="BA2" s="26">
        <v>7</v>
      </c>
      <c r="BB2" s="16" t="s">
        <v>5</v>
      </c>
      <c r="BC2" s="26">
        <v>21075</v>
      </c>
      <c r="BD2" s="17">
        <v>147525</v>
      </c>
    </row>
    <row r="3" spans="1:56" ht="21" x14ac:dyDescent="0.5">
      <c r="B3" s="14" t="s">
        <v>867</v>
      </c>
      <c r="O3" s="82" t="s">
        <v>1</v>
      </c>
      <c r="P3" s="87"/>
      <c r="Q3" s="87"/>
      <c r="R3" s="87"/>
      <c r="S3" s="87"/>
      <c r="V3" s="19"/>
      <c r="X3" s="20" t="s">
        <v>2</v>
      </c>
      <c r="Y3" t="s">
        <v>3</v>
      </c>
      <c r="Z3" t="s">
        <v>4</v>
      </c>
      <c r="AA3" s="10">
        <v>3</v>
      </c>
      <c r="AB3" t="s">
        <v>5</v>
      </c>
      <c r="AC3" s="10">
        <v>21075</v>
      </c>
      <c r="AD3" s="19">
        <v>63225</v>
      </c>
      <c r="AG3" s="82" t="s">
        <v>1</v>
      </c>
      <c r="AH3" s="87"/>
      <c r="AI3" s="87"/>
      <c r="AJ3" s="87"/>
      <c r="AK3" s="87"/>
      <c r="AN3" s="19"/>
      <c r="AP3" s="20" t="s">
        <v>217</v>
      </c>
      <c r="AQ3" t="s">
        <v>218</v>
      </c>
      <c r="AR3" t="s">
        <v>4</v>
      </c>
      <c r="AS3" s="10">
        <v>0.1</v>
      </c>
      <c r="AT3" t="s">
        <v>9</v>
      </c>
      <c r="AU3" s="10">
        <v>55300</v>
      </c>
      <c r="AV3" s="19">
        <v>5530</v>
      </c>
      <c r="AX3" s="20" t="s">
        <v>217</v>
      </c>
      <c r="AY3" t="s">
        <v>218</v>
      </c>
      <c r="AZ3" t="s">
        <v>4</v>
      </c>
      <c r="BA3" s="10">
        <v>0.1</v>
      </c>
      <c r="BB3" t="s">
        <v>9</v>
      </c>
      <c r="BC3" s="10">
        <v>55300</v>
      </c>
      <c r="BD3" s="19">
        <v>5530</v>
      </c>
    </row>
    <row r="4" spans="1:56" ht="15" thickBot="1" x14ac:dyDescent="0.4">
      <c r="O4" s="20"/>
      <c r="V4" s="19"/>
      <c r="X4" s="20" t="s">
        <v>217</v>
      </c>
      <c r="Y4" t="s">
        <v>218</v>
      </c>
      <c r="Z4" t="s">
        <v>4</v>
      </c>
      <c r="AA4" s="10">
        <v>0.1</v>
      </c>
      <c r="AB4" t="s">
        <v>9</v>
      </c>
      <c r="AC4" s="10">
        <v>55300</v>
      </c>
      <c r="AD4" s="19">
        <v>5530</v>
      </c>
      <c r="AG4" s="20"/>
      <c r="AN4" s="19"/>
      <c r="AP4" s="20" t="s">
        <v>403</v>
      </c>
      <c r="AQ4" t="s">
        <v>404</v>
      </c>
      <c r="AR4" t="s">
        <v>4</v>
      </c>
      <c r="AS4" s="10">
        <v>0.1</v>
      </c>
      <c r="AT4" t="s">
        <v>9</v>
      </c>
      <c r="AU4" s="10">
        <v>70700</v>
      </c>
      <c r="AV4" s="19">
        <v>7070</v>
      </c>
      <c r="AX4" s="20" t="s">
        <v>403</v>
      </c>
      <c r="AY4" t="s">
        <v>404</v>
      </c>
      <c r="AZ4" t="s">
        <v>4</v>
      </c>
      <c r="BA4" s="10">
        <v>0.1</v>
      </c>
      <c r="BB4" t="s">
        <v>9</v>
      </c>
      <c r="BC4" s="10">
        <v>70700</v>
      </c>
      <c r="BD4" s="19">
        <v>7070</v>
      </c>
    </row>
    <row r="5" spans="1:56" ht="31.5" customHeight="1" thickTop="1" thickBot="1" x14ac:dyDescent="0.4">
      <c r="A5" s="33" t="s">
        <v>200</v>
      </c>
      <c r="B5" s="34" t="s">
        <v>201</v>
      </c>
      <c r="C5" s="34" t="s">
        <v>202</v>
      </c>
      <c r="D5" s="34" t="s">
        <v>203</v>
      </c>
      <c r="E5" s="34" t="s">
        <v>204</v>
      </c>
      <c r="F5" s="35" t="s">
        <v>822</v>
      </c>
      <c r="G5" s="35" t="s">
        <v>470</v>
      </c>
      <c r="H5" s="35" t="s">
        <v>207</v>
      </c>
      <c r="I5" s="34" t="s">
        <v>208</v>
      </c>
      <c r="J5" s="34" t="s">
        <v>209</v>
      </c>
      <c r="K5" s="36" t="s">
        <v>861</v>
      </c>
      <c r="O5" s="82" t="s">
        <v>10</v>
      </c>
      <c r="P5" s="87" t="s">
        <v>11</v>
      </c>
      <c r="Q5" t="s">
        <v>697</v>
      </c>
      <c r="V5" s="19"/>
      <c r="X5" s="20" t="s">
        <v>7</v>
      </c>
      <c r="Y5" t="s">
        <v>8</v>
      </c>
      <c r="Z5" t="s">
        <v>4</v>
      </c>
      <c r="AA5" s="10">
        <v>1</v>
      </c>
      <c r="AB5" t="s">
        <v>9</v>
      </c>
      <c r="AC5" s="10">
        <v>133200</v>
      </c>
      <c r="AD5" s="19">
        <v>133200</v>
      </c>
      <c r="AG5" s="82" t="s">
        <v>10</v>
      </c>
      <c r="AH5" s="87" t="s">
        <v>11</v>
      </c>
      <c r="AI5" t="s">
        <v>698</v>
      </c>
      <c r="AN5" s="19"/>
      <c r="AP5" s="20" t="s">
        <v>13</v>
      </c>
      <c r="AQ5" t="s">
        <v>14</v>
      </c>
      <c r="AR5" t="s">
        <v>4</v>
      </c>
      <c r="AS5" s="10">
        <v>0.1</v>
      </c>
      <c r="AT5" t="s">
        <v>15</v>
      </c>
      <c r="AU5" s="10">
        <v>77700</v>
      </c>
      <c r="AV5" s="19">
        <v>7770</v>
      </c>
      <c r="AX5" s="20" t="s">
        <v>13</v>
      </c>
      <c r="AY5" t="s">
        <v>14</v>
      </c>
      <c r="AZ5" t="s">
        <v>4</v>
      </c>
      <c r="BA5" s="10">
        <v>0.1</v>
      </c>
      <c r="BB5" t="s">
        <v>15</v>
      </c>
      <c r="BC5" s="10">
        <v>77700</v>
      </c>
      <c r="BD5" s="19">
        <v>7770</v>
      </c>
    </row>
    <row r="6" spans="1:56" ht="15" thickTop="1" x14ac:dyDescent="0.35">
      <c r="A6" s="38" t="str" cm="1">
        <f t="array" ref="A6:A89">_xlfn.UNIQUE(_xlfn._xlws.FILTER(AX2:AX300, AX2:AX300 &lt;&gt; ""))</f>
        <v>CECM00013</v>
      </c>
      <c r="B6" s="31" t="str">
        <f>_xlfn.XLOOKUP(A6, AX$2:AX$300, AY$2:AY$300, "", 0)</f>
        <v>DAIA 800 GR</v>
      </c>
      <c r="C6" s="31" t="str">
        <f>_xlfn.XLOOKUP(A6, AX$2:AX$300, AZ$2:AZ$300, "", 0)</f>
        <v>CLEANING CHEMICAL</v>
      </c>
      <c r="D6" s="39" t="str">
        <f>_xlfn.XLOOKUP(A6, AX$2:AX$300, BB$2:BB$300, "", 0)</f>
        <v>pack</v>
      </c>
      <c r="E6" s="47">
        <f>_xlfn.XLOOKUP(A6, AX$2:AX$300, BC$2:BC$300, "", 0)</f>
        <v>21075</v>
      </c>
      <c r="F6" s="48">
        <f>_xlfn.XLOOKUP(A6, X$2:X$300, AA$2:AA$300, "0", 0)</f>
        <v>3</v>
      </c>
      <c r="G6" s="48">
        <f>_xlfn.XLOOKUP(A6, AP$2:AP$300, AS$2:AS$300, "0", 0)</f>
        <v>7</v>
      </c>
      <c r="H6" s="48">
        <f>G6-F6</f>
        <v>4</v>
      </c>
      <c r="I6" s="40">
        <f>H6*E6</f>
        <v>84300</v>
      </c>
      <c r="J6" s="31" t="str">
        <f>CHOOSE(SIGN(G6 - F6) + 2, "Penurunan IU", "Tidak Ada Perubahan", "Kenaikan IU")</f>
        <v>Kenaikan IU</v>
      </c>
      <c r="K6" s="42" t="s">
        <v>1101</v>
      </c>
      <c r="O6" s="82" t="s">
        <v>16</v>
      </c>
      <c r="P6" s="87" t="s">
        <v>11</v>
      </c>
      <c r="Q6" t="s">
        <v>17</v>
      </c>
      <c r="V6" s="19"/>
      <c r="X6" s="20" t="s">
        <v>13</v>
      </c>
      <c r="Y6" t="s">
        <v>14</v>
      </c>
      <c r="Z6" t="s">
        <v>4</v>
      </c>
      <c r="AA6" s="10">
        <v>0.1</v>
      </c>
      <c r="AB6" t="s">
        <v>15</v>
      </c>
      <c r="AC6" s="10">
        <v>77700</v>
      </c>
      <c r="AD6" s="19">
        <v>7770</v>
      </c>
      <c r="AG6" s="82" t="s">
        <v>16</v>
      </c>
      <c r="AH6" s="87" t="s">
        <v>11</v>
      </c>
      <c r="AI6" t="s">
        <v>211</v>
      </c>
      <c r="AN6" s="19"/>
      <c r="AP6" s="20" t="s">
        <v>219</v>
      </c>
      <c r="AQ6" t="s">
        <v>220</v>
      </c>
      <c r="AR6" t="s">
        <v>4</v>
      </c>
      <c r="AS6" s="10">
        <v>3.5</v>
      </c>
      <c r="AT6" t="s">
        <v>25</v>
      </c>
      <c r="AU6" s="10">
        <v>39618.5</v>
      </c>
      <c r="AV6" s="19">
        <v>138664.75</v>
      </c>
      <c r="AX6" s="20" t="s">
        <v>219</v>
      </c>
      <c r="AY6" t="s">
        <v>220</v>
      </c>
      <c r="AZ6" t="s">
        <v>4</v>
      </c>
      <c r="BA6" s="10">
        <v>3.5</v>
      </c>
      <c r="BB6" t="s">
        <v>25</v>
      </c>
      <c r="BC6" s="10">
        <v>39618.5</v>
      </c>
      <c r="BD6" s="19">
        <v>138664.75</v>
      </c>
    </row>
    <row r="7" spans="1:56" x14ac:dyDescent="0.35">
      <c r="A7" s="38" t="str">
        <v>CECM0005</v>
      </c>
      <c r="B7" s="31" t="str">
        <f t="shared" ref="B7:B70" si="0">_xlfn.XLOOKUP(A7, AX$2:AX$300, AY$2:AY$300, "", 0)</f>
        <v>XYZ GLASS CLEANER 5 LTR</v>
      </c>
      <c r="C7" s="31" t="str">
        <f t="shared" ref="C7:C70" si="1">_xlfn.XLOOKUP(A7, AX$2:AX$300, AZ$2:AZ$300, "", 0)</f>
        <v>CLEANING CHEMICAL</v>
      </c>
      <c r="D7" s="39" t="str">
        <f t="shared" ref="D7:D70" si="2">_xlfn.XLOOKUP(A7, AX$2:AX$300, BB$2:BB$300, "", 0)</f>
        <v>gln</v>
      </c>
      <c r="E7" s="47">
        <f t="shared" ref="E7:E70" si="3">_xlfn.XLOOKUP(A7, AX$2:AX$300, BC$2:BC$300, "", 0)</f>
        <v>55300</v>
      </c>
      <c r="F7" s="48">
        <f t="shared" ref="F7:F70" si="4">_xlfn.XLOOKUP(A7, X$2:X$300, AA$2:AA$300, "0", 0)</f>
        <v>0.1</v>
      </c>
      <c r="G7" s="48">
        <f t="shared" ref="G7:G70" si="5">_xlfn.XLOOKUP(A7, AP$2:AP$300, AS$2:AS$300, "0", 0)</f>
        <v>0.1</v>
      </c>
      <c r="H7" s="48">
        <f t="shared" ref="H7:H70" si="6">G7-F7</f>
        <v>0</v>
      </c>
      <c r="I7" s="40">
        <f t="shared" ref="I7:I70" si="7">H7*E7</f>
        <v>0</v>
      </c>
      <c r="J7" s="31" t="str">
        <f t="shared" ref="J7:J70" si="8">CHOOSE(SIGN(G7 - F7) + 2, "Penurunan IU", "Tidak Ada Perubahan", "Kenaikan IU")</f>
        <v>Tidak Ada Perubahan</v>
      </c>
      <c r="K7" s="42" t="s">
        <v>1102</v>
      </c>
      <c r="O7" s="82" t="s">
        <v>21</v>
      </c>
      <c r="P7" s="87" t="s">
        <v>11</v>
      </c>
      <c r="Q7" t="s">
        <v>699</v>
      </c>
      <c r="V7" s="19"/>
      <c r="X7" s="20" t="s">
        <v>219</v>
      </c>
      <c r="Y7" t="s">
        <v>220</v>
      </c>
      <c r="Z7" t="s">
        <v>4</v>
      </c>
      <c r="AA7" s="10">
        <v>3.5</v>
      </c>
      <c r="AB7" t="s">
        <v>25</v>
      </c>
      <c r="AC7" s="10">
        <v>39618.5</v>
      </c>
      <c r="AD7" s="19">
        <v>138664.75</v>
      </c>
      <c r="AG7" s="82" t="s">
        <v>21</v>
      </c>
      <c r="AH7" s="87" t="s">
        <v>11</v>
      </c>
      <c r="AI7" t="s">
        <v>699</v>
      </c>
      <c r="AN7" s="19"/>
      <c r="AP7" s="20" t="s">
        <v>221</v>
      </c>
      <c r="AQ7" t="s">
        <v>222</v>
      </c>
      <c r="AR7" t="s">
        <v>4</v>
      </c>
      <c r="AS7" s="10">
        <v>4.5</v>
      </c>
      <c r="AT7" t="s">
        <v>25</v>
      </c>
      <c r="AU7" s="10">
        <v>70940.006899999993</v>
      </c>
      <c r="AV7" s="19">
        <v>319230.03104999999</v>
      </c>
      <c r="AX7" s="20" t="s">
        <v>221</v>
      </c>
      <c r="AY7" t="s">
        <v>222</v>
      </c>
      <c r="AZ7" t="s">
        <v>4</v>
      </c>
      <c r="BA7" s="10">
        <v>4.5</v>
      </c>
      <c r="BB7" t="s">
        <v>25</v>
      </c>
      <c r="BC7" s="10">
        <v>70940.006899999993</v>
      </c>
      <c r="BD7" s="19">
        <v>319230.03104999999</v>
      </c>
    </row>
    <row r="8" spans="1:56" x14ac:dyDescent="0.35">
      <c r="A8" s="38" t="str">
        <v>CECM0007</v>
      </c>
      <c r="B8" s="31" t="str">
        <f t="shared" si="0"/>
        <v>XYZ DISINFEKTAN 5 LTR</v>
      </c>
      <c r="C8" s="31" t="str">
        <f t="shared" si="1"/>
        <v>CLEANING CHEMICAL</v>
      </c>
      <c r="D8" s="39" t="str">
        <f t="shared" si="2"/>
        <v>gln</v>
      </c>
      <c r="E8" s="47">
        <f t="shared" si="3"/>
        <v>70700</v>
      </c>
      <c r="F8" s="48" t="str">
        <f t="shared" si="4"/>
        <v>0</v>
      </c>
      <c r="G8" s="48">
        <f t="shared" si="5"/>
        <v>0.1</v>
      </c>
      <c r="H8" s="48">
        <f t="shared" si="6"/>
        <v>0.1</v>
      </c>
      <c r="I8" s="40">
        <f t="shared" si="7"/>
        <v>7070</v>
      </c>
      <c r="J8" s="31" t="str">
        <f t="shared" si="8"/>
        <v>Kenaikan IU</v>
      </c>
      <c r="K8" s="42" t="s">
        <v>1103</v>
      </c>
      <c r="O8" s="82" t="s">
        <v>26</v>
      </c>
      <c r="P8" s="87" t="s">
        <v>11</v>
      </c>
      <c r="Q8" t="s">
        <v>700</v>
      </c>
      <c r="V8" s="19"/>
      <c r="X8" s="20" t="s">
        <v>221</v>
      </c>
      <c r="Y8" t="s">
        <v>222</v>
      </c>
      <c r="Z8" t="s">
        <v>4</v>
      </c>
      <c r="AA8" s="10">
        <v>7</v>
      </c>
      <c r="AB8" t="s">
        <v>25</v>
      </c>
      <c r="AC8" s="10">
        <v>52656.5</v>
      </c>
      <c r="AD8" s="19">
        <v>368595.5</v>
      </c>
      <c r="AG8" s="82" t="s">
        <v>26</v>
      </c>
      <c r="AH8" s="87" t="s">
        <v>11</v>
      </c>
      <c r="AI8" t="s">
        <v>701</v>
      </c>
      <c r="AN8" s="19"/>
      <c r="AP8" s="20" t="s">
        <v>23</v>
      </c>
      <c r="AQ8" t="s">
        <v>24</v>
      </c>
      <c r="AR8" t="s">
        <v>4</v>
      </c>
      <c r="AS8" s="10">
        <v>10</v>
      </c>
      <c r="AT8" t="s">
        <v>25</v>
      </c>
      <c r="AU8" s="10">
        <v>17760</v>
      </c>
      <c r="AV8" s="19">
        <v>177600</v>
      </c>
      <c r="AX8" s="20" t="s">
        <v>23</v>
      </c>
      <c r="AY8" t="s">
        <v>24</v>
      </c>
      <c r="AZ8" t="s">
        <v>4</v>
      </c>
      <c r="BA8" s="10">
        <v>10</v>
      </c>
      <c r="BB8" t="s">
        <v>25</v>
      </c>
      <c r="BC8" s="10">
        <v>17760</v>
      </c>
      <c r="BD8" s="19">
        <v>177600</v>
      </c>
    </row>
    <row r="9" spans="1:56" x14ac:dyDescent="0.35">
      <c r="A9" s="38" t="str">
        <v>CECM0008</v>
      </c>
      <c r="B9" s="31" t="str">
        <f t="shared" si="0"/>
        <v>XYZ ANTI BACTERIAL HANDSOAP 5 L</v>
      </c>
      <c r="C9" s="31" t="str">
        <f t="shared" si="1"/>
        <v>CLEANING CHEMICAL</v>
      </c>
      <c r="D9" s="39" t="str">
        <f t="shared" si="2"/>
        <v>jerrycan</v>
      </c>
      <c r="E9" s="47">
        <f t="shared" si="3"/>
        <v>77700</v>
      </c>
      <c r="F9" s="48">
        <f t="shared" si="4"/>
        <v>0.1</v>
      </c>
      <c r="G9" s="48">
        <f t="shared" si="5"/>
        <v>0.1</v>
      </c>
      <c r="H9" s="48">
        <f t="shared" si="6"/>
        <v>0</v>
      </c>
      <c r="I9" s="40">
        <f t="shared" si="7"/>
        <v>0</v>
      </c>
      <c r="J9" s="31" t="str">
        <f t="shared" si="8"/>
        <v>Tidak Ada Perubahan</v>
      </c>
      <c r="K9" s="42" t="s">
        <v>1104</v>
      </c>
      <c r="O9" s="82" t="s">
        <v>31</v>
      </c>
      <c r="P9" s="87" t="s">
        <v>11</v>
      </c>
      <c r="Q9" t="s">
        <v>32</v>
      </c>
      <c r="V9" s="19"/>
      <c r="X9" s="20" t="s">
        <v>23</v>
      </c>
      <c r="Y9" t="s">
        <v>24</v>
      </c>
      <c r="Z9" t="s">
        <v>4</v>
      </c>
      <c r="AA9" s="10">
        <v>10</v>
      </c>
      <c r="AB9" t="s">
        <v>25</v>
      </c>
      <c r="AC9" s="10">
        <v>17760</v>
      </c>
      <c r="AD9" s="19">
        <v>177600</v>
      </c>
      <c r="AG9" s="82" t="s">
        <v>31</v>
      </c>
      <c r="AH9" s="87" t="s">
        <v>11</v>
      </c>
      <c r="AI9" t="s">
        <v>32</v>
      </c>
      <c r="AN9" s="19"/>
      <c r="AP9" s="20" t="s">
        <v>28</v>
      </c>
      <c r="AQ9" t="s">
        <v>29</v>
      </c>
      <c r="AR9" t="s">
        <v>4</v>
      </c>
      <c r="AS9" s="10">
        <v>6</v>
      </c>
      <c r="AT9" t="s">
        <v>30</v>
      </c>
      <c r="AU9" s="10">
        <v>19760</v>
      </c>
      <c r="AV9" s="19">
        <v>118560</v>
      </c>
      <c r="AX9" s="20" t="s">
        <v>28</v>
      </c>
      <c r="AY9" t="s">
        <v>29</v>
      </c>
      <c r="AZ9" t="s">
        <v>4</v>
      </c>
      <c r="BA9" s="10">
        <v>6</v>
      </c>
      <c r="BB9" t="s">
        <v>30</v>
      </c>
      <c r="BC9" s="10">
        <v>19760</v>
      </c>
      <c r="BD9" s="19">
        <v>118560</v>
      </c>
    </row>
    <row r="10" spans="1:56" x14ac:dyDescent="0.35">
      <c r="A10" s="38" t="str">
        <v>CECM0010</v>
      </c>
      <c r="B10" s="31" t="str">
        <f t="shared" si="0"/>
        <v>SUMA CRYSTAL 5 L</v>
      </c>
      <c r="C10" s="31" t="str">
        <f t="shared" si="1"/>
        <v>CLEANING CHEMICAL</v>
      </c>
      <c r="D10" s="39" t="str">
        <f t="shared" si="2"/>
        <v>ltr</v>
      </c>
      <c r="E10" s="47">
        <f t="shared" si="3"/>
        <v>39618.5</v>
      </c>
      <c r="F10" s="48">
        <f t="shared" si="4"/>
        <v>3.5</v>
      </c>
      <c r="G10" s="48">
        <f t="shared" si="5"/>
        <v>3.5</v>
      </c>
      <c r="H10" s="48">
        <f t="shared" si="6"/>
        <v>0</v>
      </c>
      <c r="I10" s="40">
        <f t="shared" si="7"/>
        <v>0</v>
      </c>
      <c r="J10" s="31" t="str">
        <f t="shared" si="8"/>
        <v>Tidak Ada Perubahan</v>
      </c>
      <c r="K10" s="42" t="s">
        <v>1105</v>
      </c>
      <c r="O10" s="82" t="s">
        <v>35</v>
      </c>
      <c r="P10" s="87" t="s">
        <v>11</v>
      </c>
      <c r="Q10" t="s">
        <v>702</v>
      </c>
      <c r="V10" s="19"/>
      <c r="X10" s="20" t="s">
        <v>28</v>
      </c>
      <c r="Y10" t="s">
        <v>29</v>
      </c>
      <c r="Z10" t="s">
        <v>4</v>
      </c>
      <c r="AA10" s="10">
        <v>7</v>
      </c>
      <c r="AB10" t="s">
        <v>30</v>
      </c>
      <c r="AC10" s="10">
        <v>19760</v>
      </c>
      <c r="AD10" s="19">
        <v>138320</v>
      </c>
      <c r="AG10" s="82" t="s">
        <v>35</v>
      </c>
      <c r="AH10" s="87" t="s">
        <v>11</v>
      </c>
      <c r="AI10" t="s">
        <v>703</v>
      </c>
      <c r="AN10" s="19"/>
      <c r="AP10" s="20" t="s">
        <v>33</v>
      </c>
      <c r="AQ10" t="s">
        <v>34</v>
      </c>
      <c r="AR10" t="s">
        <v>4</v>
      </c>
      <c r="AS10" s="10">
        <v>14</v>
      </c>
      <c r="AT10" t="s">
        <v>30</v>
      </c>
      <c r="AU10" s="10">
        <v>13000</v>
      </c>
      <c r="AV10" s="19">
        <v>182000</v>
      </c>
      <c r="AX10" s="20" t="s">
        <v>33</v>
      </c>
      <c r="AY10" t="s">
        <v>34</v>
      </c>
      <c r="AZ10" t="s">
        <v>4</v>
      </c>
      <c r="BA10" s="10">
        <v>14</v>
      </c>
      <c r="BB10" t="s">
        <v>30</v>
      </c>
      <c r="BC10" s="10">
        <v>13000</v>
      </c>
      <c r="BD10" s="19">
        <v>182000</v>
      </c>
    </row>
    <row r="11" spans="1:56" x14ac:dyDescent="0.35">
      <c r="A11" s="38" t="str">
        <v>CECM0011</v>
      </c>
      <c r="B11" s="31" t="str">
        <f t="shared" si="0"/>
        <v>SUMA NOVA 5 L</v>
      </c>
      <c r="C11" s="31" t="str">
        <f t="shared" si="1"/>
        <v>CLEANING CHEMICAL</v>
      </c>
      <c r="D11" s="39" t="str">
        <f t="shared" si="2"/>
        <v>ltr</v>
      </c>
      <c r="E11" s="47">
        <f t="shared" si="3"/>
        <v>70940.006899999993</v>
      </c>
      <c r="F11" s="48">
        <f t="shared" si="4"/>
        <v>7</v>
      </c>
      <c r="G11" s="48">
        <f t="shared" si="5"/>
        <v>4.5</v>
      </c>
      <c r="H11" s="48">
        <f t="shared" si="6"/>
        <v>-2.5</v>
      </c>
      <c r="I11" s="40">
        <f t="shared" si="7"/>
        <v>-177350.01724999998</v>
      </c>
      <c r="J11" s="31" t="str">
        <f t="shared" si="8"/>
        <v>Penurunan IU</v>
      </c>
      <c r="K11" s="42" t="s">
        <v>1106</v>
      </c>
      <c r="O11" s="20"/>
      <c r="V11" s="19"/>
      <c r="X11" s="20" t="s">
        <v>33</v>
      </c>
      <c r="Y11" t="s">
        <v>34</v>
      </c>
      <c r="Z11" t="s">
        <v>4</v>
      </c>
      <c r="AA11" s="10">
        <v>8</v>
      </c>
      <c r="AB11" t="s">
        <v>30</v>
      </c>
      <c r="AC11" s="10">
        <v>13000</v>
      </c>
      <c r="AD11" s="19">
        <v>104000</v>
      </c>
      <c r="AG11" s="20"/>
      <c r="AN11" s="19"/>
      <c r="AP11" s="20" t="s">
        <v>39</v>
      </c>
      <c r="AQ11" t="s">
        <v>40</v>
      </c>
      <c r="AR11" t="s">
        <v>41</v>
      </c>
      <c r="AS11" s="10">
        <v>1</v>
      </c>
      <c r="AT11" t="s">
        <v>20</v>
      </c>
      <c r="AU11" s="10">
        <v>7216.670000000001</v>
      </c>
      <c r="AV11" s="19">
        <v>7216.67</v>
      </c>
      <c r="AX11" s="20" t="s">
        <v>39</v>
      </c>
      <c r="AY11" t="s">
        <v>40</v>
      </c>
      <c r="AZ11" t="s">
        <v>41</v>
      </c>
      <c r="BA11" s="10">
        <v>1</v>
      </c>
      <c r="BB11" t="s">
        <v>20</v>
      </c>
      <c r="BC11" s="10">
        <v>7216.670000000001</v>
      </c>
      <c r="BD11" s="19">
        <v>7216.67</v>
      </c>
    </row>
    <row r="12" spans="1:56" x14ac:dyDescent="0.35">
      <c r="A12" s="38" t="str">
        <v>CECM0012</v>
      </c>
      <c r="B12" s="31" t="str">
        <f t="shared" si="0"/>
        <v>NOBLA LIQUID 20 L</v>
      </c>
      <c r="C12" s="31" t="str">
        <f t="shared" si="1"/>
        <v>CLEANING CHEMICAL</v>
      </c>
      <c r="D12" s="39" t="str">
        <f t="shared" si="2"/>
        <v>ltr</v>
      </c>
      <c r="E12" s="47">
        <f t="shared" si="3"/>
        <v>17760</v>
      </c>
      <c r="F12" s="48">
        <f t="shared" si="4"/>
        <v>10</v>
      </c>
      <c r="G12" s="48">
        <f t="shared" si="5"/>
        <v>10</v>
      </c>
      <c r="H12" s="48">
        <f t="shared" si="6"/>
        <v>0</v>
      </c>
      <c r="I12" s="40">
        <f t="shared" si="7"/>
        <v>0</v>
      </c>
      <c r="J12" s="31" t="str">
        <f t="shared" si="8"/>
        <v>Tidak Ada Perubahan</v>
      </c>
      <c r="K12" s="42" t="s">
        <v>1107</v>
      </c>
      <c r="O12" s="20" t="s">
        <v>42</v>
      </c>
      <c r="P12" t="s">
        <v>43</v>
      </c>
      <c r="Q12" t="s">
        <v>44</v>
      </c>
      <c r="R12" t="s">
        <v>45</v>
      </c>
      <c r="S12" t="s">
        <v>46</v>
      </c>
      <c r="T12" t="s">
        <v>47</v>
      </c>
      <c r="U12" t="s">
        <v>48</v>
      </c>
      <c r="V12" s="19" t="s">
        <v>49</v>
      </c>
      <c r="X12" s="20" t="s">
        <v>50</v>
      </c>
      <c r="Y12" t="s">
        <v>51</v>
      </c>
      <c r="Z12" t="s">
        <v>41</v>
      </c>
      <c r="AA12" s="10">
        <v>17</v>
      </c>
      <c r="AB12" t="s">
        <v>52</v>
      </c>
      <c r="AC12" s="10">
        <v>20500</v>
      </c>
      <c r="AD12" s="19">
        <v>348500</v>
      </c>
      <c r="AG12" s="20" t="s">
        <v>42</v>
      </c>
      <c r="AH12" t="s">
        <v>43</v>
      </c>
      <c r="AI12" t="s">
        <v>44</v>
      </c>
      <c r="AJ12" t="s">
        <v>45</v>
      </c>
      <c r="AK12" t="s">
        <v>46</v>
      </c>
      <c r="AL12" t="s">
        <v>47</v>
      </c>
      <c r="AM12" t="s">
        <v>48</v>
      </c>
      <c r="AN12" s="19" t="s">
        <v>49</v>
      </c>
      <c r="AP12" s="20" t="s">
        <v>304</v>
      </c>
      <c r="AQ12" t="s">
        <v>305</v>
      </c>
      <c r="AR12" t="s">
        <v>41</v>
      </c>
      <c r="AS12" s="10">
        <v>1</v>
      </c>
      <c r="AT12" t="s">
        <v>20</v>
      </c>
      <c r="AU12" s="10">
        <v>7216.670000000001</v>
      </c>
      <c r="AV12" s="19">
        <v>7216.67</v>
      </c>
      <c r="AX12" s="20" t="s">
        <v>304</v>
      </c>
      <c r="AY12" t="s">
        <v>305</v>
      </c>
      <c r="AZ12" t="s">
        <v>41</v>
      </c>
      <c r="BA12" s="10">
        <v>1</v>
      </c>
      <c r="BB12" t="s">
        <v>20</v>
      </c>
      <c r="BC12" s="10">
        <v>7216.670000000001</v>
      </c>
      <c r="BD12" s="19">
        <v>7216.67</v>
      </c>
    </row>
    <row r="13" spans="1:56" x14ac:dyDescent="0.35">
      <c r="A13" s="38" t="str">
        <v>CECM0014</v>
      </c>
      <c r="B13" s="31" t="str">
        <f t="shared" si="0"/>
        <v>XYZ KARBOL LEMONGRASS 5 L</v>
      </c>
      <c r="C13" s="31" t="str">
        <f t="shared" si="1"/>
        <v>CLEANING CHEMICAL</v>
      </c>
      <c r="D13" s="39" t="str">
        <f t="shared" si="2"/>
        <v>liter</v>
      </c>
      <c r="E13" s="47">
        <f t="shared" si="3"/>
        <v>19760</v>
      </c>
      <c r="F13" s="48">
        <f t="shared" si="4"/>
        <v>7</v>
      </c>
      <c r="G13" s="48">
        <f t="shared" si="5"/>
        <v>6</v>
      </c>
      <c r="H13" s="48">
        <f t="shared" si="6"/>
        <v>-1</v>
      </c>
      <c r="I13" s="40">
        <f t="shared" si="7"/>
        <v>-19760</v>
      </c>
      <c r="J13" s="31" t="str">
        <f t="shared" si="8"/>
        <v>Penurunan IU</v>
      </c>
      <c r="K13" s="42" t="s">
        <v>1108</v>
      </c>
      <c r="O13" s="20">
        <v>1</v>
      </c>
      <c r="P13" t="s">
        <v>214</v>
      </c>
      <c r="Q13" t="s">
        <v>215</v>
      </c>
      <c r="R13" t="s">
        <v>4</v>
      </c>
      <c r="S13" s="10">
        <v>0.8</v>
      </c>
      <c r="T13" t="s">
        <v>216</v>
      </c>
      <c r="U13" s="10">
        <v>55300</v>
      </c>
      <c r="V13" s="19">
        <v>44240</v>
      </c>
      <c r="X13" s="20" t="s">
        <v>53</v>
      </c>
      <c r="Y13" t="s">
        <v>54</v>
      </c>
      <c r="Z13" t="s">
        <v>41</v>
      </c>
      <c r="AA13" s="10">
        <v>11</v>
      </c>
      <c r="AB13" t="s">
        <v>20</v>
      </c>
      <c r="AC13" s="10">
        <v>3119.0900000000011</v>
      </c>
      <c r="AD13" s="19">
        <v>34309.99</v>
      </c>
      <c r="AG13" s="20">
        <v>1</v>
      </c>
      <c r="AH13" t="s">
        <v>2</v>
      </c>
      <c r="AI13" t="s">
        <v>3</v>
      </c>
      <c r="AJ13" t="s">
        <v>4</v>
      </c>
      <c r="AK13" s="10">
        <v>7</v>
      </c>
      <c r="AL13" t="s">
        <v>5</v>
      </c>
      <c r="AM13" s="10">
        <v>21075</v>
      </c>
      <c r="AN13" s="19">
        <v>147525</v>
      </c>
      <c r="AP13" s="20" t="s">
        <v>50</v>
      </c>
      <c r="AQ13" t="s">
        <v>51</v>
      </c>
      <c r="AR13" t="s">
        <v>41</v>
      </c>
      <c r="AS13" s="10">
        <v>23</v>
      </c>
      <c r="AT13" t="s">
        <v>52</v>
      </c>
      <c r="AU13" s="10">
        <v>20500</v>
      </c>
      <c r="AV13" s="19">
        <v>471500</v>
      </c>
      <c r="AX13" s="20" t="s">
        <v>50</v>
      </c>
      <c r="AY13" t="s">
        <v>51</v>
      </c>
      <c r="AZ13" t="s">
        <v>41</v>
      </c>
      <c r="BA13" s="10">
        <v>23</v>
      </c>
      <c r="BB13" t="s">
        <v>52</v>
      </c>
      <c r="BC13" s="10">
        <v>20500</v>
      </c>
      <c r="BD13" s="19">
        <v>471500</v>
      </c>
    </row>
    <row r="14" spans="1:56" x14ac:dyDescent="0.35">
      <c r="A14" s="38" t="str">
        <v>CECM0018</v>
      </c>
      <c r="B14" s="31" t="str">
        <f t="shared" si="0"/>
        <v>XYZ GENERAL CLEANER  (CUCI PIRING LIME)</v>
      </c>
      <c r="C14" s="31" t="str">
        <f t="shared" si="1"/>
        <v>CLEANING CHEMICAL</v>
      </c>
      <c r="D14" s="39" t="str">
        <f t="shared" si="2"/>
        <v>liter</v>
      </c>
      <c r="E14" s="47">
        <f t="shared" si="3"/>
        <v>13000</v>
      </c>
      <c r="F14" s="48">
        <f t="shared" si="4"/>
        <v>8</v>
      </c>
      <c r="G14" s="48">
        <f t="shared" si="5"/>
        <v>14</v>
      </c>
      <c r="H14" s="48">
        <f t="shared" si="6"/>
        <v>6</v>
      </c>
      <c r="I14" s="40">
        <f t="shared" si="7"/>
        <v>78000</v>
      </c>
      <c r="J14" s="31" t="str">
        <f t="shared" si="8"/>
        <v>Kenaikan IU</v>
      </c>
      <c r="K14" s="42" t="s">
        <v>1109</v>
      </c>
      <c r="O14" s="20">
        <v>2</v>
      </c>
      <c r="P14" t="s">
        <v>2</v>
      </c>
      <c r="Q14" t="s">
        <v>3</v>
      </c>
      <c r="R14" t="s">
        <v>4</v>
      </c>
      <c r="S14" s="10">
        <v>3</v>
      </c>
      <c r="T14" t="s">
        <v>5</v>
      </c>
      <c r="U14" s="10">
        <v>21075</v>
      </c>
      <c r="V14" s="19">
        <v>63225</v>
      </c>
      <c r="X14" s="20" t="s">
        <v>453</v>
      </c>
      <c r="Y14" t="s">
        <v>454</v>
      </c>
      <c r="Z14" t="s">
        <v>41</v>
      </c>
      <c r="AA14" s="10">
        <v>1</v>
      </c>
      <c r="AB14" t="s">
        <v>267</v>
      </c>
      <c r="AC14" s="10">
        <v>33750</v>
      </c>
      <c r="AD14" s="19">
        <v>33750</v>
      </c>
      <c r="AG14" s="20">
        <v>2</v>
      </c>
      <c r="AH14" t="s">
        <v>217</v>
      </c>
      <c r="AI14" t="s">
        <v>218</v>
      </c>
      <c r="AJ14" t="s">
        <v>4</v>
      </c>
      <c r="AK14" s="10">
        <v>0.1</v>
      </c>
      <c r="AL14" t="s">
        <v>9</v>
      </c>
      <c r="AM14" s="10">
        <v>55300</v>
      </c>
      <c r="AN14" s="19">
        <v>5530</v>
      </c>
      <c r="AP14" s="20" t="s">
        <v>306</v>
      </c>
      <c r="AQ14" t="s">
        <v>307</v>
      </c>
      <c r="AR14" t="s">
        <v>41</v>
      </c>
      <c r="AS14" s="10">
        <v>1</v>
      </c>
      <c r="AT14" t="s">
        <v>20</v>
      </c>
      <c r="AU14" s="10">
        <v>7216.670000000001</v>
      </c>
      <c r="AV14" s="19">
        <v>7216.67</v>
      </c>
      <c r="AX14" s="20" t="s">
        <v>306</v>
      </c>
      <c r="AY14" t="s">
        <v>307</v>
      </c>
      <c r="AZ14" t="s">
        <v>41</v>
      </c>
      <c r="BA14" s="10">
        <v>1</v>
      </c>
      <c r="BB14" t="s">
        <v>20</v>
      </c>
      <c r="BC14" s="10">
        <v>7216.670000000001</v>
      </c>
      <c r="BD14" s="19">
        <v>7216.67</v>
      </c>
    </row>
    <row r="15" spans="1:56" x14ac:dyDescent="0.35">
      <c r="A15" s="38" t="str">
        <v>CETS0001</v>
      </c>
      <c r="B15" s="31" t="str">
        <f t="shared" si="0"/>
        <v>TOWEL ANJOLY BIRU-KECIL</v>
      </c>
      <c r="C15" s="31" t="str">
        <f t="shared" si="1"/>
        <v>CLEANING TOOLS AND SUPPLIES</v>
      </c>
      <c r="D15" s="39" t="str">
        <f t="shared" si="2"/>
        <v>pcs</v>
      </c>
      <c r="E15" s="47">
        <f t="shared" si="3"/>
        <v>7216.670000000001</v>
      </c>
      <c r="F15" s="48" t="str">
        <f t="shared" si="4"/>
        <v>0</v>
      </c>
      <c r="G15" s="48">
        <f t="shared" si="5"/>
        <v>1</v>
      </c>
      <c r="H15" s="48">
        <f t="shared" si="6"/>
        <v>1</v>
      </c>
      <c r="I15" s="40">
        <f t="shared" si="7"/>
        <v>7216.670000000001</v>
      </c>
      <c r="J15" s="31" t="str">
        <f t="shared" si="8"/>
        <v>Kenaikan IU</v>
      </c>
      <c r="K15" s="42" t="s">
        <v>1110</v>
      </c>
      <c r="O15" s="20">
        <v>3</v>
      </c>
      <c r="P15" t="s">
        <v>217</v>
      </c>
      <c r="Q15" t="s">
        <v>218</v>
      </c>
      <c r="R15" t="s">
        <v>4</v>
      </c>
      <c r="S15" s="10">
        <v>0.1</v>
      </c>
      <c r="T15" t="s">
        <v>9</v>
      </c>
      <c r="U15" s="10">
        <v>55300</v>
      </c>
      <c r="V15" s="19">
        <v>5530</v>
      </c>
      <c r="X15" s="20" t="s">
        <v>57</v>
      </c>
      <c r="Y15" t="s">
        <v>58</v>
      </c>
      <c r="Z15" t="s">
        <v>41</v>
      </c>
      <c r="AA15" s="10">
        <v>10</v>
      </c>
      <c r="AB15" t="s">
        <v>5</v>
      </c>
      <c r="AC15" s="10">
        <v>7699.9618</v>
      </c>
      <c r="AD15" s="19">
        <v>76999.618000000002</v>
      </c>
      <c r="AG15" s="20">
        <v>3</v>
      </c>
      <c r="AH15" t="s">
        <v>403</v>
      </c>
      <c r="AI15" t="s">
        <v>404</v>
      </c>
      <c r="AJ15" t="s">
        <v>4</v>
      </c>
      <c r="AK15" s="10">
        <v>0.1</v>
      </c>
      <c r="AL15" t="s">
        <v>9</v>
      </c>
      <c r="AM15" s="10">
        <v>70700</v>
      </c>
      <c r="AN15" s="19">
        <v>7070</v>
      </c>
      <c r="AP15" s="20" t="s">
        <v>308</v>
      </c>
      <c r="AQ15" t="s">
        <v>309</v>
      </c>
      <c r="AR15" t="s">
        <v>41</v>
      </c>
      <c r="AS15" s="10">
        <v>1</v>
      </c>
      <c r="AT15" t="s">
        <v>20</v>
      </c>
      <c r="AU15" s="10">
        <v>7216.670000000001</v>
      </c>
      <c r="AV15" s="19">
        <v>7216.67</v>
      </c>
      <c r="AX15" s="20" t="s">
        <v>308</v>
      </c>
      <c r="AY15" t="s">
        <v>309</v>
      </c>
      <c r="AZ15" t="s">
        <v>41</v>
      </c>
      <c r="BA15" s="10">
        <v>1</v>
      </c>
      <c r="BB15" t="s">
        <v>20</v>
      </c>
      <c r="BC15" s="10">
        <v>7216.670000000001</v>
      </c>
      <c r="BD15" s="19">
        <v>7216.67</v>
      </c>
    </row>
    <row r="16" spans="1:56" x14ac:dyDescent="0.35">
      <c r="A16" s="38" t="str">
        <v>CETS0002</v>
      </c>
      <c r="B16" s="31" t="str">
        <f t="shared" si="0"/>
        <v>TOWEL ANJOLY MERAH-KECIL</v>
      </c>
      <c r="C16" s="31" t="str">
        <f t="shared" si="1"/>
        <v>CLEANING TOOLS AND SUPPLIES</v>
      </c>
      <c r="D16" s="39" t="str">
        <f t="shared" si="2"/>
        <v>pcs</v>
      </c>
      <c r="E16" s="47">
        <f t="shared" si="3"/>
        <v>7216.670000000001</v>
      </c>
      <c r="F16" s="48" t="str">
        <f t="shared" si="4"/>
        <v>0</v>
      </c>
      <c r="G16" s="48">
        <f t="shared" si="5"/>
        <v>1</v>
      </c>
      <c r="H16" s="48">
        <f t="shared" si="6"/>
        <v>1</v>
      </c>
      <c r="I16" s="40">
        <f t="shared" si="7"/>
        <v>7216.670000000001</v>
      </c>
      <c r="J16" s="31" t="str">
        <f t="shared" si="8"/>
        <v>Kenaikan IU</v>
      </c>
      <c r="K16" s="42" t="s">
        <v>1111</v>
      </c>
      <c r="O16" s="20">
        <v>4</v>
      </c>
      <c r="P16" t="s">
        <v>7</v>
      </c>
      <c r="Q16" t="s">
        <v>8</v>
      </c>
      <c r="R16" t="s">
        <v>4</v>
      </c>
      <c r="S16" s="10">
        <v>1</v>
      </c>
      <c r="T16" t="s">
        <v>9</v>
      </c>
      <c r="U16" s="10">
        <v>133200</v>
      </c>
      <c r="V16" s="19">
        <v>133200</v>
      </c>
      <c r="X16" s="20" t="s">
        <v>59</v>
      </c>
      <c r="Y16" t="s">
        <v>60</v>
      </c>
      <c r="Z16" t="s">
        <v>41</v>
      </c>
      <c r="AA16" s="10">
        <v>11</v>
      </c>
      <c r="AB16" t="s">
        <v>5</v>
      </c>
      <c r="AC16" s="10">
        <v>7700</v>
      </c>
      <c r="AD16" s="19">
        <v>84700</v>
      </c>
      <c r="AG16" s="20">
        <v>4</v>
      </c>
      <c r="AH16" t="s">
        <v>13</v>
      </c>
      <c r="AI16" t="s">
        <v>14</v>
      </c>
      <c r="AJ16" t="s">
        <v>4</v>
      </c>
      <c r="AK16" s="10">
        <v>0.1</v>
      </c>
      <c r="AL16" t="s">
        <v>15</v>
      </c>
      <c r="AM16" s="10">
        <v>77700</v>
      </c>
      <c r="AN16" s="19">
        <v>7770</v>
      </c>
      <c r="AP16" s="20" t="s">
        <v>53</v>
      </c>
      <c r="AQ16" t="s">
        <v>54</v>
      </c>
      <c r="AR16" t="s">
        <v>41</v>
      </c>
      <c r="AS16" s="10">
        <v>13</v>
      </c>
      <c r="AT16" t="s">
        <v>20</v>
      </c>
      <c r="AU16" s="10">
        <v>3119.0900000000011</v>
      </c>
      <c r="AV16" s="19">
        <v>40548.17</v>
      </c>
      <c r="AX16" s="20" t="s">
        <v>53</v>
      </c>
      <c r="AY16" t="s">
        <v>54</v>
      </c>
      <c r="AZ16" t="s">
        <v>41</v>
      </c>
      <c r="BA16" s="10">
        <v>13</v>
      </c>
      <c r="BB16" t="s">
        <v>20</v>
      </c>
      <c r="BC16" s="10">
        <v>3119.0900000000011</v>
      </c>
      <c r="BD16" s="19">
        <v>40548.17</v>
      </c>
    </row>
    <row r="17" spans="1:56" x14ac:dyDescent="0.35">
      <c r="A17" s="38" t="str">
        <v>CETS00028</v>
      </c>
      <c r="B17" s="31" t="str">
        <f t="shared" si="0"/>
        <v>GLUE PAD</v>
      </c>
      <c r="C17" s="31" t="str">
        <f t="shared" si="1"/>
        <v>CLEANING TOOLS AND SUPPLIES</v>
      </c>
      <c r="D17" s="39" t="str">
        <f t="shared" si="2"/>
        <v>lembar</v>
      </c>
      <c r="E17" s="47">
        <f t="shared" si="3"/>
        <v>20500</v>
      </c>
      <c r="F17" s="48">
        <f t="shared" si="4"/>
        <v>17</v>
      </c>
      <c r="G17" s="48">
        <f t="shared" si="5"/>
        <v>23</v>
      </c>
      <c r="H17" s="48">
        <f t="shared" si="6"/>
        <v>6</v>
      </c>
      <c r="I17" s="40">
        <f t="shared" si="7"/>
        <v>123000</v>
      </c>
      <c r="J17" s="31" t="str">
        <f t="shared" si="8"/>
        <v>Kenaikan IU</v>
      </c>
      <c r="K17" s="42" t="s">
        <v>1112</v>
      </c>
      <c r="O17" s="20">
        <v>5</v>
      </c>
      <c r="P17" t="s">
        <v>13</v>
      </c>
      <c r="Q17" t="s">
        <v>14</v>
      </c>
      <c r="R17" t="s">
        <v>4</v>
      </c>
      <c r="S17" s="10">
        <v>0.1</v>
      </c>
      <c r="T17" t="s">
        <v>15</v>
      </c>
      <c r="U17" s="10">
        <v>77700</v>
      </c>
      <c r="V17" s="19">
        <v>7770</v>
      </c>
      <c r="X17" s="20" t="s">
        <v>61</v>
      </c>
      <c r="Y17" t="s">
        <v>62</v>
      </c>
      <c r="Z17" t="s">
        <v>41</v>
      </c>
      <c r="AA17">
        <v>1</v>
      </c>
      <c r="AB17" t="s">
        <v>5</v>
      </c>
      <c r="AC17">
        <v>14486.8406</v>
      </c>
      <c r="AD17" s="19">
        <v>14486.8406</v>
      </c>
      <c r="AG17" s="20">
        <v>5</v>
      </c>
      <c r="AH17" t="s">
        <v>219</v>
      </c>
      <c r="AI17" t="s">
        <v>220</v>
      </c>
      <c r="AJ17" t="s">
        <v>4</v>
      </c>
      <c r="AK17" s="10">
        <v>3.5</v>
      </c>
      <c r="AL17" t="s">
        <v>25</v>
      </c>
      <c r="AM17" s="10">
        <v>39618.5</v>
      </c>
      <c r="AN17" s="19">
        <v>138664.75</v>
      </c>
      <c r="AP17" s="20" t="s">
        <v>453</v>
      </c>
      <c r="AQ17" t="s">
        <v>454</v>
      </c>
      <c r="AR17" t="s">
        <v>41</v>
      </c>
      <c r="AS17" s="10">
        <v>1</v>
      </c>
      <c r="AT17" t="s">
        <v>267</v>
      </c>
      <c r="AU17" s="10">
        <v>33750</v>
      </c>
      <c r="AV17" s="19">
        <v>33750</v>
      </c>
      <c r="AX17" s="20" t="s">
        <v>453</v>
      </c>
      <c r="AY17" t="s">
        <v>454</v>
      </c>
      <c r="AZ17" t="s">
        <v>41</v>
      </c>
      <c r="BA17" s="10">
        <v>1</v>
      </c>
      <c r="BB17" t="s">
        <v>267</v>
      </c>
      <c r="BC17" s="10">
        <v>33750</v>
      </c>
      <c r="BD17" s="19">
        <v>33750</v>
      </c>
    </row>
    <row r="18" spans="1:56" x14ac:dyDescent="0.35">
      <c r="A18" s="38" t="str">
        <v>CETS0004</v>
      </c>
      <c r="B18" s="31" t="str">
        <f t="shared" si="0"/>
        <v>TOWEL ANJOLY HITAM-KECIL</v>
      </c>
      <c r="C18" s="31" t="str">
        <f t="shared" si="1"/>
        <v>CLEANING TOOLS AND SUPPLIES</v>
      </c>
      <c r="D18" s="39" t="str">
        <f t="shared" si="2"/>
        <v>pcs</v>
      </c>
      <c r="E18" s="47">
        <f t="shared" si="3"/>
        <v>7216.670000000001</v>
      </c>
      <c r="F18" s="48" t="str">
        <f t="shared" si="4"/>
        <v>0</v>
      </c>
      <c r="G18" s="48">
        <f t="shared" si="5"/>
        <v>1</v>
      </c>
      <c r="H18" s="48">
        <f t="shared" si="6"/>
        <v>1</v>
      </c>
      <c r="I18" s="40">
        <f t="shared" si="7"/>
        <v>7216.670000000001</v>
      </c>
      <c r="J18" s="31" t="str">
        <f t="shared" si="8"/>
        <v>Kenaikan IU</v>
      </c>
      <c r="K18" s="42" t="s">
        <v>1113</v>
      </c>
      <c r="O18" s="20">
        <v>6</v>
      </c>
      <c r="P18" t="s">
        <v>219</v>
      </c>
      <c r="Q18" t="s">
        <v>220</v>
      </c>
      <c r="R18" t="s">
        <v>4</v>
      </c>
      <c r="S18" s="10">
        <v>3.5</v>
      </c>
      <c r="T18" t="s">
        <v>25</v>
      </c>
      <c r="U18" s="10">
        <v>39618.5</v>
      </c>
      <c r="V18" s="19">
        <v>138664.75</v>
      </c>
      <c r="X18" s="20" t="s">
        <v>704</v>
      </c>
      <c r="Y18" t="s">
        <v>705</v>
      </c>
      <c r="Z18" t="s">
        <v>117</v>
      </c>
      <c r="AA18" s="10">
        <v>20</v>
      </c>
      <c r="AB18" t="s">
        <v>52</v>
      </c>
      <c r="AC18" s="10">
        <v>1800</v>
      </c>
      <c r="AD18" s="19">
        <v>36000</v>
      </c>
      <c r="AG18" s="20">
        <v>6</v>
      </c>
      <c r="AH18" t="s">
        <v>221</v>
      </c>
      <c r="AI18" t="s">
        <v>222</v>
      </c>
      <c r="AJ18" t="s">
        <v>4</v>
      </c>
      <c r="AK18" s="10">
        <v>4.5</v>
      </c>
      <c r="AL18" t="s">
        <v>25</v>
      </c>
      <c r="AM18" s="10">
        <v>70940.006899999993</v>
      </c>
      <c r="AN18" s="19">
        <v>319230.03104999999</v>
      </c>
      <c r="AP18" s="20" t="s">
        <v>57</v>
      </c>
      <c r="AQ18" t="s">
        <v>58</v>
      </c>
      <c r="AR18" t="s">
        <v>41</v>
      </c>
      <c r="AS18" s="10">
        <v>10</v>
      </c>
      <c r="AT18" t="s">
        <v>5</v>
      </c>
      <c r="AU18" s="10">
        <v>7699.9717000000001</v>
      </c>
      <c r="AV18" s="19">
        <v>76999.717000000004</v>
      </c>
      <c r="AX18" s="20" t="s">
        <v>57</v>
      </c>
      <c r="AY18" t="s">
        <v>58</v>
      </c>
      <c r="AZ18" t="s">
        <v>41</v>
      </c>
      <c r="BA18" s="10">
        <v>10</v>
      </c>
      <c r="BB18" t="s">
        <v>5</v>
      </c>
      <c r="BC18" s="10">
        <v>7699.9717000000001</v>
      </c>
      <c r="BD18" s="19">
        <v>76999.717000000004</v>
      </c>
    </row>
    <row r="19" spans="1:56" x14ac:dyDescent="0.35">
      <c r="A19" s="38" t="str">
        <v>CETS0005</v>
      </c>
      <c r="B19" s="31" t="str">
        <f t="shared" si="0"/>
        <v>TOWEL ANJOLY HIJAU -KECIL</v>
      </c>
      <c r="C19" s="31" t="str">
        <f t="shared" si="1"/>
        <v>CLEANING TOOLS AND SUPPLIES</v>
      </c>
      <c r="D19" s="39" t="str">
        <f t="shared" si="2"/>
        <v>pcs</v>
      </c>
      <c r="E19" s="47">
        <f t="shared" si="3"/>
        <v>7216.670000000001</v>
      </c>
      <c r="F19" s="48" t="str">
        <f t="shared" si="4"/>
        <v>0</v>
      </c>
      <c r="G19" s="48">
        <f t="shared" si="5"/>
        <v>1</v>
      </c>
      <c r="H19" s="48">
        <f t="shared" si="6"/>
        <v>1</v>
      </c>
      <c r="I19" s="40">
        <f t="shared" si="7"/>
        <v>7216.670000000001</v>
      </c>
      <c r="J19" s="31" t="str">
        <f t="shared" si="8"/>
        <v>Kenaikan IU</v>
      </c>
      <c r="K19" s="42" t="s">
        <v>1114</v>
      </c>
      <c r="O19" s="20">
        <v>7</v>
      </c>
      <c r="P19" t="s">
        <v>221</v>
      </c>
      <c r="Q19" t="s">
        <v>222</v>
      </c>
      <c r="R19" t="s">
        <v>4</v>
      </c>
      <c r="S19" s="10">
        <v>7</v>
      </c>
      <c r="T19" t="s">
        <v>25</v>
      </c>
      <c r="U19" s="10">
        <v>52656.5</v>
      </c>
      <c r="V19" s="19">
        <v>368595.5</v>
      </c>
      <c r="X19" s="20" t="s">
        <v>115</v>
      </c>
      <c r="Y19" t="s">
        <v>116</v>
      </c>
      <c r="Z19" t="s">
        <v>117</v>
      </c>
      <c r="AA19" s="10">
        <v>2000</v>
      </c>
      <c r="AB19" t="s">
        <v>52</v>
      </c>
      <c r="AC19" s="10">
        <v>600</v>
      </c>
      <c r="AD19" s="19">
        <v>1200000</v>
      </c>
      <c r="AG19" s="20">
        <v>7</v>
      </c>
      <c r="AH19" t="s">
        <v>23</v>
      </c>
      <c r="AI19" t="s">
        <v>24</v>
      </c>
      <c r="AJ19" t="s">
        <v>4</v>
      </c>
      <c r="AK19" s="10">
        <v>10</v>
      </c>
      <c r="AL19" t="s">
        <v>25</v>
      </c>
      <c r="AM19" s="10">
        <v>17760</v>
      </c>
      <c r="AN19" s="19">
        <v>177600</v>
      </c>
      <c r="AP19" s="20" t="s">
        <v>59</v>
      </c>
      <c r="AQ19" t="s">
        <v>60</v>
      </c>
      <c r="AR19" t="s">
        <v>41</v>
      </c>
      <c r="AS19" s="10">
        <v>5</v>
      </c>
      <c r="AT19" t="s">
        <v>5</v>
      </c>
      <c r="AU19" s="10">
        <v>7700</v>
      </c>
      <c r="AV19" s="19">
        <v>38500</v>
      </c>
      <c r="AX19" s="20" t="s">
        <v>59</v>
      </c>
      <c r="AY19" t="s">
        <v>60</v>
      </c>
      <c r="AZ19" t="s">
        <v>41</v>
      </c>
      <c r="BA19" s="10">
        <v>5</v>
      </c>
      <c r="BB19" t="s">
        <v>5</v>
      </c>
      <c r="BC19" s="10">
        <v>7700</v>
      </c>
      <c r="BD19" s="19">
        <v>38500</v>
      </c>
    </row>
    <row r="20" spans="1:56" x14ac:dyDescent="0.35">
      <c r="A20" s="38" t="str">
        <v>CETS0006</v>
      </c>
      <c r="B20" s="31" t="str">
        <f t="shared" si="0"/>
        <v>SPONGE BUSA</v>
      </c>
      <c r="C20" s="31" t="str">
        <f t="shared" si="1"/>
        <v>CLEANING TOOLS AND SUPPLIES</v>
      </c>
      <c r="D20" s="39" t="str">
        <f t="shared" si="2"/>
        <v>pcs</v>
      </c>
      <c r="E20" s="47">
        <f t="shared" si="3"/>
        <v>3119.0900000000011</v>
      </c>
      <c r="F20" s="48">
        <f t="shared" si="4"/>
        <v>11</v>
      </c>
      <c r="G20" s="48">
        <f t="shared" si="5"/>
        <v>13</v>
      </c>
      <c r="H20" s="48">
        <f t="shared" si="6"/>
        <v>2</v>
      </c>
      <c r="I20" s="40">
        <f t="shared" si="7"/>
        <v>6238.1800000000021</v>
      </c>
      <c r="J20" s="31" t="str">
        <f t="shared" si="8"/>
        <v>Kenaikan IU</v>
      </c>
      <c r="K20" s="42" t="s">
        <v>1113</v>
      </c>
      <c r="O20" s="20">
        <v>8</v>
      </c>
      <c r="P20" t="s">
        <v>23</v>
      </c>
      <c r="Q20" t="s">
        <v>24</v>
      </c>
      <c r="R20" t="s">
        <v>4</v>
      </c>
      <c r="S20" s="10">
        <v>10</v>
      </c>
      <c r="T20" t="s">
        <v>25</v>
      </c>
      <c r="U20" s="10">
        <v>17760</v>
      </c>
      <c r="V20" s="19">
        <v>177600</v>
      </c>
      <c r="X20" s="20" t="s">
        <v>350</v>
      </c>
      <c r="Y20" t="s">
        <v>351</v>
      </c>
      <c r="Z20" t="s">
        <v>117</v>
      </c>
      <c r="AA20" s="10">
        <v>3</v>
      </c>
      <c r="AB20" t="s">
        <v>20</v>
      </c>
      <c r="AC20" s="10">
        <v>127000</v>
      </c>
      <c r="AD20" s="19">
        <v>381000</v>
      </c>
      <c r="AG20" s="20">
        <v>8</v>
      </c>
      <c r="AH20" t="s">
        <v>28</v>
      </c>
      <c r="AI20" t="s">
        <v>29</v>
      </c>
      <c r="AJ20" t="s">
        <v>4</v>
      </c>
      <c r="AK20" s="10">
        <v>6</v>
      </c>
      <c r="AL20" t="s">
        <v>30</v>
      </c>
      <c r="AM20" s="10">
        <v>19760</v>
      </c>
      <c r="AN20" s="19">
        <v>118560</v>
      </c>
      <c r="AP20" s="20" t="s">
        <v>61</v>
      </c>
      <c r="AQ20" t="s">
        <v>62</v>
      </c>
      <c r="AR20" t="s">
        <v>41</v>
      </c>
      <c r="AS20">
        <v>2</v>
      </c>
      <c r="AT20" t="s">
        <v>5</v>
      </c>
      <c r="AU20">
        <v>14486.8406</v>
      </c>
      <c r="AV20" s="19">
        <v>28973.681199999999</v>
      </c>
      <c r="AX20" s="20" t="s">
        <v>61</v>
      </c>
      <c r="AY20" t="s">
        <v>62</v>
      </c>
      <c r="AZ20" t="s">
        <v>41</v>
      </c>
      <c r="BA20">
        <v>2</v>
      </c>
      <c r="BB20" t="s">
        <v>5</v>
      </c>
      <c r="BC20">
        <v>14486.8406</v>
      </c>
      <c r="BD20" s="19">
        <v>28973.681199999999</v>
      </c>
    </row>
    <row r="21" spans="1:56" x14ac:dyDescent="0.35">
      <c r="A21" s="38" t="str">
        <v>CETS0009</v>
      </c>
      <c r="B21" s="31" t="str">
        <f t="shared" si="0"/>
        <v>REFIL KAIN PEL/REFIL MOP PEL OBOR</v>
      </c>
      <c r="C21" s="31" t="str">
        <f t="shared" si="1"/>
        <v>CLEANING TOOLS AND SUPPLIES</v>
      </c>
      <c r="D21" s="39" t="str">
        <f t="shared" si="2"/>
        <v>unit</v>
      </c>
      <c r="E21" s="47">
        <f t="shared" si="3"/>
        <v>33750</v>
      </c>
      <c r="F21" s="48">
        <f t="shared" si="4"/>
        <v>1</v>
      </c>
      <c r="G21" s="48">
        <f t="shared" si="5"/>
        <v>1</v>
      </c>
      <c r="H21" s="48">
        <f t="shared" si="6"/>
        <v>0</v>
      </c>
      <c r="I21" s="40">
        <f t="shared" si="7"/>
        <v>0</v>
      </c>
      <c r="J21" s="31" t="str">
        <f t="shared" si="8"/>
        <v>Tidak Ada Perubahan</v>
      </c>
      <c r="K21" s="42" t="s">
        <v>1113</v>
      </c>
      <c r="O21" s="20">
        <v>9</v>
      </c>
      <c r="P21" t="s">
        <v>28</v>
      </c>
      <c r="Q21" t="s">
        <v>29</v>
      </c>
      <c r="R21" t="s">
        <v>4</v>
      </c>
      <c r="S21" s="10">
        <v>7</v>
      </c>
      <c r="T21" t="s">
        <v>30</v>
      </c>
      <c r="U21" s="10">
        <v>19760</v>
      </c>
      <c r="V21" s="19">
        <v>138320</v>
      </c>
      <c r="X21" s="20" t="s">
        <v>706</v>
      </c>
      <c r="Y21" t="s">
        <v>707</v>
      </c>
      <c r="Z21" t="s">
        <v>117</v>
      </c>
      <c r="AA21" s="10">
        <v>1829</v>
      </c>
      <c r="AB21" t="s">
        <v>20</v>
      </c>
      <c r="AC21" s="10">
        <v>500</v>
      </c>
      <c r="AD21" s="19">
        <v>914500</v>
      </c>
      <c r="AG21" s="20">
        <v>9</v>
      </c>
      <c r="AH21" t="s">
        <v>33</v>
      </c>
      <c r="AI21" t="s">
        <v>34</v>
      </c>
      <c r="AJ21" t="s">
        <v>4</v>
      </c>
      <c r="AK21" s="10">
        <v>14</v>
      </c>
      <c r="AL21" t="s">
        <v>30</v>
      </c>
      <c r="AM21" s="10">
        <v>13000</v>
      </c>
      <c r="AN21" s="19">
        <v>182000</v>
      </c>
      <c r="AP21" s="20" t="s">
        <v>65</v>
      </c>
      <c r="AQ21" t="s">
        <v>66</v>
      </c>
      <c r="AR21" t="s">
        <v>67</v>
      </c>
      <c r="AS21" s="10">
        <v>6</v>
      </c>
      <c r="AT21" t="s">
        <v>20</v>
      </c>
      <c r="AU21" s="10">
        <v>444</v>
      </c>
      <c r="AV21" s="19">
        <v>2664</v>
      </c>
      <c r="AX21" s="20" t="s">
        <v>65</v>
      </c>
      <c r="AY21" t="s">
        <v>66</v>
      </c>
      <c r="AZ21" t="s">
        <v>67</v>
      </c>
      <c r="BA21" s="10">
        <v>6</v>
      </c>
      <c r="BB21" t="s">
        <v>20</v>
      </c>
      <c r="BC21" s="10">
        <v>444</v>
      </c>
      <c r="BD21" s="19">
        <v>2664</v>
      </c>
    </row>
    <row r="22" spans="1:56" x14ac:dyDescent="0.35">
      <c r="A22" s="38" t="str">
        <v>CETS0025</v>
      </c>
      <c r="B22" s="31" t="str">
        <f t="shared" si="0"/>
        <v>PLASTIK SAMPAH 60 x 100 (10 LEMBAR)</v>
      </c>
      <c r="C22" s="31" t="str">
        <f t="shared" si="1"/>
        <v>CLEANING TOOLS AND SUPPLIES</v>
      </c>
      <c r="D22" s="39" t="str">
        <f t="shared" si="2"/>
        <v>pack</v>
      </c>
      <c r="E22" s="47">
        <f t="shared" si="3"/>
        <v>7699.9717000000001</v>
      </c>
      <c r="F22" s="48">
        <f t="shared" si="4"/>
        <v>10</v>
      </c>
      <c r="G22" s="48">
        <f t="shared" si="5"/>
        <v>10</v>
      </c>
      <c r="H22" s="48">
        <f t="shared" si="6"/>
        <v>0</v>
      </c>
      <c r="I22" s="40">
        <f t="shared" si="7"/>
        <v>0</v>
      </c>
      <c r="J22" s="31" t="str">
        <f t="shared" si="8"/>
        <v>Tidak Ada Perubahan</v>
      </c>
      <c r="K22" s="42" t="s">
        <v>1115</v>
      </c>
      <c r="O22" s="20">
        <v>10</v>
      </c>
      <c r="P22" t="s">
        <v>33</v>
      </c>
      <c r="Q22" t="s">
        <v>34</v>
      </c>
      <c r="R22" t="s">
        <v>4</v>
      </c>
      <c r="S22" s="10">
        <v>8</v>
      </c>
      <c r="T22" t="s">
        <v>30</v>
      </c>
      <c r="U22" s="10">
        <v>13000</v>
      </c>
      <c r="V22" s="19">
        <v>104000</v>
      </c>
      <c r="X22" s="20" t="s">
        <v>121</v>
      </c>
      <c r="Y22" t="s">
        <v>122</v>
      </c>
      <c r="Z22" t="s">
        <v>123</v>
      </c>
      <c r="AA22" s="10">
        <v>1</v>
      </c>
      <c r="AB22" t="s">
        <v>5</v>
      </c>
      <c r="AC22" s="10">
        <v>5000</v>
      </c>
      <c r="AD22" s="19">
        <v>5000</v>
      </c>
      <c r="AG22" s="20">
        <v>10</v>
      </c>
      <c r="AH22" t="s">
        <v>39</v>
      </c>
      <c r="AI22" t="s">
        <v>40</v>
      </c>
      <c r="AJ22" t="s">
        <v>41</v>
      </c>
      <c r="AK22" s="10">
        <v>1</v>
      </c>
      <c r="AL22" t="s">
        <v>20</v>
      </c>
      <c r="AM22" s="10">
        <v>7216.670000000001</v>
      </c>
      <c r="AN22" s="19">
        <v>7216.67</v>
      </c>
      <c r="AP22" s="20" t="s">
        <v>68</v>
      </c>
      <c r="AQ22" t="s">
        <v>69</v>
      </c>
      <c r="AR22" t="s">
        <v>67</v>
      </c>
      <c r="AS22" s="10">
        <v>0.03</v>
      </c>
      <c r="AT22" t="s">
        <v>5</v>
      </c>
      <c r="AU22" s="10">
        <v>18750</v>
      </c>
      <c r="AV22" s="19">
        <v>562.5</v>
      </c>
      <c r="AX22" s="20" t="s">
        <v>68</v>
      </c>
      <c r="AY22" t="s">
        <v>69</v>
      </c>
      <c r="AZ22" t="s">
        <v>67</v>
      </c>
      <c r="BA22" s="10">
        <v>0.03</v>
      </c>
      <c r="BB22" t="s">
        <v>5</v>
      </c>
      <c r="BC22" s="10">
        <v>18750</v>
      </c>
      <c r="BD22" s="19">
        <v>562.5</v>
      </c>
    </row>
    <row r="23" spans="1:56" x14ac:dyDescent="0.35">
      <c r="A23" s="38" t="str">
        <v>CETS0026</v>
      </c>
      <c r="B23" s="31" t="str">
        <f t="shared" si="0"/>
        <v>PLASTIK SAMPAH 90 x 120 (5 LEMBAR)</v>
      </c>
      <c r="C23" s="31" t="str">
        <f t="shared" si="1"/>
        <v>CLEANING TOOLS AND SUPPLIES</v>
      </c>
      <c r="D23" s="39" t="str">
        <f t="shared" si="2"/>
        <v>pack</v>
      </c>
      <c r="E23" s="47">
        <f t="shared" si="3"/>
        <v>7700</v>
      </c>
      <c r="F23" s="48">
        <f t="shared" si="4"/>
        <v>11</v>
      </c>
      <c r="G23" s="48">
        <f t="shared" si="5"/>
        <v>5</v>
      </c>
      <c r="H23" s="48">
        <f t="shared" si="6"/>
        <v>-6</v>
      </c>
      <c r="I23" s="40">
        <f t="shared" si="7"/>
        <v>-46200</v>
      </c>
      <c r="J23" s="31" t="str">
        <f t="shared" si="8"/>
        <v>Penurunan IU</v>
      </c>
      <c r="K23" s="42" t="s">
        <v>1115</v>
      </c>
      <c r="O23" s="20">
        <v>11</v>
      </c>
      <c r="P23" t="s">
        <v>50</v>
      </c>
      <c r="Q23" t="s">
        <v>51</v>
      </c>
      <c r="R23" t="s">
        <v>41</v>
      </c>
      <c r="S23" s="10">
        <v>17</v>
      </c>
      <c r="T23" t="s">
        <v>52</v>
      </c>
      <c r="U23" s="10">
        <v>20500</v>
      </c>
      <c r="V23" s="19">
        <v>348500</v>
      </c>
      <c r="X23" s="20" t="s">
        <v>124</v>
      </c>
      <c r="Y23" t="s">
        <v>125</v>
      </c>
      <c r="Z23" t="s">
        <v>123</v>
      </c>
      <c r="AA23" s="10">
        <v>17</v>
      </c>
      <c r="AB23" t="s">
        <v>5</v>
      </c>
      <c r="AC23" s="10">
        <v>5544.1538</v>
      </c>
      <c r="AD23" s="19">
        <v>94250.614600000001</v>
      </c>
      <c r="AG23" s="20">
        <v>11</v>
      </c>
      <c r="AH23" t="s">
        <v>304</v>
      </c>
      <c r="AI23" t="s">
        <v>305</v>
      </c>
      <c r="AJ23" t="s">
        <v>41</v>
      </c>
      <c r="AK23" s="10">
        <v>1</v>
      </c>
      <c r="AL23" t="s">
        <v>20</v>
      </c>
      <c r="AM23" s="10">
        <v>7216.670000000001</v>
      </c>
      <c r="AN23" s="19">
        <v>7216.67</v>
      </c>
      <c r="AP23" s="20" t="s">
        <v>388</v>
      </c>
      <c r="AQ23" t="s">
        <v>389</v>
      </c>
      <c r="AR23" t="s">
        <v>67</v>
      </c>
      <c r="AS23" s="10">
        <v>8</v>
      </c>
      <c r="AT23" t="s">
        <v>20</v>
      </c>
      <c r="AU23" s="10">
        <v>2639</v>
      </c>
      <c r="AV23" s="19">
        <v>21112</v>
      </c>
      <c r="AX23" s="20" t="s">
        <v>388</v>
      </c>
      <c r="AY23" t="s">
        <v>389</v>
      </c>
      <c r="AZ23" t="s">
        <v>67</v>
      </c>
      <c r="BA23" s="10">
        <v>8</v>
      </c>
      <c r="BB23" t="s">
        <v>20</v>
      </c>
      <c r="BC23" s="10">
        <v>2639</v>
      </c>
      <c r="BD23" s="19">
        <v>21112</v>
      </c>
    </row>
    <row r="24" spans="1:56" x14ac:dyDescent="0.35">
      <c r="A24" s="38" t="str">
        <v>CETS0027</v>
      </c>
      <c r="B24" s="31" t="str">
        <f t="shared" si="0"/>
        <v>PLASTIK KRESEK HITAM 35 (Utk Tong Sampah)</v>
      </c>
      <c r="C24" s="31" t="str">
        <f t="shared" si="1"/>
        <v>CLEANING TOOLS AND SUPPLIES</v>
      </c>
      <c r="D24" s="39" t="str">
        <f t="shared" si="2"/>
        <v>pack</v>
      </c>
      <c r="E24" s="47">
        <f t="shared" si="3"/>
        <v>14486.8406</v>
      </c>
      <c r="F24" s="48">
        <f t="shared" si="4"/>
        <v>1</v>
      </c>
      <c r="G24" s="48">
        <f t="shared" si="5"/>
        <v>2</v>
      </c>
      <c r="H24" s="48">
        <f t="shared" si="6"/>
        <v>1</v>
      </c>
      <c r="I24" s="40">
        <f t="shared" si="7"/>
        <v>14486.8406</v>
      </c>
      <c r="J24" s="31" t="str">
        <f t="shared" si="8"/>
        <v>Kenaikan IU</v>
      </c>
      <c r="K24" s="42" t="s">
        <v>1114</v>
      </c>
      <c r="O24" s="20">
        <v>12</v>
      </c>
      <c r="P24" t="s">
        <v>53</v>
      </c>
      <c r="Q24" t="s">
        <v>54</v>
      </c>
      <c r="R24" t="s">
        <v>41</v>
      </c>
      <c r="S24" s="10">
        <v>11</v>
      </c>
      <c r="T24" t="s">
        <v>20</v>
      </c>
      <c r="U24" s="10">
        <v>3119.0900000000011</v>
      </c>
      <c r="V24" s="19">
        <v>34309.99</v>
      </c>
      <c r="X24" s="20" t="s">
        <v>126</v>
      </c>
      <c r="Y24" t="s">
        <v>127</v>
      </c>
      <c r="Z24" t="s">
        <v>123</v>
      </c>
      <c r="AA24" s="10">
        <v>8</v>
      </c>
      <c r="AB24" t="s">
        <v>5</v>
      </c>
      <c r="AC24" s="10">
        <v>6810.9229999999989</v>
      </c>
      <c r="AD24" s="19">
        <v>54487.383999999998</v>
      </c>
      <c r="AG24" s="20">
        <v>12</v>
      </c>
      <c r="AH24" t="s">
        <v>50</v>
      </c>
      <c r="AI24" t="s">
        <v>51</v>
      </c>
      <c r="AJ24" t="s">
        <v>41</v>
      </c>
      <c r="AK24" s="10">
        <v>23</v>
      </c>
      <c r="AL24" t="s">
        <v>52</v>
      </c>
      <c r="AM24" s="10">
        <v>20500</v>
      </c>
      <c r="AN24" s="19">
        <v>471500</v>
      </c>
      <c r="AP24" s="20" t="s">
        <v>234</v>
      </c>
      <c r="AQ24" t="s">
        <v>235</v>
      </c>
      <c r="AR24" t="s">
        <v>67</v>
      </c>
      <c r="AS24" s="10">
        <v>0.2</v>
      </c>
      <c r="AT24" t="s">
        <v>20</v>
      </c>
      <c r="AU24" s="10">
        <v>5500</v>
      </c>
      <c r="AV24" s="19">
        <v>1100</v>
      </c>
      <c r="AX24" s="20" t="s">
        <v>234</v>
      </c>
      <c r="AY24" t="s">
        <v>235</v>
      </c>
      <c r="AZ24" t="s">
        <v>67</v>
      </c>
      <c r="BA24" s="10">
        <v>0.2</v>
      </c>
      <c r="BB24" t="s">
        <v>20</v>
      </c>
      <c r="BC24" s="10">
        <v>5500</v>
      </c>
      <c r="BD24" s="19">
        <v>1100</v>
      </c>
    </row>
    <row r="25" spans="1:56" x14ac:dyDescent="0.35">
      <c r="A25" s="38" t="str">
        <v>STA00003</v>
      </c>
      <c r="B25" s="31" t="str">
        <f t="shared" si="0"/>
        <v>AMPLOP COKLAT</v>
      </c>
      <c r="C25" s="31" t="str">
        <f t="shared" si="1"/>
        <v>STATIONARY AND OFFICE SUPPLIES</v>
      </c>
      <c r="D25" s="39" t="str">
        <f t="shared" si="2"/>
        <v>pcs</v>
      </c>
      <c r="E25" s="47">
        <f t="shared" si="3"/>
        <v>444</v>
      </c>
      <c r="F25" s="48" t="str">
        <f t="shared" si="4"/>
        <v>0</v>
      </c>
      <c r="G25" s="48">
        <f t="shared" si="5"/>
        <v>6</v>
      </c>
      <c r="H25" s="48">
        <f t="shared" si="6"/>
        <v>6</v>
      </c>
      <c r="I25" s="40">
        <f t="shared" si="7"/>
        <v>2664</v>
      </c>
      <c r="J25" s="31" t="str">
        <f t="shared" si="8"/>
        <v>Kenaikan IU</v>
      </c>
      <c r="K25" s="42" t="s">
        <v>1114</v>
      </c>
      <c r="O25" s="20">
        <v>13</v>
      </c>
      <c r="P25" t="s">
        <v>453</v>
      </c>
      <c r="Q25" t="s">
        <v>454</v>
      </c>
      <c r="R25" t="s">
        <v>41</v>
      </c>
      <c r="S25" s="10">
        <v>1</v>
      </c>
      <c r="T25" t="s">
        <v>267</v>
      </c>
      <c r="U25" s="10">
        <v>33750</v>
      </c>
      <c r="V25" s="19">
        <v>33750</v>
      </c>
      <c r="X25" s="20" t="s">
        <v>128</v>
      </c>
      <c r="Y25" t="s">
        <v>129</v>
      </c>
      <c r="Z25" t="s">
        <v>123</v>
      </c>
      <c r="AA25" s="10">
        <v>2</v>
      </c>
      <c r="AB25" t="s">
        <v>74</v>
      </c>
      <c r="AC25" s="10">
        <v>142077.0753</v>
      </c>
      <c r="AD25" s="19">
        <v>284154.15059999999</v>
      </c>
      <c r="AG25" s="20">
        <v>13</v>
      </c>
      <c r="AH25" t="s">
        <v>306</v>
      </c>
      <c r="AI25" t="s">
        <v>307</v>
      </c>
      <c r="AJ25" t="s">
        <v>41</v>
      </c>
      <c r="AK25" s="10">
        <v>1</v>
      </c>
      <c r="AL25" t="s">
        <v>20</v>
      </c>
      <c r="AM25" s="10">
        <v>7216.670000000001</v>
      </c>
      <c r="AN25" s="19">
        <v>7216.67</v>
      </c>
      <c r="AP25" s="20" t="s">
        <v>393</v>
      </c>
      <c r="AQ25" t="s">
        <v>394</v>
      </c>
      <c r="AR25" t="s">
        <v>67</v>
      </c>
      <c r="AS25" s="10">
        <v>0.4</v>
      </c>
      <c r="AT25" t="s">
        <v>20</v>
      </c>
      <c r="AU25" s="10">
        <v>12500</v>
      </c>
      <c r="AV25" s="19">
        <v>5000</v>
      </c>
      <c r="AX25" s="20" t="s">
        <v>393</v>
      </c>
      <c r="AY25" t="s">
        <v>394</v>
      </c>
      <c r="AZ25" t="s">
        <v>67</v>
      </c>
      <c r="BA25" s="10">
        <v>0.4</v>
      </c>
      <c r="BB25" t="s">
        <v>20</v>
      </c>
      <c r="BC25" s="10">
        <v>12500</v>
      </c>
      <c r="BD25" s="19">
        <v>5000</v>
      </c>
    </row>
    <row r="26" spans="1:56" x14ac:dyDescent="0.35">
      <c r="A26" s="38" t="str">
        <v>STA00009</v>
      </c>
      <c r="B26" s="31" t="str">
        <f t="shared" si="0"/>
        <v>AMPLOP PUTIH 104</v>
      </c>
      <c r="C26" s="31" t="str">
        <f t="shared" si="1"/>
        <v>STATIONARY AND OFFICE SUPPLIES</v>
      </c>
      <c r="D26" s="39" t="str">
        <f t="shared" si="2"/>
        <v>pack</v>
      </c>
      <c r="E26" s="47">
        <f t="shared" si="3"/>
        <v>18750</v>
      </c>
      <c r="F26" s="48">
        <f t="shared" si="4"/>
        <v>7.0000000000000007E-2</v>
      </c>
      <c r="G26" s="48">
        <f t="shared" si="5"/>
        <v>0.03</v>
      </c>
      <c r="H26" s="48">
        <f t="shared" si="6"/>
        <v>-4.0000000000000008E-2</v>
      </c>
      <c r="I26" s="40">
        <f t="shared" si="7"/>
        <v>-750.00000000000011</v>
      </c>
      <c r="J26" s="31" t="str">
        <f t="shared" si="8"/>
        <v>Penurunan IU</v>
      </c>
      <c r="K26" s="42" t="s">
        <v>1116</v>
      </c>
      <c r="O26" s="20">
        <v>14</v>
      </c>
      <c r="P26" t="s">
        <v>57</v>
      </c>
      <c r="Q26" t="s">
        <v>58</v>
      </c>
      <c r="R26" t="s">
        <v>41</v>
      </c>
      <c r="S26" s="10">
        <v>10</v>
      </c>
      <c r="T26" t="s">
        <v>5</v>
      </c>
      <c r="U26" s="10">
        <v>7699.9618</v>
      </c>
      <c r="V26" s="19">
        <v>76999.618000000002</v>
      </c>
      <c r="X26" s="20" t="s">
        <v>130</v>
      </c>
      <c r="Y26" t="s">
        <v>131</v>
      </c>
      <c r="Z26" t="s">
        <v>123</v>
      </c>
      <c r="AA26" s="10">
        <v>23</v>
      </c>
      <c r="AB26" t="s">
        <v>5</v>
      </c>
      <c r="AC26" s="10">
        <v>6355.5744999999997</v>
      </c>
      <c r="AD26" s="19">
        <v>146178.21350000001</v>
      </c>
      <c r="AG26" s="20">
        <v>14</v>
      </c>
      <c r="AH26" t="s">
        <v>308</v>
      </c>
      <c r="AI26" t="s">
        <v>309</v>
      </c>
      <c r="AJ26" t="s">
        <v>41</v>
      </c>
      <c r="AK26" s="10">
        <v>1</v>
      </c>
      <c r="AL26" t="s">
        <v>20</v>
      </c>
      <c r="AM26" s="10">
        <v>7216.670000000001</v>
      </c>
      <c r="AN26" s="19">
        <v>7216.67</v>
      </c>
      <c r="AP26" s="20" t="s">
        <v>325</v>
      </c>
      <c r="AQ26" t="s">
        <v>326</v>
      </c>
      <c r="AR26" t="s">
        <v>67</v>
      </c>
      <c r="AS26" s="10">
        <v>0.5</v>
      </c>
      <c r="AT26" t="s">
        <v>5</v>
      </c>
      <c r="AU26" s="10">
        <v>46500</v>
      </c>
      <c r="AV26" s="19">
        <v>23250</v>
      </c>
      <c r="AX26" s="20" t="s">
        <v>325</v>
      </c>
      <c r="AY26" t="s">
        <v>326</v>
      </c>
      <c r="AZ26" t="s">
        <v>67</v>
      </c>
      <c r="BA26" s="10">
        <v>0.5</v>
      </c>
      <c r="BB26" t="s">
        <v>5</v>
      </c>
      <c r="BC26" s="10">
        <v>46500</v>
      </c>
      <c r="BD26" s="19">
        <v>23250</v>
      </c>
    </row>
    <row r="27" spans="1:56" x14ac:dyDescent="0.35">
      <c r="A27" s="38" t="str">
        <v>STA00027</v>
      </c>
      <c r="B27" s="31" t="str">
        <f t="shared" si="0"/>
        <v>BALLPOINT</v>
      </c>
      <c r="C27" s="31" t="str">
        <f t="shared" si="1"/>
        <v>STATIONARY AND OFFICE SUPPLIES</v>
      </c>
      <c r="D27" s="39" t="str">
        <f t="shared" si="2"/>
        <v>pcs</v>
      </c>
      <c r="E27" s="47">
        <f t="shared" si="3"/>
        <v>2639</v>
      </c>
      <c r="F27" s="48">
        <f t="shared" si="4"/>
        <v>16</v>
      </c>
      <c r="G27" s="48">
        <f t="shared" si="5"/>
        <v>8</v>
      </c>
      <c r="H27" s="48">
        <f t="shared" si="6"/>
        <v>-8</v>
      </c>
      <c r="I27" s="40">
        <f t="shared" si="7"/>
        <v>-21112</v>
      </c>
      <c r="J27" s="31" t="str">
        <f t="shared" si="8"/>
        <v>Penurunan IU</v>
      </c>
      <c r="K27" s="42" t="s">
        <v>1117</v>
      </c>
      <c r="O27" s="20">
        <v>15</v>
      </c>
      <c r="P27" t="s">
        <v>59</v>
      </c>
      <c r="Q27" t="s">
        <v>60</v>
      </c>
      <c r="R27" t="s">
        <v>41</v>
      </c>
      <c r="S27" s="10">
        <v>11</v>
      </c>
      <c r="T27" t="s">
        <v>5</v>
      </c>
      <c r="U27" s="10">
        <v>7700</v>
      </c>
      <c r="V27" s="19">
        <v>84700</v>
      </c>
      <c r="X27" s="20" t="s">
        <v>135</v>
      </c>
      <c r="Y27" t="s">
        <v>136</v>
      </c>
      <c r="Z27" t="s">
        <v>123</v>
      </c>
      <c r="AA27" s="10">
        <v>8.5</v>
      </c>
      <c r="AB27" t="s">
        <v>5</v>
      </c>
      <c r="AC27" s="10">
        <v>5688.7659999999996</v>
      </c>
      <c r="AD27" s="19">
        <v>48354.510999999999</v>
      </c>
      <c r="AG27" s="20">
        <v>15</v>
      </c>
      <c r="AH27" t="s">
        <v>53</v>
      </c>
      <c r="AI27" t="s">
        <v>54</v>
      </c>
      <c r="AJ27" t="s">
        <v>41</v>
      </c>
      <c r="AK27" s="10">
        <v>13</v>
      </c>
      <c r="AL27" t="s">
        <v>20</v>
      </c>
      <c r="AM27" s="10">
        <v>3119.0900000000011</v>
      </c>
      <c r="AN27" s="19">
        <v>40548.17</v>
      </c>
      <c r="AP27" s="20" t="s">
        <v>357</v>
      </c>
      <c r="AQ27" t="s">
        <v>358</v>
      </c>
      <c r="AR27" t="s">
        <v>67</v>
      </c>
      <c r="AS27" s="10">
        <v>0.05</v>
      </c>
      <c r="AT27" t="s">
        <v>5</v>
      </c>
      <c r="AU27" s="10">
        <v>32500</v>
      </c>
      <c r="AV27" s="19">
        <v>1625</v>
      </c>
      <c r="AX27" s="20" t="s">
        <v>357</v>
      </c>
      <c r="AY27" t="s">
        <v>358</v>
      </c>
      <c r="AZ27" t="s">
        <v>67</v>
      </c>
      <c r="BA27" s="10">
        <v>0.05</v>
      </c>
      <c r="BB27" t="s">
        <v>5</v>
      </c>
      <c r="BC27" s="10">
        <v>32500</v>
      </c>
      <c r="BD27" s="19">
        <v>1625</v>
      </c>
    </row>
    <row r="28" spans="1:56" x14ac:dyDescent="0.35">
      <c r="A28" s="38" t="str">
        <v>STA00031</v>
      </c>
      <c r="B28" s="31" t="str">
        <f t="shared" si="0"/>
        <v>TIPEX</v>
      </c>
      <c r="C28" s="31" t="str">
        <f t="shared" si="1"/>
        <v>STATIONARY AND OFFICE SUPPLIES</v>
      </c>
      <c r="D28" s="39" t="str">
        <f t="shared" si="2"/>
        <v>pcs</v>
      </c>
      <c r="E28" s="47">
        <f t="shared" si="3"/>
        <v>5500</v>
      </c>
      <c r="F28" s="48" t="str">
        <f t="shared" si="4"/>
        <v>0</v>
      </c>
      <c r="G28" s="48">
        <f t="shared" si="5"/>
        <v>0.2</v>
      </c>
      <c r="H28" s="48">
        <f t="shared" si="6"/>
        <v>0.2</v>
      </c>
      <c r="I28" s="40">
        <f t="shared" si="7"/>
        <v>1100</v>
      </c>
      <c r="J28" s="31" t="str">
        <f t="shared" si="8"/>
        <v>Kenaikan IU</v>
      </c>
      <c r="K28" s="42" t="s">
        <v>1118</v>
      </c>
      <c r="O28" s="20">
        <v>16</v>
      </c>
      <c r="P28" t="s">
        <v>61</v>
      </c>
      <c r="Q28" t="s">
        <v>62</v>
      </c>
      <c r="R28" t="s">
        <v>41</v>
      </c>
      <c r="S28">
        <v>1</v>
      </c>
      <c r="T28" t="s">
        <v>5</v>
      </c>
      <c r="U28">
        <v>14486.8406</v>
      </c>
      <c r="V28" s="19">
        <v>14486.8406</v>
      </c>
      <c r="X28" s="20" t="s">
        <v>137</v>
      </c>
      <c r="Y28" t="s">
        <v>138</v>
      </c>
      <c r="Z28" t="s">
        <v>123</v>
      </c>
      <c r="AA28" s="10">
        <v>18</v>
      </c>
      <c r="AB28" t="s">
        <v>5</v>
      </c>
      <c r="AC28" s="10">
        <v>16096.193799999999</v>
      </c>
      <c r="AD28" s="19">
        <v>289731.48839999997</v>
      </c>
      <c r="AG28" s="20">
        <v>16</v>
      </c>
      <c r="AH28" t="s">
        <v>453</v>
      </c>
      <c r="AI28" t="s">
        <v>454</v>
      </c>
      <c r="AJ28" t="s">
        <v>41</v>
      </c>
      <c r="AK28" s="10">
        <v>1</v>
      </c>
      <c r="AL28" t="s">
        <v>267</v>
      </c>
      <c r="AM28" s="10">
        <v>33750</v>
      </c>
      <c r="AN28" s="19">
        <v>33750</v>
      </c>
      <c r="AP28" s="20" t="s">
        <v>624</v>
      </c>
      <c r="AQ28" t="s">
        <v>625</v>
      </c>
      <c r="AR28" t="s">
        <v>67</v>
      </c>
      <c r="AS28" s="10">
        <v>0.2</v>
      </c>
      <c r="AT28" t="s">
        <v>5</v>
      </c>
      <c r="AU28" s="10">
        <v>13000</v>
      </c>
      <c r="AV28" s="19">
        <v>2600</v>
      </c>
      <c r="AX28" s="20" t="s">
        <v>624</v>
      </c>
      <c r="AY28" t="s">
        <v>625</v>
      </c>
      <c r="AZ28" t="s">
        <v>67</v>
      </c>
      <c r="BA28" s="10">
        <v>0.2</v>
      </c>
      <c r="BB28" t="s">
        <v>5</v>
      </c>
      <c r="BC28" s="10">
        <v>13000</v>
      </c>
      <c r="BD28" s="19">
        <v>2600</v>
      </c>
    </row>
    <row r="29" spans="1:56" ht="15" thickBot="1" x14ac:dyDescent="0.4">
      <c r="A29" s="38" t="str">
        <v>STA00034</v>
      </c>
      <c r="B29" s="31" t="str">
        <f t="shared" si="0"/>
        <v>LAKBAN HITAM</v>
      </c>
      <c r="C29" s="31" t="str">
        <f t="shared" si="1"/>
        <v>STATIONARY AND OFFICE SUPPLIES</v>
      </c>
      <c r="D29" s="39" t="str">
        <f t="shared" si="2"/>
        <v>pcs</v>
      </c>
      <c r="E29" s="47">
        <f t="shared" si="3"/>
        <v>12500</v>
      </c>
      <c r="F29" s="48" t="str">
        <f t="shared" si="4"/>
        <v>0</v>
      </c>
      <c r="G29" s="48">
        <f t="shared" si="5"/>
        <v>0.4</v>
      </c>
      <c r="H29" s="48">
        <f t="shared" si="6"/>
        <v>0.4</v>
      </c>
      <c r="I29" s="40">
        <f t="shared" si="7"/>
        <v>5000</v>
      </c>
      <c r="J29" s="31" t="str">
        <f t="shared" si="8"/>
        <v>Kenaikan IU</v>
      </c>
      <c r="K29" s="42" t="s">
        <v>1119</v>
      </c>
      <c r="O29" s="22" t="s">
        <v>223</v>
      </c>
      <c r="P29" s="23" t="s">
        <v>223</v>
      </c>
      <c r="Q29" s="23" t="s">
        <v>223</v>
      </c>
      <c r="R29" s="23" t="s">
        <v>223</v>
      </c>
      <c r="S29" s="23" t="s">
        <v>223</v>
      </c>
      <c r="T29" s="23" t="s">
        <v>223</v>
      </c>
      <c r="U29" s="23" t="s">
        <v>224</v>
      </c>
      <c r="V29" s="24">
        <v>1773891.6986</v>
      </c>
      <c r="X29" s="20" t="s">
        <v>139</v>
      </c>
      <c r="Y29" t="s">
        <v>140</v>
      </c>
      <c r="Z29" t="s">
        <v>123</v>
      </c>
      <c r="AA29" s="10">
        <v>6</v>
      </c>
      <c r="AB29" t="s">
        <v>5</v>
      </c>
      <c r="AC29" s="10">
        <v>42289.156600000002</v>
      </c>
      <c r="AD29" s="19">
        <v>253734.93960000001</v>
      </c>
      <c r="AG29" s="20">
        <v>17</v>
      </c>
      <c r="AH29" t="s">
        <v>57</v>
      </c>
      <c r="AI29" t="s">
        <v>58</v>
      </c>
      <c r="AJ29" t="s">
        <v>41</v>
      </c>
      <c r="AK29" s="10">
        <v>10</v>
      </c>
      <c r="AL29" t="s">
        <v>5</v>
      </c>
      <c r="AM29" s="10">
        <v>7699.9717000000001</v>
      </c>
      <c r="AN29" s="19">
        <v>76999.717000000004</v>
      </c>
      <c r="AP29" s="20" t="s">
        <v>395</v>
      </c>
      <c r="AQ29" t="s">
        <v>396</v>
      </c>
      <c r="AR29" t="s">
        <v>67</v>
      </c>
      <c r="AS29" s="10">
        <v>0.2</v>
      </c>
      <c r="AT29" t="s">
        <v>216</v>
      </c>
      <c r="AU29" s="10">
        <v>6000</v>
      </c>
      <c r="AV29" s="19">
        <v>1200</v>
      </c>
      <c r="AX29" s="20" t="s">
        <v>395</v>
      </c>
      <c r="AY29" t="s">
        <v>396</v>
      </c>
      <c r="AZ29" t="s">
        <v>67</v>
      </c>
      <c r="BA29" s="10">
        <v>0.2</v>
      </c>
      <c r="BB29" t="s">
        <v>216</v>
      </c>
      <c r="BC29" s="10">
        <v>6000</v>
      </c>
      <c r="BD29" s="19">
        <v>1200</v>
      </c>
    </row>
    <row r="30" spans="1:56" x14ac:dyDescent="0.35">
      <c r="A30" s="38" t="str">
        <v>STA00037</v>
      </c>
      <c r="B30" s="31" t="str">
        <f t="shared" si="0"/>
        <v>KERTAS HVS A4</v>
      </c>
      <c r="C30" s="31" t="str">
        <f t="shared" si="1"/>
        <v>STATIONARY AND OFFICE SUPPLIES</v>
      </c>
      <c r="D30" s="39" t="str">
        <f t="shared" si="2"/>
        <v>pack</v>
      </c>
      <c r="E30" s="47">
        <f t="shared" si="3"/>
        <v>46500</v>
      </c>
      <c r="F30" s="48">
        <f t="shared" si="4"/>
        <v>0.5</v>
      </c>
      <c r="G30" s="48">
        <f t="shared" si="5"/>
        <v>0.5</v>
      </c>
      <c r="H30" s="48">
        <f t="shared" si="6"/>
        <v>0</v>
      </c>
      <c r="I30" s="40">
        <f t="shared" si="7"/>
        <v>0</v>
      </c>
      <c r="J30" s="31" t="str">
        <f t="shared" si="8"/>
        <v>Tidak Ada Perubahan</v>
      </c>
      <c r="K30" s="42" t="s">
        <v>1120</v>
      </c>
      <c r="X30" s="20" t="s">
        <v>141</v>
      </c>
      <c r="Y30" t="s">
        <v>142</v>
      </c>
      <c r="Z30" t="s">
        <v>123</v>
      </c>
      <c r="AA30" s="10">
        <v>4</v>
      </c>
      <c r="AB30" t="s">
        <v>5</v>
      </c>
      <c r="AC30" s="10">
        <v>42034.197899999999</v>
      </c>
      <c r="AD30" s="19">
        <v>168136.7916</v>
      </c>
      <c r="AG30" s="20">
        <v>18</v>
      </c>
      <c r="AH30" t="s">
        <v>59</v>
      </c>
      <c r="AI30" t="s">
        <v>60</v>
      </c>
      <c r="AJ30" t="s">
        <v>41</v>
      </c>
      <c r="AK30" s="10">
        <v>5</v>
      </c>
      <c r="AL30" t="s">
        <v>5</v>
      </c>
      <c r="AM30" s="10">
        <v>7700</v>
      </c>
      <c r="AN30" s="19">
        <v>38500</v>
      </c>
      <c r="AP30" s="20" t="s">
        <v>359</v>
      </c>
      <c r="AQ30" t="s">
        <v>360</v>
      </c>
      <c r="AR30" t="s">
        <v>67</v>
      </c>
      <c r="AS30" s="10">
        <v>0.1</v>
      </c>
      <c r="AT30" t="s">
        <v>216</v>
      </c>
      <c r="AU30" s="10">
        <v>7000</v>
      </c>
      <c r="AV30" s="19">
        <v>700</v>
      </c>
      <c r="AX30" s="20" t="s">
        <v>359</v>
      </c>
      <c r="AY30" t="s">
        <v>360</v>
      </c>
      <c r="AZ30" t="s">
        <v>67</v>
      </c>
      <c r="BA30" s="10">
        <v>0.1</v>
      </c>
      <c r="BB30" t="s">
        <v>216</v>
      </c>
      <c r="BC30" s="10">
        <v>7000</v>
      </c>
      <c r="BD30" s="19">
        <v>700</v>
      </c>
    </row>
    <row r="31" spans="1:56" ht="15" thickBot="1" x14ac:dyDescent="0.4">
      <c r="A31" s="38" t="str">
        <v>STA00042</v>
      </c>
      <c r="B31" s="31" t="str">
        <f t="shared" si="0"/>
        <v>KARET GELANG</v>
      </c>
      <c r="C31" s="31" t="str">
        <f t="shared" si="1"/>
        <v>STATIONARY AND OFFICE SUPPLIES</v>
      </c>
      <c r="D31" s="39" t="str">
        <f t="shared" si="2"/>
        <v>pack</v>
      </c>
      <c r="E31" s="47">
        <f t="shared" si="3"/>
        <v>32500</v>
      </c>
      <c r="F31" s="48">
        <f t="shared" si="4"/>
        <v>0.05</v>
      </c>
      <c r="G31" s="48">
        <f t="shared" si="5"/>
        <v>0.05</v>
      </c>
      <c r="H31" s="48">
        <f t="shared" si="6"/>
        <v>0</v>
      </c>
      <c r="I31" s="40">
        <f t="shared" si="7"/>
        <v>0</v>
      </c>
      <c r="J31" s="31" t="str">
        <f t="shared" si="8"/>
        <v>Tidak Ada Perubahan</v>
      </c>
      <c r="K31" s="42" t="s">
        <v>1109</v>
      </c>
      <c r="X31" s="20" t="s">
        <v>143</v>
      </c>
      <c r="Y31" t="s">
        <v>144</v>
      </c>
      <c r="Z31" t="s">
        <v>123</v>
      </c>
      <c r="AA31" s="10">
        <v>0.5</v>
      </c>
      <c r="AB31" t="s">
        <v>5</v>
      </c>
      <c r="AC31" s="10">
        <v>47233.34</v>
      </c>
      <c r="AD31" s="19">
        <v>23616.67</v>
      </c>
      <c r="AG31" s="20">
        <v>19</v>
      </c>
      <c r="AH31" t="s">
        <v>61</v>
      </c>
      <c r="AI31" t="s">
        <v>62</v>
      </c>
      <c r="AJ31" t="s">
        <v>41</v>
      </c>
      <c r="AK31">
        <v>2</v>
      </c>
      <c r="AL31" t="s">
        <v>5</v>
      </c>
      <c r="AM31">
        <v>14486.8406</v>
      </c>
      <c r="AN31" s="19">
        <v>28973.681199999999</v>
      </c>
      <c r="AP31" s="20" t="s">
        <v>238</v>
      </c>
      <c r="AQ31" t="s">
        <v>239</v>
      </c>
      <c r="AR31" t="s">
        <v>67</v>
      </c>
      <c r="AS31" s="10">
        <v>0.2</v>
      </c>
      <c r="AT31" t="s">
        <v>74</v>
      </c>
      <c r="AU31" s="10">
        <v>13500</v>
      </c>
      <c r="AV31" s="19">
        <v>2700</v>
      </c>
      <c r="AX31" s="20" t="s">
        <v>238</v>
      </c>
      <c r="AY31" t="s">
        <v>239</v>
      </c>
      <c r="AZ31" t="s">
        <v>67</v>
      </c>
      <c r="BA31" s="10">
        <v>0.2</v>
      </c>
      <c r="BB31" t="s">
        <v>74</v>
      </c>
      <c r="BC31" s="10">
        <v>13500</v>
      </c>
      <c r="BD31" s="19">
        <v>2700</v>
      </c>
    </row>
    <row r="32" spans="1:56" ht="15" thickBot="1" x14ac:dyDescent="0.4">
      <c r="A32" s="38" t="str">
        <v>STA00045</v>
      </c>
      <c r="B32" s="31" t="str">
        <f t="shared" si="0"/>
        <v>KAIN KASA</v>
      </c>
      <c r="C32" s="31" t="str">
        <f t="shared" si="1"/>
        <v>STATIONARY AND OFFICE SUPPLIES</v>
      </c>
      <c r="D32" s="39" t="str">
        <f t="shared" si="2"/>
        <v>pack</v>
      </c>
      <c r="E32" s="47">
        <f t="shared" si="3"/>
        <v>13000</v>
      </c>
      <c r="F32" s="48" t="str">
        <f t="shared" si="4"/>
        <v>0</v>
      </c>
      <c r="G32" s="48">
        <f t="shared" si="5"/>
        <v>0.2</v>
      </c>
      <c r="H32" s="48">
        <f t="shared" si="6"/>
        <v>0.2</v>
      </c>
      <c r="I32" s="40">
        <f t="shared" si="7"/>
        <v>2600</v>
      </c>
      <c r="J32" s="31" t="str">
        <f t="shared" si="8"/>
        <v>Kenaikan IU</v>
      </c>
      <c r="K32" s="42" t="s">
        <v>1121</v>
      </c>
      <c r="O32" s="84" t="s">
        <v>0</v>
      </c>
      <c r="P32" s="85"/>
      <c r="Q32" s="85"/>
      <c r="R32" s="85"/>
      <c r="S32" s="85"/>
      <c r="T32" s="16"/>
      <c r="U32" s="16"/>
      <c r="V32" s="17"/>
      <c r="X32" s="20" t="s">
        <v>145</v>
      </c>
      <c r="Y32" t="s">
        <v>146</v>
      </c>
      <c r="Z32" t="s">
        <v>123</v>
      </c>
      <c r="AA32" s="10">
        <v>64</v>
      </c>
      <c r="AB32" t="s">
        <v>5</v>
      </c>
      <c r="AC32" s="10">
        <v>4604.1441999999997</v>
      </c>
      <c r="AD32" s="19">
        <v>294665.22879999998</v>
      </c>
      <c r="AG32" s="22" t="s">
        <v>223</v>
      </c>
      <c r="AH32" s="23" t="s">
        <v>223</v>
      </c>
      <c r="AI32" s="23" t="s">
        <v>223</v>
      </c>
      <c r="AJ32" s="23" t="s">
        <v>223</v>
      </c>
      <c r="AK32" s="23" t="s">
        <v>223</v>
      </c>
      <c r="AL32" s="23" t="s">
        <v>223</v>
      </c>
      <c r="AM32" s="23" t="s">
        <v>224</v>
      </c>
      <c r="AN32" s="24">
        <v>1823088.0292499994</v>
      </c>
      <c r="AP32" s="20" t="s">
        <v>83</v>
      </c>
      <c r="AQ32" t="s">
        <v>84</v>
      </c>
      <c r="AR32" t="s">
        <v>67</v>
      </c>
      <c r="AS32" s="10">
        <v>0.1</v>
      </c>
      <c r="AT32" t="s">
        <v>20</v>
      </c>
      <c r="AU32" s="10">
        <v>7250</v>
      </c>
      <c r="AV32" s="19">
        <v>725</v>
      </c>
      <c r="AX32" s="20" t="s">
        <v>83</v>
      </c>
      <c r="AY32" t="s">
        <v>84</v>
      </c>
      <c r="AZ32" t="s">
        <v>67</v>
      </c>
      <c r="BA32" s="10">
        <v>0.1</v>
      </c>
      <c r="BB32" t="s">
        <v>20</v>
      </c>
      <c r="BC32" s="10">
        <v>7250</v>
      </c>
      <c r="BD32" s="19">
        <v>725</v>
      </c>
    </row>
    <row r="33" spans="1:56" x14ac:dyDescent="0.35">
      <c r="A33" s="38" t="str">
        <v>STA00046</v>
      </c>
      <c r="B33" s="31" t="str">
        <f t="shared" si="0"/>
        <v>ALKOHOL</v>
      </c>
      <c r="C33" s="31" t="str">
        <f t="shared" si="1"/>
        <v>STATIONARY AND OFFICE SUPPLIES</v>
      </c>
      <c r="D33" s="39" t="str">
        <f t="shared" si="2"/>
        <v>btl</v>
      </c>
      <c r="E33" s="47">
        <f t="shared" si="3"/>
        <v>6000</v>
      </c>
      <c r="F33" s="48" t="str">
        <f t="shared" si="4"/>
        <v>0</v>
      </c>
      <c r="G33" s="48">
        <f t="shared" si="5"/>
        <v>0.2</v>
      </c>
      <c r="H33" s="48">
        <f t="shared" si="6"/>
        <v>0.2</v>
      </c>
      <c r="I33" s="40">
        <f t="shared" si="7"/>
        <v>1200</v>
      </c>
      <c r="J33" s="31" t="str">
        <f t="shared" si="8"/>
        <v>Kenaikan IU</v>
      </c>
      <c r="K33" s="42" t="s">
        <v>1122</v>
      </c>
      <c r="O33" s="82" t="s">
        <v>1</v>
      </c>
      <c r="P33" s="87"/>
      <c r="Q33" s="87"/>
      <c r="R33" s="87"/>
      <c r="S33" s="87"/>
      <c r="V33" s="19"/>
      <c r="X33" s="20" t="s">
        <v>147</v>
      </c>
      <c r="Y33" t="s">
        <v>148</v>
      </c>
      <c r="Z33" t="s">
        <v>123</v>
      </c>
      <c r="AA33" s="10">
        <v>0.2</v>
      </c>
      <c r="AB33" t="s">
        <v>5</v>
      </c>
      <c r="AC33" s="10">
        <v>15000</v>
      </c>
      <c r="AD33" s="19">
        <v>3000</v>
      </c>
      <c r="AP33" s="20" t="s">
        <v>85</v>
      </c>
      <c r="AQ33" t="s">
        <v>86</v>
      </c>
      <c r="AR33" t="s">
        <v>67</v>
      </c>
      <c r="AS33" s="10">
        <v>0.7</v>
      </c>
      <c r="AT33" t="s">
        <v>87</v>
      </c>
      <c r="AU33" s="10">
        <v>15700</v>
      </c>
      <c r="AV33" s="19">
        <v>10990</v>
      </c>
      <c r="AX33" s="20" t="s">
        <v>85</v>
      </c>
      <c r="AY33" t="s">
        <v>86</v>
      </c>
      <c r="AZ33" t="s">
        <v>67</v>
      </c>
      <c r="BA33" s="10">
        <v>0.7</v>
      </c>
      <c r="BB33" t="s">
        <v>87</v>
      </c>
      <c r="BC33" s="10">
        <v>15700</v>
      </c>
      <c r="BD33" s="19">
        <v>10990</v>
      </c>
    </row>
    <row r="34" spans="1:56" x14ac:dyDescent="0.35">
      <c r="A34" s="38" t="str">
        <v>STA00047</v>
      </c>
      <c r="B34" s="31" t="str">
        <f t="shared" si="0"/>
        <v>BETADINE</v>
      </c>
      <c r="C34" s="31" t="str">
        <f t="shared" si="1"/>
        <v>STATIONARY AND OFFICE SUPPLIES</v>
      </c>
      <c r="D34" s="39" t="str">
        <f t="shared" si="2"/>
        <v>btl</v>
      </c>
      <c r="E34" s="47">
        <f t="shared" si="3"/>
        <v>7000</v>
      </c>
      <c r="F34" s="48">
        <f t="shared" si="4"/>
        <v>0.5</v>
      </c>
      <c r="G34" s="48">
        <f t="shared" si="5"/>
        <v>0.1</v>
      </c>
      <c r="H34" s="48">
        <f t="shared" si="6"/>
        <v>-0.4</v>
      </c>
      <c r="I34" s="40">
        <f t="shared" si="7"/>
        <v>-2800</v>
      </c>
      <c r="J34" s="31" t="str">
        <f t="shared" si="8"/>
        <v>Penurunan IU</v>
      </c>
      <c r="K34" s="42" t="s">
        <v>1123</v>
      </c>
      <c r="O34" s="20"/>
      <c r="V34" s="19"/>
      <c r="X34" s="20" t="s">
        <v>421</v>
      </c>
      <c r="Y34" t="s">
        <v>422</v>
      </c>
      <c r="Z34" t="s">
        <v>151</v>
      </c>
      <c r="AA34" s="10">
        <v>1</v>
      </c>
      <c r="AB34" t="s">
        <v>20</v>
      </c>
      <c r="AC34" s="10">
        <v>24500</v>
      </c>
      <c r="AD34" s="19">
        <v>24500</v>
      </c>
      <c r="AP34" s="20" t="s">
        <v>242</v>
      </c>
      <c r="AQ34" t="s">
        <v>243</v>
      </c>
      <c r="AR34" t="s">
        <v>67</v>
      </c>
      <c r="AS34" s="10">
        <v>0.4</v>
      </c>
      <c r="AT34" t="s">
        <v>87</v>
      </c>
      <c r="AU34" s="10">
        <v>13250</v>
      </c>
      <c r="AV34" s="19">
        <v>5300</v>
      </c>
      <c r="AX34" s="20" t="s">
        <v>242</v>
      </c>
      <c r="AY34" t="s">
        <v>243</v>
      </c>
      <c r="AZ34" t="s">
        <v>67</v>
      </c>
      <c r="BA34" s="10">
        <v>0.4</v>
      </c>
      <c r="BB34" t="s">
        <v>87</v>
      </c>
      <c r="BC34" s="10">
        <v>13250</v>
      </c>
      <c r="BD34" s="19">
        <v>5300</v>
      </c>
    </row>
    <row r="35" spans="1:56" ht="15" thickBot="1" x14ac:dyDescent="0.4">
      <c r="A35" s="38" t="str">
        <v>STA00048</v>
      </c>
      <c r="B35" s="31" t="str">
        <f t="shared" si="0"/>
        <v>HANSAPLAST ROLL</v>
      </c>
      <c r="C35" s="31" t="str">
        <f t="shared" si="1"/>
        <v>STATIONARY AND OFFICE SUPPLIES</v>
      </c>
      <c r="D35" s="39" t="str">
        <f t="shared" si="2"/>
        <v>roll</v>
      </c>
      <c r="E35" s="47">
        <f t="shared" si="3"/>
        <v>13500</v>
      </c>
      <c r="F35" s="48" t="str">
        <f t="shared" si="4"/>
        <v>0</v>
      </c>
      <c r="G35" s="48">
        <f t="shared" si="5"/>
        <v>0.2</v>
      </c>
      <c r="H35" s="48">
        <f t="shared" si="6"/>
        <v>0.2</v>
      </c>
      <c r="I35" s="40">
        <f t="shared" si="7"/>
        <v>2700</v>
      </c>
      <c r="J35" s="31" t="str">
        <f t="shared" si="8"/>
        <v>Kenaikan IU</v>
      </c>
      <c r="K35" s="42" t="s">
        <v>1114</v>
      </c>
      <c r="O35" s="82" t="s">
        <v>10</v>
      </c>
      <c r="P35" s="87" t="s">
        <v>11</v>
      </c>
      <c r="Q35" t="s">
        <v>708</v>
      </c>
      <c r="V35" s="19"/>
      <c r="X35" s="20" t="s">
        <v>158</v>
      </c>
      <c r="Y35" t="s">
        <v>159</v>
      </c>
      <c r="Z35" t="s">
        <v>151</v>
      </c>
      <c r="AA35" s="10">
        <v>12</v>
      </c>
      <c r="AB35" t="s">
        <v>160</v>
      </c>
      <c r="AC35" s="10">
        <v>11281.2646</v>
      </c>
      <c r="AD35" s="19">
        <v>135375.1752</v>
      </c>
      <c r="AP35" s="20" t="s">
        <v>246</v>
      </c>
      <c r="AQ35" t="s">
        <v>247</v>
      </c>
      <c r="AR35" t="s">
        <v>67</v>
      </c>
      <c r="AS35" s="10">
        <v>0.2</v>
      </c>
      <c r="AT35" t="s">
        <v>5</v>
      </c>
      <c r="AU35" s="10">
        <v>3441</v>
      </c>
      <c r="AV35" s="19">
        <v>688.2</v>
      </c>
      <c r="AX35" s="20" t="s">
        <v>246</v>
      </c>
      <c r="AY35" t="s">
        <v>247</v>
      </c>
      <c r="AZ35" t="s">
        <v>67</v>
      </c>
      <c r="BA35" s="10">
        <v>0.2</v>
      </c>
      <c r="BB35" t="s">
        <v>5</v>
      </c>
      <c r="BC35" s="10">
        <v>3441</v>
      </c>
      <c r="BD35" s="19">
        <v>688.2</v>
      </c>
    </row>
    <row r="36" spans="1:56" x14ac:dyDescent="0.35">
      <c r="A36" s="38" t="str">
        <v>STA00050</v>
      </c>
      <c r="B36" s="31" t="str">
        <f t="shared" si="0"/>
        <v>MINYAK KAYU PUTIH</v>
      </c>
      <c r="C36" s="31" t="str">
        <f t="shared" si="1"/>
        <v>STATIONARY AND OFFICE SUPPLIES</v>
      </c>
      <c r="D36" s="39" t="str">
        <f t="shared" si="2"/>
        <v>pcs</v>
      </c>
      <c r="E36" s="47">
        <f t="shared" si="3"/>
        <v>7250</v>
      </c>
      <c r="F36" s="48" t="str">
        <f t="shared" si="4"/>
        <v>0</v>
      </c>
      <c r="G36" s="48">
        <f t="shared" si="5"/>
        <v>0.1</v>
      </c>
      <c r="H36" s="48">
        <f t="shared" si="6"/>
        <v>0.1</v>
      </c>
      <c r="I36" s="40">
        <f t="shared" si="7"/>
        <v>725</v>
      </c>
      <c r="J36" s="31" t="str">
        <f t="shared" si="8"/>
        <v>Kenaikan IU</v>
      </c>
      <c r="K36" s="42" t="s">
        <v>1122</v>
      </c>
      <c r="O36" s="82" t="s">
        <v>16</v>
      </c>
      <c r="P36" s="87" t="s">
        <v>11</v>
      </c>
      <c r="Q36" t="s">
        <v>17</v>
      </c>
      <c r="V36" s="19"/>
      <c r="X36" s="20" t="s">
        <v>468</v>
      </c>
      <c r="Y36" t="s">
        <v>469</v>
      </c>
      <c r="Z36" t="s">
        <v>151</v>
      </c>
      <c r="AA36">
        <v>36</v>
      </c>
      <c r="AB36" t="s">
        <v>20</v>
      </c>
      <c r="AC36">
        <v>1065</v>
      </c>
      <c r="AD36" s="19">
        <v>38340</v>
      </c>
      <c r="AG36" s="84" t="s">
        <v>0</v>
      </c>
      <c r="AH36" s="85"/>
      <c r="AI36" s="85"/>
      <c r="AJ36" s="85"/>
      <c r="AK36" s="85"/>
      <c r="AL36" s="16"/>
      <c r="AM36" s="16"/>
      <c r="AN36" s="17"/>
      <c r="AP36" s="20" t="s">
        <v>327</v>
      </c>
      <c r="AQ36" t="s">
        <v>328</v>
      </c>
      <c r="AR36" t="s">
        <v>67</v>
      </c>
      <c r="AS36" s="10">
        <v>1</v>
      </c>
      <c r="AT36" t="s">
        <v>5</v>
      </c>
      <c r="AU36" s="10">
        <v>6250</v>
      </c>
      <c r="AV36" s="19">
        <v>6250</v>
      </c>
      <c r="AX36" s="20" t="s">
        <v>327</v>
      </c>
      <c r="AY36" t="s">
        <v>328</v>
      </c>
      <c r="AZ36" t="s">
        <v>67</v>
      </c>
      <c r="BA36" s="10">
        <v>1</v>
      </c>
      <c r="BB36" t="s">
        <v>5</v>
      </c>
      <c r="BC36" s="10">
        <v>6250</v>
      </c>
      <c r="BD36" s="19">
        <v>6250</v>
      </c>
    </row>
    <row r="37" spans="1:56" x14ac:dyDescent="0.35">
      <c r="A37" s="38" t="str">
        <v>STA00051</v>
      </c>
      <c r="B37" s="31" t="str">
        <f t="shared" si="0"/>
        <v>PANADOL HIJAU</v>
      </c>
      <c r="C37" s="31" t="str">
        <f t="shared" si="1"/>
        <v>STATIONARY AND OFFICE SUPPLIES</v>
      </c>
      <c r="D37" s="39" t="str">
        <f t="shared" si="2"/>
        <v>str</v>
      </c>
      <c r="E37" s="47">
        <f t="shared" si="3"/>
        <v>15700</v>
      </c>
      <c r="F37" s="48">
        <f t="shared" si="4"/>
        <v>0.5</v>
      </c>
      <c r="G37" s="48">
        <f t="shared" si="5"/>
        <v>0.7</v>
      </c>
      <c r="H37" s="48">
        <f t="shared" si="6"/>
        <v>0.19999999999999996</v>
      </c>
      <c r="I37" s="40">
        <f t="shared" si="7"/>
        <v>3139.9999999999991</v>
      </c>
      <c r="J37" s="31" t="str">
        <f t="shared" si="8"/>
        <v>Kenaikan IU</v>
      </c>
      <c r="K37" s="42" t="s">
        <v>1123</v>
      </c>
      <c r="O37" s="82" t="s">
        <v>21</v>
      </c>
      <c r="P37" s="87" t="s">
        <v>11</v>
      </c>
      <c r="Q37" t="s">
        <v>699</v>
      </c>
      <c r="V37" s="19"/>
      <c r="X37" s="20" t="s">
        <v>709</v>
      </c>
      <c r="Y37" t="s">
        <v>710</v>
      </c>
      <c r="Z37" t="s">
        <v>67</v>
      </c>
      <c r="AA37" s="10">
        <v>1</v>
      </c>
      <c r="AB37" t="s">
        <v>20</v>
      </c>
      <c r="AC37" s="10">
        <v>8200</v>
      </c>
      <c r="AD37" s="19">
        <v>8200</v>
      </c>
      <c r="AG37" s="82" t="s">
        <v>1</v>
      </c>
      <c r="AH37" s="87"/>
      <c r="AI37" s="87"/>
      <c r="AJ37" s="87"/>
      <c r="AK37" s="87"/>
      <c r="AN37" s="19"/>
      <c r="AP37" s="20" t="s">
        <v>90</v>
      </c>
      <c r="AQ37" t="s">
        <v>91</v>
      </c>
      <c r="AR37" t="s">
        <v>67</v>
      </c>
      <c r="AS37" s="10">
        <v>1</v>
      </c>
      <c r="AT37" t="s">
        <v>5</v>
      </c>
      <c r="AU37" s="10">
        <v>6250</v>
      </c>
      <c r="AV37" s="19">
        <v>6250</v>
      </c>
      <c r="AX37" s="20" t="s">
        <v>90</v>
      </c>
      <c r="AY37" t="s">
        <v>91</v>
      </c>
      <c r="AZ37" t="s">
        <v>67</v>
      </c>
      <c r="BA37" s="10">
        <v>1</v>
      </c>
      <c r="BB37" t="s">
        <v>5</v>
      </c>
      <c r="BC37" s="10">
        <v>6250</v>
      </c>
      <c r="BD37" s="19">
        <v>6250</v>
      </c>
    </row>
    <row r="38" spans="1:56" x14ac:dyDescent="0.35">
      <c r="A38" s="38" t="str">
        <v>STA00052</v>
      </c>
      <c r="B38" s="31" t="str">
        <f t="shared" si="0"/>
        <v>PANADOL MERAH</v>
      </c>
      <c r="C38" s="31" t="str">
        <f t="shared" si="1"/>
        <v>STATIONARY AND OFFICE SUPPLIES</v>
      </c>
      <c r="D38" s="39" t="str">
        <f t="shared" si="2"/>
        <v>str</v>
      </c>
      <c r="E38" s="47">
        <f t="shared" si="3"/>
        <v>13250</v>
      </c>
      <c r="F38" s="48">
        <f t="shared" si="4"/>
        <v>0.6</v>
      </c>
      <c r="G38" s="48">
        <f t="shared" si="5"/>
        <v>0.4</v>
      </c>
      <c r="H38" s="48">
        <f t="shared" si="6"/>
        <v>-0.19999999999999996</v>
      </c>
      <c r="I38" s="40">
        <f t="shared" si="7"/>
        <v>-2649.9999999999995</v>
      </c>
      <c r="J38" s="31" t="str">
        <f t="shared" si="8"/>
        <v>Penurunan IU</v>
      </c>
      <c r="K38" s="42" t="s">
        <v>1124</v>
      </c>
      <c r="O38" s="82" t="s">
        <v>26</v>
      </c>
      <c r="P38" s="87" t="s">
        <v>11</v>
      </c>
      <c r="Q38" t="s">
        <v>711</v>
      </c>
      <c r="V38" s="19"/>
      <c r="X38" s="20" t="s">
        <v>68</v>
      </c>
      <c r="Y38" t="s">
        <v>69</v>
      </c>
      <c r="Z38" t="s">
        <v>67</v>
      </c>
      <c r="AA38" s="10">
        <v>7.0000000000000007E-2</v>
      </c>
      <c r="AB38" t="s">
        <v>5</v>
      </c>
      <c r="AC38" s="10">
        <v>18750</v>
      </c>
      <c r="AD38" s="19">
        <v>1312.5</v>
      </c>
      <c r="AG38" s="20"/>
      <c r="AN38" s="19"/>
      <c r="AP38" s="20" t="s">
        <v>92</v>
      </c>
      <c r="AQ38" t="s">
        <v>93</v>
      </c>
      <c r="AR38" t="s">
        <v>67</v>
      </c>
      <c r="AS38" s="10">
        <v>33</v>
      </c>
      <c r="AT38" t="s">
        <v>94</v>
      </c>
      <c r="AU38" s="10">
        <v>11800</v>
      </c>
      <c r="AV38" s="19">
        <v>389400</v>
      </c>
      <c r="AX38" s="20" t="s">
        <v>92</v>
      </c>
      <c r="AY38" t="s">
        <v>93</v>
      </c>
      <c r="AZ38" t="s">
        <v>67</v>
      </c>
      <c r="BA38" s="10">
        <v>33</v>
      </c>
      <c r="BB38" t="s">
        <v>94</v>
      </c>
      <c r="BC38" s="10">
        <v>11800</v>
      </c>
      <c r="BD38" s="19">
        <v>389400</v>
      </c>
    </row>
    <row r="39" spans="1:56" x14ac:dyDescent="0.35">
      <c r="A39" s="38" t="str">
        <v>STA00057</v>
      </c>
      <c r="B39" s="31" t="str">
        <f t="shared" si="0"/>
        <v>ISI STAPLER</v>
      </c>
      <c r="C39" s="31" t="str">
        <f t="shared" si="1"/>
        <v>STATIONARY AND OFFICE SUPPLIES</v>
      </c>
      <c r="D39" s="39" t="str">
        <f t="shared" si="2"/>
        <v>pack</v>
      </c>
      <c r="E39" s="47">
        <f t="shared" si="3"/>
        <v>3441</v>
      </c>
      <c r="F39" s="48">
        <f t="shared" si="4"/>
        <v>2</v>
      </c>
      <c r="G39" s="48">
        <f t="shared" si="5"/>
        <v>0.2</v>
      </c>
      <c r="H39" s="48">
        <f t="shared" si="6"/>
        <v>-1.8</v>
      </c>
      <c r="I39" s="40">
        <f t="shared" si="7"/>
        <v>-6193.8</v>
      </c>
      <c r="J39" s="31" t="str">
        <f t="shared" si="8"/>
        <v>Penurunan IU</v>
      </c>
      <c r="K39" s="42" t="s">
        <v>1125</v>
      </c>
      <c r="O39" s="82" t="s">
        <v>31</v>
      </c>
      <c r="P39" s="87" t="s">
        <v>11</v>
      </c>
      <c r="Q39" t="s">
        <v>186</v>
      </c>
      <c r="V39" s="19"/>
      <c r="X39" s="20" t="s">
        <v>70</v>
      </c>
      <c r="Y39" t="s">
        <v>71</v>
      </c>
      <c r="Z39" t="s">
        <v>67</v>
      </c>
      <c r="AA39" s="10">
        <v>1</v>
      </c>
      <c r="AB39" t="s">
        <v>5</v>
      </c>
      <c r="AC39" s="10">
        <v>9000</v>
      </c>
      <c r="AD39" s="19">
        <v>9000</v>
      </c>
      <c r="AG39" s="82" t="s">
        <v>10</v>
      </c>
      <c r="AH39" s="87" t="s">
        <v>11</v>
      </c>
      <c r="AI39" t="s">
        <v>712</v>
      </c>
      <c r="AN39" s="19"/>
      <c r="AP39" s="20" t="s">
        <v>520</v>
      </c>
      <c r="AQ39" t="s">
        <v>521</v>
      </c>
      <c r="AR39" t="s">
        <v>67</v>
      </c>
      <c r="AS39" s="10">
        <v>1</v>
      </c>
      <c r="AT39" t="s">
        <v>5</v>
      </c>
      <c r="AU39" s="10">
        <v>10000</v>
      </c>
      <c r="AV39" s="19">
        <v>10000</v>
      </c>
      <c r="AX39" s="20" t="s">
        <v>520</v>
      </c>
      <c r="AY39" t="s">
        <v>521</v>
      </c>
      <c r="AZ39" t="s">
        <v>67</v>
      </c>
      <c r="BA39" s="10">
        <v>1</v>
      </c>
      <c r="BB39" t="s">
        <v>5</v>
      </c>
      <c r="BC39" s="10">
        <v>10000</v>
      </c>
      <c r="BD39" s="19">
        <v>10000</v>
      </c>
    </row>
    <row r="40" spans="1:56" x14ac:dyDescent="0.35">
      <c r="A40" s="38" t="str">
        <v>STA00074</v>
      </c>
      <c r="B40" s="31" t="str">
        <f t="shared" si="0"/>
        <v>LABEL/STICKER TOM &amp; JERRY 103</v>
      </c>
      <c r="C40" s="31" t="str">
        <f t="shared" si="1"/>
        <v>STATIONARY AND OFFICE SUPPLIES</v>
      </c>
      <c r="D40" s="39" t="str">
        <f t="shared" si="2"/>
        <v>pack</v>
      </c>
      <c r="E40" s="47">
        <f t="shared" si="3"/>
        <v>6250</v>
      </c>
      <c r="F40" s="48">
        <f t="shared" si="4"/>
        <v>4</v>
      </c>
      <c r="G40" s="48">
        <f t="shared" si="5"/>
        <v>1</v>
      </c>
      <c r="H40" s="48">
        <f t="shared" si="6"/>
        <v>-3</v>
      </c>
      <c r="I40" s="40">
        <f t="shared" si="7"/>
        <v>-18750</v>
      </c>
      <c r="J40" s="31" t="str">
        <f t="shared" si="8"/>
        <v>Penurunan IU</v>
      </c>
      <c r="K40" s="42" t="s">
        <v>1126</v>
      </c>
      <c r="O40" s="82" t="s">
        <v>35</v>
      </c>
      <c r="P40" s="87" t="s">
        <v>11</v>
      </c>
      <c r="Q40" t="s">
        <v>713</v>
      </c>
      <c r="V40" s="19"/>
      <c r="X40" s="20" t="s">
        <v>388</v>
      </c>
      <c r="Y40" t="s">
        <v>389</v>
      </c>
      <c r="Z40" t="s">
        <v>67</v>
      </c>
      <c r="AA40" s="10">
        <v>16</v>
      </c>
      <c r="AB40" t="s">
        <v>20</v>
      </c>
      <c r="AC40" s="10">
        <v>2639</v>
      </c>
      <c r="AD40" s="19">
        <v>42224</v>
      </c>
      <c r="AG40" s="82" t="s">
        <v>16</v>
      </c>
      <c r="AH40" s="87" t="s">
        <v>11</v>
      </c>
      <c r="AI40" t="s">
        <v>211</v>
      </c>
      <c r="AN40" s="19"/>
      <c r="AP40" s="20" t="s">
        <v>100</v>
      </c>
      <c r="AQ40" t="s">
        <v>101</v>
      </c>
      <c r="AR40" t="s">
        <v>67</v>
      </c>
      <c r="AS40" s="10">
        <v>0.2</v>
      </c>
      <c r="AT40" t="s">
        <v>87</v>
      </c>
      <c r="AU40" s="10">
        <v>8400</v>
      </c>
      <c r="AV40" s="19">
        <v>1680</v>
      </c>
      <c r="AX40" s="20" t="s">
        <v>100</v>
      </c>
      <c r="AY40" t="s">
        <v>101</v>
      </c>
      <c r="AZ40" t="s">
        <v>67</v>
      </c>
      <c r="BA40" s="10">
        <v>0.2</v>
      </c>
      <c r="BB40" t="s">
        <v>87</v>
      </c>
      <c r="BC40" s="10">
        <v>8400</v>
      </c>
      <c r="BD40" s="19">
        <v>1680</v>
      </c>
    </row>
    <row r="41" spans="1:56" x14ac:dyDescent="0.35">
      <c r="A41" s="38" t="str">
        <v>STA00075</v>
      </c>
      <c r="B41" s="31" t="str">
        <f t="shared" si="0"/>
        <v>LABEL/STICKER TOM &amp; JERRY 109</v>
      </c>
      <c r="C41" s="31" t="str">
        <f t="shared" si="1"/>
        <v>STATIONARY AND OFFICE SUPPLIES</v>
      </c>
      <c r="D41" s="39" t="str">
        <f t="shared" si="2"/>
        <v>pack</v>
      </c>
      <c r="E41" s="47">
        <f t="shared" si="3"/>
        <v>6250</v>
      </c>
      <c r="F41" s="48">
        <f t="shared" si="4"/>
        <v>2</v>
      </c>
      <c r="G41" s="48">
        <f t="shared" si="5"/>
        <v>1</v>
      </c>
      <c r="H41" s="48">
        <f t="shared" si="6"/>
        <v>-1</v>
      </c>
      <c r="I41" s="40">
        <f t="shared" si="7"/>
        <v>-6250</v>
      </c>
      <c r="J41" s="31" t="str">
        <f t="shared" si="8"/>
        <v>Penurunan IU</v>
      </c>
      <c r="K41" s="42" t="s">
        <v>1127</v>
      </c>
      <c r="O41" s="20"/>
      <c r="V41" s="19"/>
      <c r="X41" s="20" t="s">
        <v>72</v>
      </c>
      <c r="Y41" t="s">
        <v>73</v>
      </c>
      <c r="Z41" t="s">
        <v>67</v>
      </c>
      <c r="AA41" s="10">
        <v>6</v>
      </c>
      <c r="AB41" t="s">
        <v>74</v>
      </c>
      <c r="AC41" s="10">
        <v>3000</v>
      </c>
      <c r="AD41" s="19">
        <v>18000</v>
      </c>
      <c r="AG41" s="82" t="s">
        <v>21</v>
      </c>
      <c r="AH41" s="87" t="s">
        <v>11</v>
      </c>
      <c r="AI41" t="s">
        <v>699</v>
      </c>
      <c r="AN41" s="19"/>
      <c r="AP41" s="20" t="s">
        <v>254</v>
      </c>
      <c r="AQ41" t="s">
        <v>255</v>
      </c>
      <c r="AR41" t="s">
        <v>67</v>
      </c>
      <c r="AS41" s="10">
        <v>0.5</v>
      </c>
      <c r="AT41" t="s">
        <v>5</v>
      </c>
      <c r="AU41" s="10">
        <v>34500</v>
      </c>
      <c r="AV41" s="19">
        <v>17250</v>
      </c>
      <c r="AX41" s="20" t="s">
        <v>254</v>
      </c>
      <c r="AY41" t="s">
        <v>255</v>
      </c>
      <c r="AZ41" t="s">
        <v>67</v>
      </c>
      <c r="BA41" s="10">
        <v>0.5</v>
      </c>
      <c r="BB41" t="s">
        <v>5</v>
      </c>
      <c r="BC41" s="10">
        <v>34500</v>
      </c>
      <c r="BD41" s="19">
        <v>17250</v>
      </c>
    </row>
    <row r="42" spans="1:56" x14ac:dyDescent="0.35">
      <c r="A42" s="38" t="str">
        <v>STA00080</v>
      </c>
      <c r="B42" s="31" t="str">
        <f t="shared" si="0"/>
        <v>KERTAS THERMAL 80 X 80</v>
      </c>
      <c r="C42" s="31" t="str">
        <f t="shared" si="1"/>
        <v>STATIONARY AND OFFICE SUPPLIES</v>
      </c>
      <c r="D42" s="39" t="str">
        <f t="shared" si="2"/>
        <v>ROLL</v>
      </c>
      <c r="E42" s="47">
        <f t="shared" si="3"/>
        <v>11800</v>
      </c>
      <c r="F42" s="48">
        <f t="shared" si="4"/>
        <v>31</v>
      </c>
      <c r="G42" s="48">
        <f t="shared" si="5"/>
        <v>33</v>
      </c>
      <c r="H42" s="48">
        <f t="shared" si="6"/>
        <v>2</v>
      </c>
      <c r="I42" s="40">
        <f t="shared" si="7"/>
        <v>23600</v>
      </c>
      <c r="J42" s="31" t="str">
        <f t="shared" si="8"/>
        <v>Kenaikan IU</v>
      </c>
      <c r="K42" s="42" t="s">
        <v>1128</v>
      </c>
      <c r="O42" s="20" t="s">
        <v>42</v>
      </c>
      <c r="P42" t="s">
        <v>43</v>
      </c>
      <c r="Q42" t="s">
        <v>44</v>
      </c>
      <c r="R42" t="s">
        <v>45</v>
      </c>
      <c r="S42" t="s">
        <v>46</v>
      </c>
      <c r="T42" t="s">
        <v>47</v>
      </c>
      <c r="U42" t="s">
        <v>48</v>
      </c>
      <c r="V42" s="19" t="s">
        <v>49</v>
      </c>
      <c r="X42" s="20" t="s">
        <v>77</v>
      </c>
      <c r="Y42" t="s">
        <v>78</v>
      </c>
      <c r="Z42" t="s">
        <v>67</v>
      </c>
      <c r="AA42" s="10">
        <v>1</v>
      </c>
      <c r="AB42" t="s">
        <v>20</v>
      </c>
      <c r="AC42" s="10">
        <v>6500</v>
      </c>
      <c r="AD42" s="19">
        <v>6500</v>
      </c>
      <c r="AG42" s="82" t="s">
        <v>26</v>
      </c>
      <c r="AH42" s="87" t="s">
        <v>11</v>
      </c>
      <c r="AI42" t="s">
        <v>714</v>
      </c>
      <c r="AN42" s="19"/>
      <c r="AP42" s="20" t="s">
        <v>628</v>
      </c>
      <c r="AQ42" t="s">
        <v>629</v>
      </c>
      <c r="AR42" t="s">
        <v>67</v>
      </c>
      <c r="AS42" s="10">
        <v>0.1</v>
      </c>
      <c r="AT42" t="s">
        <v>20</v>
      </c>
      <c r="AU42" s="10">
        <v>28500</v>
      </c>
      <c r="AV42" s="19">
        <v>2850</v>
      </c>
      <c r="AX42" s="20" t="s">
        <v>628</v>
      </c>
      <c r="AY42" t="s">
        <v>629</v>
      </c>
      <c r="AZ42" t="s">
        <v>67</v>
      </c>
      <c r="BA42" s="10">
        <v>0.1</v>
      </c>
      <c r="BB42" t="s">
        <v>20</v>
      </c>
      <c r="BC42" s="10">
        <v>28500</v>
      </c>
      <c r="BD42" s="19">
        <v>2850</v>
      </c>
    </row>
    <row r="43" spans="1:56" x14ac:dyDescent="0.35">
      <c r="A43" s="38" t="str">
        <v>STA00093</v>
      </c>
      <c r="B43" s="31" t="str">
        <f t="shared" si="0"/>
        <v>STICKER/LABEL TOM&amp;JERRY BULAT - ORANGE</v>
      </c>
      <c r="C43" s="31" t="str">
        <f t="shared" si="1"/>
        <v>STATIONARY AND OFFICE SUPPLIES</v>
      </c>
      <c r="D43" s="39" t="str">
        <f t="shared" si="2"/>
        <v>pack</v>
      </c>
      <c r="E43" s="47">
        <f t="shared" si="3"/>
        <v>10000</v>
      </c>
      <c r="F43" s="48" t="str">
        <f t="shared" si="4"/>
        <v>0</v>
      </c>
      <c r="G43" s="48">
        <f t="shared" si="5"/>
        <v>1</v>
      </c>
      <c r="H43" s="48">
        <f t="shared" si="6"/>
        <v>1</v>
      </c>
      <c r="I43" s="40">
        <f t="shared" si="7"/>
        <v>10000</v>
      </c>
      <c r="J43" s="31" t="str">
        <f t="shared" si="8"/>
        <v>Kenaikan IU</v>
      </c>
      <c r="K43" s="42" t="s">
        <v>1129</v>
      </c>
      <c r="O43" s="20">
        <v>1</v>
      </c>
      <c r="P43" t="s">
        <v>704</v>
      </c>
      <c r="Q43" t="s">
        <v>705</v>
      </c>
      <c r="R43" t="s">
        <v>117</v>
      </c>
      <c r="S43" s="10">
        <v>20</v>
      </c>
      <c r="T43" t="s">
        <v>52</v>
      </c>
      <c r="U43" s="10">
        <v>1800</v>
      </c>
      <c r="V43" s="19">
        <v>36000</v>
      </c>
      <c r="X43" s="20" t="s">
        <v>325</v>
      </c>
      <c r="Y43" t="s">
        <v>326</v>
      </c>
      <c r="Z43" t="s">
        <v>67</v>
      </c>
      <c r="AA43" s="10">
        <v>0.5</v>
      </c>
      <c r="AB43" t="s">
        <v>5</v>
      </c>
      <c r="AC43" s="10">
        <v>46500</v>
      </c>
      <c r="AD43" s="19">
        <v>23250</v>
      </c>
      <c r="AG43" s="82" t="s">
        <v>31</v>
      </c>
      <c r="AH43" s="87" t="s">
        <v>11</v>
      </c>
      <c r="AI43" t="s">
        <v>109</v>
      </c>
      <c r="AN43" s="19"/>
      <c r="AP43" s="20" t="s">
        <v>361</v>
      </c>
      <c r="AQ43" t="s">
        <v>362</v>
      </c>
      <c r="AR43" t="s">
        <v>67</v>
      </c>
      <c r="AS43" s="10">
        <v>2</v>
      </c>
      <c r="AT43" t="s">
        <v>363</v>
      </c>
      <c r="AU43" s="10">
        <v>260</v>
      </c>
      <c r="AV43" s="19">
        <v>520</v>
      </c>
      <c r="AX43" s="20" t="s">
        <v>361</v>
      </c>
      <c r="AY43" t="s">
        <v>362</v>
      </c>
      <c r="AZ43" t="s">
        <v>67</v>
      </c>
      <c r="BA43" s="10">
        <v>2</v>
      </c>
      <c r="BB43" t="s">
        <v>363</v>
      </c>
      <c r="BC43" s="10">
        <v>260</v>
      </c>
      <c r="BD43" s="19">
        <v>520</v>
      </c>
    </row>
    <row r="44" spans="1:56" x14ac:dyDescent="0.35">
      <c r="A44" s="38" t="str">
        <v>STA00094</v>
      </c>
      <c r="B44" s="31" t="str">
        <f t="shared" si="0"/>
        <v>OBAT PROMAG</v>
      </c>
      <c r="C44" s="31" t="str">
        <f t="shared" si="1"/>
        <v>STATIONARY AND OFFICE SUPPLIES</v>
      </c>
      <c r="D44" s="39" t="str">
        <f t="shared" si="2"/>
        <v>str</v>
      </c>
      <c r="E44" s="47">
        <f t="shared" si="3"/>
        <v>8400</v>
      </c>
      <c r="F44" s="48">
        <f t="shared" si="4"/>
        <v>0.4</v>
      </c>
      <c r="G44" s="48">
        <f t="shared" si="5"/>
        <v>0.2</v>
      </c>
      <c r="H44" s="48">
        <f t="shared" si="6"/>
        <v>-0.2</v>
      </c>
      <c r="I44" s="40">
        <f t="shared" si="7"/>
        <v>-1680</v>
      </c>
      <c r="J44" s="31" t="str">
        <f t="shared" si="8"/>
        <v>Penurunan IU</v>
      </c>
      <c r="K44" s="42" t="s">
        <v>1129</v>
      </c>
      <c r="O44" s="20">
        <v>2</v>
      </c>
      <c r="P44" t="s">
        <v>115</v>
      </c>
      <c r="Q44" t="s">
        <v>116</v>
      </c>
      <c r="R44" t="s">
        <v>117</v>
      </c>
      <c r="S44" s="10">
        <v>2000</v>
      </c>
      <c r="T44" t="s">
        <v>52</v>
      </c>
      <c r="U44" s="10">
        <v>600</v>
      </c>
      <c r="V44" s="19">
        <v>1200000</v>
      </c>
      <c r="X44" s="20" t="s">
        <v>357</v>
      </c>
      <c r="Y44" t="s">
        <v>358</v>
      </c>
      <c r="Z44" t="s">
        <v>67</v>
      </c>
      <c r="AA44" s="10">
        <v>0.05</v>
      </c>
      <c r="AB44" t="s">
        <v>5</v>
      </c>
      <c r="AC44" s="10">
        <v>32500</v>
      </c>
      <c r="AD44" s="19">
        <v>1625</v>
      </c>
      <c r="AG44" s="82" t="s">
        <v>35</v>
      </c>
      <c r="AH44" s="87" t="s">
        <v>11</v>
      </c>
      <c r="AI44" t="s">
        <v>715</v>
      </c>
      <c r="AN44" s="19"/>
      <c r="AP44" s="20" t="s">
        <v>256</v>
      </c>
      <c r="AQ44" t="s">
        <v>257</v>
      </c>
      <c r="AR44" t="s">
        <v>67</v>
      </c>
      <c r="AS44" s="10">
        <v>3</v>
      </c>
      <c r="AT44" t="s">
        <v>20</v>
      </c>
      <c r="AU44" s="10">
        <v>3310</v>
      </c>
      <c r="AV44" s="19">
        <v>9930</v>
      </c>
      <c r="AX44" s="20" t="s">
        <v>256</v>
      </c>
      <c r="AY44" t="s">
        <v>257</v>
      </c>
      <c r="AZ44" t="s">
        <v>67</v>
      </c>
      <c r="BA44" s="10">
        <v>3</v>
      </c>
      <c r="BB44" t="s">
        <v>20</v>
      </c>
      <c r="BC44" s="10">
        <v>3310</v>
      </c>
      <c r="BD44" s="19">
        <v>9930</v>
      </c>
    </row>
    <row r="45" spans="1:56" x14ac:dyDescent="0.35">
      <c r="A45" s="38" t="str">
        <v>STA00096</v>
      </c>
      <c r="B45" s="31" t="str">
        <f t="shared" si="0"/>
        <v>HANSAPLAS</v>
      </c>
      <c r="C45" s="31" t="str">
        <f t="shared" si="1"/>
        <v>STATIONARY AND OFFICE SUPPLIES</v>
      </c>
      <c r="D45" s="39" t="str">
        <f t="shared" si="2"/>
        <v>pack</v>
      </c>
      <c r="E45" s="47">
        <f t="shared" si="3"/>
        <v>34500</v>
      </c>
      <c r="F45" s="48" t="str">
        <f t="shared" si="4"/>
        <v>0</v>
      </c>
      <c r="G45" s="48">
        <f t="shared" si="5"/>
        <v>0.5</v>
      </c>
      <c r="H45" s="48">
        <f t="shared" si="6"/>
        <v>0.5</v>
      </c>
      <c r="I45" s="40">
        <f t="shared" si="7"/>
        <v>17250</v>
      </c>
      <c r="J45" s="31" t="str">
        <f t="shared" si="8"/>
        <v>Kenaikan IU</v>
      </c>
      <c r="K45" s="42" t="s">
        <v>1130</v>
      </c>
      <c r="O45" s="20">
        <v>3</v>
      </c>
      <c r="P45" t="s">
        <v>350</v>
      </c>
      <c r="Q45" t="s">
        <v>351</v>
      </c>
      <c r="R45" t="s">
        <v>117</v>
      </c>
      <c r="S45" s="10">
        <v>3</v>
      </c>
      <c r="T45" t="s">
        <v>20</v>
      </c>
      <c r="U45" s="10">
        <v>127000</v>
      </c>
      <c r="V45" s="19">
        <v>381000</v>
      </c>
      <c r="X45" s="20" t="s">
        <v>359</v>
      </c>
      <c r="Y45" t="s">
        <v>360</v>
      </c>
      <c r="Z45" t="s">
        <v>67</v>
      </c>
      <c r="AA45" s="10">
        <v>0.5</v>
      </c>
      <c r="AB45" t="s">
        <v>216</v>
      </c>
      <c r="AC45" s="10">
        <v>7000</v>
      </c>
      <c r="AD45" s="19">
        <v>3500</v>
      </c>
      <c r="AG45" s="20"/>
      <c r="AN45" s="19"/>
      <c r="AP45" s="20" t="s">
        <v>630</v>
      </c>
      <c r="AQ45" t="s">
        <v>631</v>
      </c>
      <c r="AR45" t="s">
        <v>67</v>
      </c>
      <c r="AS45" s="10">
        <v>4</v>
      </c>
      <c r="AT45" t="s">
        <v>20</v>
      </c>
      <c r="AU45" s="10">
        <v>5994.5909000000001</v>
      </c>
      <c r="AV45" s="19">
        <v>23978.363600000001</v>
      </c>
      <c r="AX45" s="20" t="s">
        <v>630</v>
      </c>
      <c r="AY45" t="s">
        <v>631</v>
      </c>
      <c r="AZ45" t="s">
        <v>67</v>
      </c>
      <c r="BA45" s="10">
        <v>4</v>
      </c>
      <c r="BB45" t="s">
        <v>20</v>
      </c>
      <c r="BC45" s="10">
        <v>5994.5909000000001</v>
      </c>
      <c r="BD45" s="19">
        <v>23978.363600000001</v>
      </c>
    </row>
    <row r="46" spans="1:56" x14ac:dyDescent="0.35">
      <c r="A46" s="38" t="str">
        <v>STA00097</v>
      </c>
      <c r="B46" s="31" t="str">
        <f t="shared" si="0"/>
        <v>BIOPLACENTON</v>
      </c>
      <c r="C46" s="31" t="str">
        <f t="shared" si="1"/>
        <v>STATIONARY AND OFFICE SUPPLIES</v>
      </c>
      <c r="D46" s="39" t="str">
        <f t="shared" si="2"/>
        <v>pcs</v>
      </c>
      <c r="E46" s="47">
        <f t="shared" si="3"/>
        <v>28500</v>
      </c>
      <c r="F46" s="48" t="str">
        <f t="shared" si="4"/>
        <v>0</v>
      </c>
      <c r="G46" s="48">
        <f t="shared" si="5"/>
        <v>0.1</v>
      </c>
      <c r="H46" s="48">
        <f t="shared" si="6"/>
        <v>0.1</v>
      </c>
      <c r="I46" s="40">
        <f t="shared" si="7"/>
        <v>2850</v>
      </c>
      <c r="J46" s="31" t="str">
        <f t="shared" si="8"/>
        <v>Kenaikan IU</v>
      </c>
      <c r="K46" s="42" t="s">
        <v>1131</v>
      </c>
      <c r="O46" s="20">
        <v>4</v>
      </c>
      <c r="P46" t="s">
        <v>706</v>
      </c>
      <c r="Q46" t="s">
        <v>707</v>
      </c>
      <c r="R46" t="s">
        <v>117</v>
      </c>
      <c r="S46" s="10">
        <v>1829</v>
      </c>
      <c r="T46" t="s">
        <v>20</v>
      </c>
      <c r="U46" s="10">
        <v>500</v>
      </c>
      <c r="V46" s="19">
        <v>914500</v>
      </c>
      <c r="X46" s="20" t="s">
        <v>85</v>
      </c>
      <c r="Y46" t="s">
        <v>86</v>
      </c>
      <c r="Z46" t="s">
        <v>67</v>
      </c>
      <c r="AA46" s="10">
        <v>0.5</v>
      </c>
      <c r="AB46" t="s">
        <v>87</v>
      </c>
      <c r="AC46" s="10">
        <v>18500</v>
      </c>
      <c r="AD46" s="19">
        <v>9250</v>
      </c>
      <c r="AG46" s="20" t="s">
        <v>42</v>
      </c>
      <c r="AH46" t="s">
        <v>43</v>
      </c>
      <c r="AI46" t="s">
        <v>44</v>
      </c>
      <c r="AJ46" t="s">
        <v>45</v>
      </c>
      <c r="AK46" t="s">
        <v>46</v>
      </c>
      <c r="AL46" t="s">
        <v>47</v>
      </c>
      <c r="AM46" t="s">
        <v>48</v>
      </c>
      <c r="AN46" s="19" t="s">
        <v>49</v>
      </c>
      <c r="AP46" s="20" t="s">
        <v>364</v>
      </c>
      <c r="AQ46" t="s">
        <v>365</v>
      </c>
      <c r="AR46" t="s">
        <v>67</v>
      </c>
      <c r="AS46" s="10">
        <v>5</v>
      </c>
      <c r="AT46" t="s">
        <v>52</v>
      </c>
      <c r="AU46" s="10">
        <v>500</v>
      </c>
      <c r="AV46" s="19">
        <v>2500</v>
      </c>
      <c r="AX46" s="20" t="s">
        <v>364</v>
      </c>
      <c r="AY46" t="s">
        <v>365</v>
      </c>
      <c r="AZ46" t="s">
        <v>67</v>
      </c>
      <c r="BA46" s="10">
        <v>5</v>
      </c>
      <c r="BB46" t="s">
        <v>52</v>
      </c>
      <c r="BC46" s="10">
        <v>500</v>
      </c>
      <c r="BD46" s="19">
        <v>2500</v>
      </c>
    </row>
    <row r="47" spans="1:56" x14ac:dyDescent="0.35">
      <c r="A47" s="38" t="str">
        <v>STA00098</v>
      </c>
      <c r="B47" s="31" t="str">
        <f t="shared" si="0"/>
        <v>KAPAS</v>
      </c>
      <c r="C47" s="31" t="str">
        <f t="shared" si="1"/>
        <v>STATIONARY AND OFFICE SUPPLIES</v>
      </c>
      <c r="D47" s="39" t="str">
        <f t="shared" si="2"/>
        <v>gr</v>
      </c>
      <c r="E47" s="47">
        <f t="shared" si="3"/>
        <v>260</v>
      </c>
      <c r="F47" s="48" t="str">
        <f t="shared" si="4"/>
        <v>0</v>
      </c>
      <c r="G47" s="48">
        <f t="shared" si="5"/>
        <v>2</v>
      </c>
      <c r="H47" s="48">
        <f t="shared" si="6"/>
        <v>2</v>
      </c>
      <c r="I47" s="40">
        <f t="shared" si="7"/>
        <v>520</v>
      </c>
      <c r="J47" s="31" t="str">
        <f t="shared" si="8"/>
        <v>Kenaikan IU</v>
      </c>
      <c r="K47" s="42" t="s">
        <v>1132</v>
      </c>
      <c r="O47" s="20">
        <v>5</v>
      </c>
      <c r="P47" t="s">
        <v>121</v>
      </c>
      <c r="Q47" t="s">
        <v>122</v>
      </c>
      <c r="R47" t="s">
        <v>123</v>
      </c>
      <c r="S47" s="10">
        <v>1</v>
      </c>
      <c r="T47" t="s">
        <v>5</v>
      </c>
      <c r="U47" s="10">
        <v>5000</v>
      </c>
      <c r="V47" s="19">
        <v>5000</v>
      </c>
      <c r="X47" s="20" t="s">
        <v>242</v>
      </c>
      <c r="Y47" t="s">
        <v>243</v>
      </c>
      <c r="Z47" t="s">
        <v>67</v>
      </c>
      <c r="AA47" s="10">
        <v>0.6</v>
      </c>
      <c r="AB47" t="s">
        <v>87</v>
      </c>
      <c r="AC47" s="10">
        <v>14500</v>
      </c>
      <c r="AD47" s="19">
        <v>8700</v>
      </c>
      <c r="AG47" s="20">
        <v>1</v>
      </c>
      <c r="AH47" t="s">
        <v>65</v>
      </c>
      <c r="AI47" t="s">
        <v>66</v>
      </c>
      <c r="AJ47" t="s">
        <v>67</v>
      </c>
      <c r="AK47" s="10">
        <v>6</v>
      </c>
      <c r="AL47" t="s">
        <v>20</v>
      </c>
      <c r="AM47" s="10">
        <v>444</v>
      </c>
      <c r="AN47" s="19">
        <v>2664</v>
      </c>
      <c r="AP47" s="20" t="s">
        <v>258</v>
      </c>
      <c r="AQ47" t="s">
        <v>259</v>
      </c>
      <c r="AR47" t="s">
        <v>67</v>
      </c>
      <c r="AS47">
        <v>0.5</v>
      </c>
      <c r="AT47" t="s">
        <v>5</v>
      </c>
      <c r="AU47">
        <v>24500</v>
      </c>
      <c r="AV47" s="19">
        <v>12250</v>
      </c>
      <c r="AX47" s="20" t="s">
        <v>258</v>
      </c>
      <c r="AY47" t="s">
        <v>259</v>
      </c>
      <c r="AZ47" t="s">
        <v>67</v>
      </c>
      <c r="BA47">
        <v>0.5</v>
      </c>
      <c r="BB47" t="s">
        <v>5</v>
      </c>
      <c r="BC47">
        <v>24500</v>
      </c>
      <c r="BD47" s="19">
        <v>12250</v>
      </c>
    </row>
    <row r="48" spans="1:56" x14ac:dyDescent="0.35">
      <c r="A48" s="38" t="str">
        <v>STA00099</v>
      </c>
      <c r="B48" s="31" t="str">
        <f t="shared" si="0"/>
        <v>BUSINESS FILE</v>
      </c>
      <c r="C48" s="31" t="str">
        <f t="shared" si="1"/>
        <v>STATIONARY AND OFFICE SUPPLIES</v>
      </c>
      <c r="D48" s="39" t="str">
        <f t="shared" si="2"/>
        <v>pcs</v>
      </c>
      <c r="E48" s="47">
        <f t="shared" si="3"/>
        <v>3310</v>
      </c>
      <c r="F48" s="48" t="str">
        <f t="shared" si="4"/>
        <v>0</v>
      </c>
      <c r="G48" s="48">
        <f t="shared" si="5"/>
        <v>3</v>
      </c>
      <c r="H48" s="48">
        <f t="shared" si="6"/>
        <v>3</v>
      </c>
      <c r="I48" s="40">
        <f t="shared" si="7"/>
        <v>9930</v>
      </c>
      <c r="J48" s="31" t="str">
        <f t="shared" si="8"/>
        <v>Kenaikan IU</v>
      </c>
      <c r="K48" s="42" t="s">
        <v>1114</v>
      </c>
      <c r="O48" s="20">
        <v>6</v>
      </c>
      <c r="P48" t="s">
        <v>124</v>
      </c>
      <c r="Q48" t="s">
        <v>125</v>
      </c>
      <c r="R48" t="s">
        <v>123</v>
      </c>
      <c r="S48" s="10">
        <v>17</v>
      </c>
      <c r="T48" t="s">
        <v>5</v>
      </c>
      <c r="U48" s="10">
        <v>5544.1538</v>
      </c>
      <c r="V48" s="19">
        <v>94250.614600000001</v>
      </c>
      <c r="X48" s="20" t="s">
        <v>244</v>
      </c>
      <c r="Y48" t="s">
        <v>245</v>
      </c>
      <c r="Z48" t="s">
        <v>67</v>
      </c>
      <c r="AA48" s="10">
        <v>1</v>
      </c>
      <c r="AB48" t="s">
        <v>20</v>
      </c>
      <c r="AC48" s="10">
        <v>6000</v>
      </c>
      <c r="AD48" s="19">
        <v>6000</v>
      </c>
      <c r="AG48" s="20">
        <v>2</v>
      </c>
      <c r="AH48" t="s">
        <v>68</v>
      </c>
      <c r="AI48" t="s">
        <v>69</v>
      </c>
      <c r="AJ48" t="s">
        <v>67</v>
      </c>
      <c r="AK48" s="10">
        <v>0.03</v>
      </c>
      <c r="AL48" t="s">
        <v>5</v>
      </c>
      <c r="AM48" s="10">
        <v>18750</v>
      </c>
      <c r="AN48" s="19">
        <v>562.5</v>
      </c>
      <c r="AP48" s="20" t="s">
        <v>716</v>
      </c>
      <c r="AQ48" t="s">
        <v>717</v>
      </c>
      <c r="AR48" t="s">
        <v>165</v>
      </c>
      <c r="AS48" s="10">
        <v>1</v>
      </c>
      <c r="AT48" t="s">
        <v>20</v>
      </c>
      <c r="AU48" s="10">
        <v>69500</v>
      </c>
      <c r="AV48" s="19">
        <v>69500</v>
      </c>
      <c r="AX48" s="20" t="s">
        <v>716</v>
      </c>
      <c r="AY48" t="s">
        <v>717</v>
      </c>
      <c r="AZ48" t="s">
        <v>165</v>
      </c>
      <c r="BA48" s="10">
        <v>1</v>
      </c>
      <c r="BB48" t="s">
        <v>20</v>
      </c>
      <c r="BC48" s="10">
        <v>69500</v>
      </c>
      <c r="BD48" s="19">
        <v>69500</v>
      </c>
    </row>
    <row r="49" spans="1:56" x14ac:dyDescent="0.35">
      <c r="A49" s="38" t="str">
        <v>STA00114</v>
      </c>
      <c r="B49" s="31" t="str">
        <f t="shared" si="0"/>
        <v>LABEL HARGA</v>
      </c>
      <c r="C49" s="31" t="str">
        <f t="shared" si="1"/>
        <v>STATIONARY AND OFFICE SUPPLIES</v>
      </c>
      <c r="D49" s="39" t="str">
        <f t="shared" si="2"/>
        <v>pcs</v>
      </c>
      <c r="E49" s="47">
        <f t="shared" si="3"/>
        <v>5994.5909000000001</v>
      </c>
      <c r="F49" s="48" t="str">
        <f t="shared" si="4"/>
        <v>0</v>
      </c>
      <c r="G49" s="48">
        <f t="shared" si="5"/>
        <v>4</v>
      </c>
      <c r="H49" s="48">
        <f t="shared" si="6"/>
        <v>4</v>
      </c>
      <c r="I49" s="40">
        <f t="shared" si="7"/>
        <v>23978.363600000001</v>
      </c>
      <c r="J49" s="31" t="str">
        <f t="shared" si="8"/>
        <v>Kenaikan IU</v>
      </c>
      <c r="K49" s="42" t="s">
        <v>1133</v>
      </c>
      <c r="O49" s="20">
        <v>7</v>
      </c>
      <c r="P49" t="s">
        <v>126</v>
      </c>
      <c r="Q49" t="s">
        <v>127</v>
      </c>
      <c r="R49" t="s">
        <v>123</v>
      </c>
      <c r="S49" s="10">
        <v>8</v>
      </c>
      <c r="T49" t="s">
        <v>5</v>
      </c>
      <c r="U49" s="10">
        <v>6810.9229999999989</v>
      </c>
      <c r="V49" s="19">
        <v>54487.383999999998</v>
      </c>
      <c r="X49" s="20" t="s">
        <v>246</v>
      </c>
      <c r="Y49" t="s">
        <v>247</v>
      </c>
      <c r="Z49" t="s">
        <v>67</v>
      </c>
      <c r="AA49" s="10">
        <v>2</v>
      </c>
      <c r="AB49" t="s">
        <v>5</v>
      </c>
      <c r="AC49" s="10">
        <v>1400</v>
      </c>
      <c r="AD49" s="19">
        <v>2800</v>
      </c>
      <c r="AG49" s="20">
        <v>3</v>
      </c>
      <c r="AH49" t="s">
        <v>388</v>
      </c>
      <c r="AI49" t="s">
        <v>389</v>
      </c>
      <c r="AJ49" t="s">
        <v>67</v>
      </c>
      <c r="AK49" s="10">
        <v>8</v>
      </c>
      <c r="AL49" t="s">
        <v>20</v>
      </c>
      <c r="AM49" s="10">
        <v>2639</v>
      </c>
      <c r="AN49" s="19">
        <v>21112</v>
      </c>
      <c r="AP49" s="20" t="s">
        <v>544</v>
      </c>
      <c r="AQ49" t="s">
        <v>545</v>
      </c>
      <c r="AR49" t="s">
        <v>165</v>
      </c>
      <c r="AS49">
        <v>1</v>
      </c>
      <c r="AT49" t="s">
        <v>20</v>
      </c>
      <c r="AU49">
        <v>107500</v>
      </c>
      <c r="AV49" s="19">
        <v>107500</v>
      </c>
      <c r="AX49" s="20" t="s">
        <v>544</v>
      </c>
      <c r="AY49" t="s">
        <v>545</v>
      </c>
      <c r="AZ49" t="s">
        <v>165</v>
      </c>
      <c r="BA49">
        <v>1</v>
      </c>
      <c r="BB49" t="s">
        <v>20</v>
      </c>
      <c r="BC49">
        <v>107500</v>
      </c>
      <c r="BD49" s="19">
        <v>107500</v>
      </c>
    </row>
    <row r="50" spans="1:56" x14ac:dyDescent="0.35">
      <c r="A50" s="38" t="str">
        <v>STA00115</v>
      </c>
      <c r="B50" s="31" t="str">
        <f t="shared" si="0"/>
        <v>STICKER SAUCE</v>
      </c>
      <c r="C50" s="31" t="str">
        <f t="shared" si="1"/>
        <v>STATIONARY AND OFFICE SUPPLIES</v>
      </c>
      <c r="D50" s="39" t="str">
        <f t="shared" si="2"/>
        <v>lembar</v>
      </c>
      <c r="E50" s="47">
        <f t="shared" si="3"/>
        <v>500</v>
      </c>
      <c r="F50" s="48">
        <f t="shared" si="4"/>
        <v>17</v>
      </c>
      <c r="G50" s="48">
        <f t="shared" si="5"/>
        <v>5</v>
      </c>
      <c r="H50" s="48">
        <f t="shared" si="6"/>
        <v>-12</v>
      </c>
      <c r="I50" s="40">
        <f t="shared" si="7"/>
        <v>-6000</v>
      </c>
      <c r="J50" s="31" t="str">
        <f t="shared" si="8"/>
        <v>Penurunan IU</v>
      </c>
      <c r="K50" s="42" t="s">
        <v>1133</v>
      </c>
      <c r="O50" s="20">
        <v>8</v>
      </c>
      <c r="P50" t="s">
        <v>128</v>
      </c>
      <c r="Q50" t="s">
        <v>129</v>
      </c>
      <c r="R50" t="s">
        <v>123</v>
      </c>
      <c r="S50" s="10">
        <v>2</v>
      </c>
      <c r="T50" t="s">
        <v>74</v>
      </c>
      <c r="U50" s="10">
        <v>142077.0753</v>
      </c>
      <c r="V50" s="19">
        <v>284154.15059999999</v>
      </c>
      <c r="X50" s="20" t="s">
        <v>327</v>
      </c>
      <c r="Y50" t="s">
        <v>328</v>
      </c>
      <c r="Z50" t="s">
        <v>67</v>
      </c>
      <c r="AA50" s="10">
        <v>4</v>
      </c>
      <c r="AB50" t="s">
        <v>5</v>
      </c>
      <c r="AC50" s="10">
        <v>6250</v>
      </c>
      <c r="AD50" s="19">
        <v>25000</v>
      </c>
      <c r="AG50" s="20">
        <v>4</v>
      </c>
      <c r="AH50" t="s">
        <v>234</v>
      </c>
      <c r="AI50" t="s">
        <v>235</v>
      </c>
      <c r="AJ50" t="s">
        <v>67</v>
      </c>
      <c r="AK50" s="10">
        <v>0.2</v>
      </c>
      <c r="AL50" t="s">
        <v>20</v>
      </c>
      <c r="AM50" s="10">
        <v>5500</v>
      </c>
      <c r="AN50" s="19">
        <v>1100</v>
      </c>
      <c r="AP50" s="20" t="s">
        <v>124</v>
      </c>
      <c r="AQ50" t="s">
        <v>125</v>
      </c>
      <c r="AR50" t="s">
        <v>123</v>
      </c>
      <c r="AS50" s="10">
        <v>17</v>
      </c>
      <c r="AT50" t="s">
        <v>5</v>
      </c>
      <c r="AU50" s="10">
        <v>5574.4823999999999</v>
      </c>
      <c r="AV50" s="19">
        <v>94766.200800000006</v>
      </c>
      <c r="AX50" s="20" t="s">
        <v>124</v>
      </c>
      <c r="AY50" t="s">
        <v>125</v>
      </c>
      <c r="AZ50" t="s">
        <v>123</v>
      </c>
      <c r="BA50" s="10">
        <v>17</v>
      </c>
      <c r="BB50" t="s">
        <v>5</v>
      </c>
      <c r="BC50" s="10">
        <v>5574.4823999999999</v>
      </c>
      <c r="BD50" s="19">
        <v>94766.200800000006</v>
      </c>
    </row>
    <row r="51" spans="1:56" x14ac:dyDescent="0.35">
      <c r="A51" s="38" t="str">
        <v>STA00121</v>
      </c>
      <c r="B51" s="31" t="str">
        <f t="shared" si="0"/>
        <v>KERTAS BURAM A4</v>
      </c>
      <c r="C51" s="31" t="str">
        <f t="shared" si="1"/>
        <v>STATIONARY AND OFFICE SUPPLIES</v>
      </c>
      <c r="D51" s="39" t="str">
        <f t="shared" si="2"/>
        <v>pack</v>
      </c>
      <c r="E51" s="47">
        <f t="shared" si="3"/>
        <v>24500</v>
      </c>
      <c r="F51" s="48">
        <f t="shared" si="4"/>
        <v>0.5</v>
      </c>
      <c r="G51" s="48">
        <f t="shared" si="5"/>
        <v>0.5</v>
      </c>
      <c r="H51" s="48">
        <f t="shared" si="6"/>
        <v>0</v>
      </c>
      <c r="I51" s="40">
        <f t="shared" si="7"/>
        <v>0</v>
      </c>
      <c r="J51" s="31" t="str">
        <f t="shared" si="8"/>
        <v>Tidak Ada Perubahan</v>
      </c>
      <c r="K51" s="42" t="s">
        <v>1134</v>
      </c>
      <c r="O51" s="20">
        <v>9</v>
      </c>
      <c r="P51" t="s">
        <v>130</v>
      </c>
      <c r="Q51" t="s">
        <v>131</v>
      </c>
      <c r="R51" t="s">
        <v>123</v>
      </c>
      <c r="S51" s="10">
        <v>23</v>
      </c>
      <c r="T51" t="s">
        <v>5</v>
      </c>
      <c r="U51" s="10">
        <v>6355.5744999999997</v>
      </c>
      <c r="V51" s="19">
        <v>146178.21350000001</v>
      </c>
      <c r="X51" s="20" t="s">
        <v>90</v>
      </c>
      <c r="Y51" t="s">
        <v>91</v>
      </c>
      <c r="Z51" t="s">
        <v>67</v>
      </c>
      <c r="AA51" s="10">
        <v>2</v>
      </c>
      <c r="AB51" t="s">
        <v>5</v>
      </c>
      <c r="AC51" s="10">
        <v>6250</v>
      </c>
      <c r="AD51" s="19">
        <v>12500</v>
      </c>
      <c r="AG51" s="20">
        <v>5</v>
      </c>
      <c r="AH51" t="s">
        <v>393</v>
      </c>
      <c r="AI51" t="s">
        <v>394</v>
      </c>
      <c r="AJ51" t="s">
        <v>67</v>
      </c>
      <c r="AK51" s="10">
        <v>0.4</v>
      </c>
      <c r="AL51" t="s">
        <v>20</v>
      </c>
      <c r="AM51" s="10">
        <v>12500</v>
      </c>
      <c r="AN51" s="19">
        <v>5000</v>
      </c>
      <c r="AP51" s="20" t="s">
        <v>126</v>
      </c>
      <c r="AQ51" t="s">
        <v>127</v>
      </c>
      <c r="AR51" t="s">
        <v>123</v>
      </c>
      <c r="AS51" s="10">
        <v>10</v>
      </c>
      <c r="AT51" t="s">
        <v>5</v>
      </c>
      <c r="AU51" s="10">
        <v>6823.1926000000003</v>
      </c>
      <c r="AV51" s="19">
        <v>68231.926000000007</v>
      </c>
      <c r="AX51" s="20" t="s">
        <v>126</v>
      </c>
      <c r="AY51" t="s">
        <v>127</v>
      </c>
      <c r="AZ51" t="s">
        <v>123</v>
      </c>
      <c r="BA51" s="10">
        <v>10</v>
      </c>
      <c r="BB51" t="s">
        <v>5</v>
      </c>
      <c r="BC51" s="10">
        <v>6823.1926000000003</v>
      </c>
      <c r="BD51" s="19">
        <v>68231.926000000007</v>
      </c>
    </row>
    <row r="52" spans="1:56" x14ac:dyDescent="0.35">
      <c r="A52" s="38" t="str">
        <v>KW00082</v>
      </c>
      <c r="B52" s="31" t="str">
        <f t="shared" si="0"/>
        <v>SAPU KUALI</v>
      </c>
      <c r="C52" s="31" t="str">
        <f t="shared" si="1"/>
        <v>KITCHENWARE TOOLS</v>
      </c>
      <c r="D52" s="39" t="str">
        <f t="shared" si="2"/>
        <v>pcs</v>
      </c>
      <c r="E52" s="47">
        <f t="shared" si="3"/>
        <v>69500</v>
      </c>
      <c r="F52" s="48" t="str">
        <f t="shared" si="4"/>
        <v>0</v>
      </c>
      <c r="G52" s="48">
        <f t="shared" si="5"/>
        <v>1</v>
      </c>
      <c r="H52" s="48">
        <f t="shared" si="6"/>
        <v>1</v>
      </c>
      <c r="I52" s="40">
        <f t="shared" si="7"/>
        <v>69500</v>
      </c>
      <c r="J52" s="31" t="str">
        <f t="shared" si="8"/>
        <v>Kenaikan IU</v>
      </c>
      <c r="K52" s="42" t="s">
        <v>1114</v>
      </c>
      <c r="O52" s="20">
        <v>10</v>
      </c>
      <c r="P52" t="s">
        <v>135</v>
      </c>
      <c r="Q52" t="s">
        <v>136</v>
      </c>
      <c r="R52" t="s">
        <v>123</v>
      </c>
      <c r="S52" s="10">
        <v>8.5</v>
      </c>
      <c r="T52" t="s">
        <v>5</v>
      </c>
      <c r="U52" s="10">
        <v>5688.7659999999996</v>
      </c>
      <c r="V52" s="19">
        <v>48354.510999999999</v>
      </c>
      <c r="X52" s="20" t="s">
        <v>92</v>
      </c>
      <c r="Y52" t="s">
        <v>93</v>
      </c>
      <c r="Z52" t="s">
        <v>67</v>
      </c>
      <c r="AA52" s="10">
        <v>31</v>
      </c>
      <c r="AB52" t="s">
        <v>94</v>
      </c>
      <c r="AC52" s="10">
        <v>11800</v>
      </c>
      <c r="AD52" s="19">
        <v>365800</v>
      </c>
      <c r="AG52" s="20">
        <v>6</v>
      </c>
      <c r="AH52" t="s">
        <v>325</v>
      </c>
      <c r="AI52" t="s">
        <v>326</v>
      </c>
      <c r="AJ52" t="s">
        <v>67</v>
      </c>
      <c r="AK52" s="10">
        <v>0.5</v>
      </c>
      <c r="AL52" t="s">
        <v>5</v>
      </c>
      <c r="AM52" s="10">
        <v>46500</v>
      </c>
      <c r="AN52" s="19">
        <v>23250</v>
      </c>
      <c r="AP52" s="20" t="s">
        <v>130</v>
      </c>
      <c r="AQ52" t="s">
        <v>131</v>
      </c>
      <c r="AR52" t="s">
        <v>123</v>
      </c>
      <c r="AS52" s="10">
        <v>28</v>
      </c>
      <c r="AT52" t="s">
        <v>5</v>
      </c>
      <c r="AU52" s="10">
        <v>6355.6031000000003</v>
      </c>
      <c r="AV52" s="19">
        <v>177956.88680000001</v>
      </c>
      <c r="AX52" s="20" t="s">
        <v>130</v>
      </c>
      <c r="AY52" t="s">
        <v>131</v>
      </c>
      <c r="AZ52" t="s">
        <v>123</v>
      </c>
      <c r="BA52" s="10">
        <v>28</v>
      </c>
      <c r="BB52" t="s">
        <v>5</v>
      </c>
      <c r="BC52" s="10">
        <v>6355.6031000000003</v>
      </c>
      <c r="BD52" s="19">
        <v>177956.88680000001</v>
      </c>
    </row>
    <row r="53" spans="1:56" x14ac:dyDescent="0.35">
      <c r="A53" s="38" t="str">
        <v>KW00317</v>
      </c>
      <c r="B53" s="31" t="str">
        <f t="shared" si="0"/>
        <v>SPATULA SILIKON - ABU</v>
      </c>
      <c r="C53" s="31" t="str">
        <f t="shared" si="1"/>
        <v>KITCHENWARE TOOLS</v>
      </c>
      <c r="D53" s="39" t="str">
        <f t="shared" si="2"/>
        <v>pcs</v>
      </c>
      <c r="E53" s="47">
        <f t="shared" si="3"/>
        <v>107500</v>
      </c>
      <c r="F53" s="48" t="str">
        <f t="shared" si="4"/>
        <v>0</v>
      </c>
      <c r="G53" s="48">
        <f t="shared" si="5"/>
        <v>1</v>
      </c>
      <c r="H53" s="48">
        <f t="shared" si="6"/>
        <v>1</v>
      </c>
      <c r="I53" s="40">
        <f t="shared" si="7"/>
        <v>107500</v>
      </c>
      <c r="J53" s="31" t="str">
        <f t="shared" si="8"/>
        <v>Kenaikan IU</v>
      </c>
      <c r="K53" s="42" t="s">
        <v>1114</v>
      </c>
      <c r="O53" s="20">
        <v>11</v>
      </c>
      <c r="P53" t="s">
        <v>137</v>
      </c>
      <c r="Q53" t="s">
        <v>138</v>
      </c>
      <c r="R53" t="s">
        <v>123</v>
      </c>
      <c r="S53" s="10">
        <v>18</v>
      </c>
      <c r="T53" t="s">
        <v>5</v>
      </c>
      <c r="U53" s="10">
        <v>16096.193799999999</v>
      </c>
      <c r="V53" s="19">
        <v>289731.48839999997</v>
      </c>
      <c r="X53" s="20" t="s">
        <v>100</v>
      </c>
      <c r="Y53" t="s">
        <v>101</v>
      </c>
      <c r="Z53" t="s">
        <v>67</v>
      </c>
      <c r="AA53" s="10">
        <v>0.4</v>
      </c>
      <c r="AB53" t="s">
        <v>87</v>
      </c>
      <c r="AC53" s="10">
        <v>8400</v>
      </c>
      <c r="AD53" s="19">
        <v>3360</v>
      </c>
      <c r="AG53" s="20">
        <v>7</v>
      </c>
      <c r="AH53" t="s">
        <v>357</v>
      </c>
      <c r="AI53" t="s">
        <v>358</v>
      </c>
      <c r="AJ53" t="s">
        <v>67</v>
      </c>
      <c r="AK53" s="10">
        <v>0.05</v>
      </c>
      <c r="AL53" t="s">
        <v>5</v>
      </c>
      <c r="AM53" s="10">
        <v>32500</v>
      </c>
      <c r="AN53" s="19">
        <v>1625</v>
      </c>
      <c r="AP53" s="20" t="s">
        <v>132</v>
      </c>
      <c r="AQ53" t="s">
        <v>133</v>
      </c>
      <c r="AR53" t="s">
        <v>123</v>
      </c>
      <c r="AS53" s="10">
        <v>2</v>
      </c>
      <c r="AT53" t="s">
        <v>134</v>
      </c>
      <c r="AU53" s="10">
        <v>13000</v>
      </c>
      <c r="AV53" s="19">
        <v>26000</v>
      </c>
      <c r="AX53" s="20" t="s">
        <v>132</v>
      </c>
      <c r="AY53" t="s">
        <v>133</v>
      </c>
      <c r="AZ53" t="s">
        <v>123</v>
      </c>
      <c r="BA53" s="10">
        <v>2</v>
      </c>
      <c r="BB53" t="s">
        <v>134</v>
      </c>
      <c r="BC53" s="10">
        <v>13000</v>
      </c>
      <c r="BD53" s="19">
        <v>26000</v>
      </c>
    </row>
    <row r="54" spans="1:56" x14ac:dyDescent="0.35">
      <c r="A54" s="38" t="str">
        <v>NCGK0001</v>
      </c>
      <c r="B54" s="31" t="str">
        <f t="shared" si="0"/>
        <v>PLASTIK PE 2 KG 20 x 35 (Kitchen)</v>
      </c>
      <c r="C54" s="31" t="str">
        <f t="shared" si="1"/>
        <v>NCG</v>
      </c>
      <c r="D54" s="39" t="str">
        <f t="shared" si="2"/>
        <v>pack</v>
      </c>
      <c r="E54" s="47">
        <f t="shared" si="3"/>
        <v>5574.4823999999999</v>
      </c>
      <c r="F54" s="48">
        <f t="shared" si="4"/>
        <v>17</v>
      </c>
      <c r="G54" s="48">
        <f t="shared" si="5"/>
        <v>17</v>
      </c>
      <c r="H54" s="48">
        <f t="shared" si="6"/>
        <v>0</v>
      </c>
      <c r="I54" s="40">
        <f t="shared" si="7"/>
        <v>0</v>
      </c>
      <c r="J54" s="31" t="str">
        <f t="shared" si="8"/>
        <v>Tidak Ada Perubahan</v>
      </c>
      <c r="K54" s="42" t="s">
        <v>1114</v>
      </c>
      <c r="O54" s="20">
        <v>12</v>
      </c>
      <c r="P54" t="s">
        <v>139</v>
      </c>
      <c r="Q54" t="s">
        <v>140</v>
      </c>
      <c r="R54" t="s">
        <v>123</v>
      </c>
      <c r="S54" s="10">
        <v>6</v>
      </c>
      <c r="T54" t="s">
        <v>5</v>
      </c>
      <c r="U54" s="10">
        <v>42289.156600000002</v>
      </c>
      <c r="V54" s="19">
        <v>253734.93960000001</v>
      </c>
      <c r="X54" s="20" t="s">
        <v>102</v>
      </c>
      <c r="Y54" t="s">
        <v>103</v>
      </c>
      <c r="Z54" t="s">
        <v>67</v>
      </c>
      <c r="AA54" s="10">
        <v>0.1</v>
      </c>
      <c r="AB54" t="s">
        <v>87</v>
      </c>
      <c r="AC54" s="10">
        <v>9000</v>
      </c>
      <c r="AD54" s="19">
        <v>900</v>
      </c>
      <c r="AG54" s="20">
        <v>8</v>
      </c>
      <c r="AH54" t="s">
        <v>624</v>
      </c>
      <c r="AI54" t="s">
        <v>625</v>
      </c>
      <c r="AJ54" t="s">
        <v>67</v>
      </c>
      <c r="AK54" s="10">
        <v>0.2</v>
      </c>
      <c r="AL54" t="s">
        <v>5</v>
      </c>
      <c r="AM54" s="10">
        <v>13000</v>
      </c>
      <c r="AN54" s="19">
        <v>2600</v>
      </c>
      <c r="AP54" s="20" t="s">
        <v>135</v>
      </c>
      <c r="AQ54" t="s">
        <v>136</v>
      </c>
      <c r="AR54" t="s">
        <v>123</v>
      </c>
      <c r="AS54" s="10">
        <v>11.5</v>
      </c>
      <c r="AT54" t="s">
        <v>5</v>
      </c>
      <c r="AU54" s="10">
        <v>5688.7659999999996</v>
      </c>
      <c r="AV54" s="19">
        <v>65420.809000000001</v>
      </c>
      <c r="AX54" s="20" t="s">
        <v>135</v>
      </c>
      <c r="AY54" t="s">
        <v>136</v>
      </c>
      <c r="AZ54" t="s">
        <v>123</v>
      </c>
      <c r="BA54" s="10">
        <v>11.5</v>
      </c>
      <c r="BB54" t="s">
        <v>5</v>
      </c>
      <c r="BC54" s="10">
        <v>5688.7659999999996</v>
      </c>
      <c r="BD54" s="19">
        <v>65420.809000000001</v>
      </c>
    </row>
    <row r="55" spans="1:56" x14ac:dyDescent="0.35">
      <c r="A55" s="38" t="str">
        <v>NCGK0003</v>
      </c>
      <c r="B55" s="31" t="str">
        <f t="shared" si="0"/>
        <v>PLASTIK PE 1 KG 15 x 30</v>
      </c>
      <c r="C55" s="31" t="str">
        <f t="shared" si="1"/>
        <v>NCG</v>
      </c>
      <c r="D55" s="39" t="str">
        <f t="shared" si="2"/>
        <v>pack</v>
      </c>
      <c r="E55" s="47">
        <f t="shared" si="3"/>
        <v>6823.1926000000003</v>
      </c>
      <c r="F55" s="48">
        <f t="shared" si="4"/>
        <v>8</v>
      </c>
      <c r="G55" s="48">
        <f t="shared" si="5"/>
        <v>10</v>
      </c>
      <c r="H55" s="48">
        <f t="shared" si="6"/>
        <v>2</v>
      </c>
      <c r="I55" s="40">
        <f t="shared" si="7"/>
        <v>13646.385200000001</v>
      </c>
      <c r="J55" s="31" t="str">
        <f t="shared" si="8"/>
        <v>Kenaikan IU</v>
      </c>
      <c r="K55" s="42" t="s">
        <v>1114</v>
      </c>
      <c r="O55" s="20">
        <v>13</v>
      </c>
      <c r="P55" t="s">
        <v>141</v>
      </c>
      <c r="Q55" t="s">
        <v>142</v>
      </c>
      <c r="R55" t="s">
        <v>123</v>
      </c>
      <c r="S55" s="10">
        <v>4</v>
      </c>
      <c r="T55" t="s">
        <v>5</v>
      </c>
      <c r="U55" s="10">
        <v>42034.197899999999</v>
      </c>
      <c r="V55" s="19">
        <v>168136.7916</v>
      </c>
      <c r="X55" s="20" t="s">
        <v>107</v>
      </c>
      <c r="Y55" t="s">
        <v>108</v>
      </c>
      <c r="Z55" t="s">
        <v>67</v>
      </c>
      <c r="AA55" s="10">
        <v>2</v>
      </c>
      <c r="AB55" t="s">
        <v>5</v>
      </c>
      <c r="AC55" s="10">
        <v>16250</v>
      </c>
      <c r="AD55" s="19">
        <v>32500</v>
      </c>
      <c r="AG55" s="20">
        <v>9</v>
      </c>
      <c r="AH55" t="s">
        <v>395</v>
      </c>
      <c r="AI55" t="s">
        <v>396</v>
      </c>
      <c r="AJ55" t="s">
        <v>67</v>
      </c>
      <c r="AK55" s="10">
        <v>0.2</v>
      </c>
      <c r="AL55" t="s">
        <v>216</v>
      </c>
      <c r="AM55" s="10">
        <v>6000</v>
      </c>
      <c r="AN55" s="19">
        <v>1200</v>
      </c>
      <c r="AP55" s="20" t="s">
        <v>137</v>
      </c>
      <c r="AQ55" t="s">
        <v>138</v>
      </c>
      <c r="AR55" t="s">
        <v>123</v>
      </c>
      <c r="AS55" s="10">
        <v>15</v>
      </c>
      <c r="AT55" t="s">
        <v>5</v>
      </c>
      <c r="AU55" s="10">
        <v>16096.193799999999</v>
      </c>
      <c r="AV55" s="19">
        <v>241442.90700000001</v>
      </c>
      <c r="AX55" s="20" t="s">
        <v>137</v>
      </c>
      <c r="AY55" t="s">
        <v>138</v>
      </c>
      <c r="AZ55" t="s">
        <v>123</v>
      </c>
      <c r="BA55" s="10">
        <v>15</v>
      </c>
      <c r="BB55" t="s">
        <v>5</v>
      </c>
      <c r="BC55" s="10">
        <v>16096.193799999999</v>
      </c>
      <c r="BD55" s="19">
        <v>241442.90700000001</v>
      </c>
    </row>
    <row r="56" spans="1:56" x14ac:dyDescent="0.35">
      <c r="A56" s="38" t="str">
        <v>NCGK0006</v>
      </c>
      <c r="B56" s="31" t="str">
        <f t="shared" si="0"/>
        <v>TISSUE SEE-U HANDTOWELS @ 20 PACK</v>
      </c>
      <c r="C56" s="31" t="str">
        <f t="shared" si="1"/>
        <v>NCG</v>
      </c>
      <c r="D56" s="39" t="str">
        <f t="shared" si="2"/>
        <v>pack</v>
      </c>
      <c r="E56" s="47">
        <f t="shared" si="3"/>
        <v>6355.6031000000003</v>
      </c>
      <c r="F56" s="48">
        <f t="shared" si="4"/>
        <v>23</v>
      </c>
      <c r="G56" s="48">
        <f t="shared" si="5"/>
        <v>28</v>
      </c>
      <c r="H56" s="48">
        <f t="shared" si="6"/>
        <v>5</v>
      </c>
      <c r="I56" s="40">
        <f t="shared" si="7"/>
        <v>31778.015500000001</v>
      </c>
      <c r="J56" s="31" t="str">
        <f t="shared" si="8"/>
        <v>Kenaikan IU</v>
      </c>
      <c r="K56" s="42" t="s">
        <v>1133</v>
      </c>
      <c r="O56" s="20">
        <v>14</v>
      </c>
      <c r="P56" t="s">
        <v>143</v>
      </c>
      <c r="Q56" t="s">
        <v>144</v>
      </c>
      <c r="R56" t="s">
        <v>123</v>
      </c>
      <c r="S56" s="10">
        <v>0.5</v>
      </c>
      <c r="T56" t="s">
        <v>5</v>
      </c>
      <c r="U56" s="10">
        <v>47233.34</v>
      </c>
      <c r="V56" s="19">
        <v>23616.67</v>
      </c>
      <c r="X56" s="20" t="s">
        <v>364</v>
      </c>
      <c r="Y56" t="s">
        <v>365</v>
      </c>
      <c r="Z56" t="s">
        <v>67</v>
      </c>
      <c r="AA56" s="10">
        <v>17</v>
      </c>
      <c r="AB56" t="s">
        <v>52</v>
      </c>
      <c r="AC56" s="10">
        <v>500</v>
      </c>
      <c r="AD56" s="19">
        <v>8500</v>
      </c>
      <c r="AG56" s="20">
        <v>10</v>
      </c>
      <c r="AH56" t="s">
        <v>359</v>
      </c>
      <c r="AI56" t="s">
        <v>360</v>
      </c>
      <c r="AJ56" t="s">
        <v>67</v>
      </c>
      <c r="AK56" s="10">
        <v>0.1</v>
      </c>
      <c r="AL56" t="s">
        <v>216</v>
      </c>
      <c r="AM56" s="10">
        <v>7000</v>
      </c>
      <c r="AN56" s="19">
        <v>700</v>
      </c>
      <c r="AP56" s="20" t="s">
        <v>139</v>
      </c>
      <c r="AQ56" t="s">
        <v>140</v>
      </c>
      <c r="AR56" t="s">
        <v>123</v>
      </c>
      <c r="AS56" s="10">
        <v>3</v>
      </c>
      <c r="AT56" t="s">
        <v>5</v>
      </c>
      <c r="AU56" s="10">
        <v>42883.0697</v>
      </c>
      <c r="AV56" s="19">
        <v>128649.20909999999</v>
      </c>
      <c r="AX56" s="20" t="s">
        <v>139</v>
      </c>
      <c r="AY56" t="s">
        <v>140</v>
      </c>
      <c r="AZ56" t="s">
        <v>123</v>
      </c>
      <c r="BA56" s="10">
        <v>3</v>
      </c>
      <c r="BB56" t="s">
        <v>5</v>
      </c>
      <c r="BC56" s="10">
        <v>42883.0697</v>
      </c>
      <c r="BD56" s="19">
        <v>128649.20909999999</v>
      </c>
    </row>
    <row r="57" spans="1:56" x14ac:dyDescent="0.35">
      <c r="A57" s="38" t="str">
        <v>NCGK0007</v>
      </c>
      <c r="B57" s="31" t="str">
        <f t="shared" si="0"/>
        <v>GAS BUTANE PORTABLE PURITY 230G @24 CAN</v>
      </c>
      <c r="C57" s="31" t="str">
        <f t="shared" si="1"/>
        <v>NCG</v>
      </c>
      <c r="D57" s="39" t="str">
        <f t="shared" si="2"/>
        <v>can</v>
      </c>
      <c r="E57" s="47">
        <f t="shared" si="3"/>
        <v>13000</v>
      </c>
      <c r="F57" s="48" t="str">
        <f t="shared" si="4"/>
        <v>0</v>
      </c>
      <c r="G57" s="48">
        <f t="shared" si="5"/>
        <v>2</v>
      </c>
      <c r="H57" s="48">
        <f t="shared" si="6"/>
        <v>2</v>
      </c>
      <c r="I57" s="40">
        <f t="shared" si="7"/>
        <v>26000</v>
      </c>
      <c r="J57" s="31" t="str">
        <f t="shared" si="8"/>
        <v>Kenaikan IU</v>
      </c>
      <c r="K57" s="42" t="s">
        <v>1133</v>
      </c>
      <c r="O57" s="20">
        <v>15</v>
      </c>
      <c r="P57" t="s">
        <v>145</v>
      </c>
      <c r="Q57" t="s">
        <v>146</v>
      </c>
      <c r="R57" t="s">
        <v>123</v>
      </c>
      <c r="S57" s="10">
        <v>64</v>
      </c>
      <c r="T57" t="s">
        <v>5</v>
      </c>
      <c r="U57" s="10">
        <v>4604.1441999999997</v>
      </c>
      <c r="V57" s="19">
        <v>294665.22879999998</v>
      </c>
      <c r="X57" s="20" t="s">
        <v>258</v>
      </c>
      <c r="Y57" t="s">
        <v>259</v>
      </c>
      <c r="Z57" t="s">
        <v>67</v>
      </c>
      <c r="AA57">
        <v>0.5</v>
      </c>
      <c r="AB57" t="s">
        <v>5</v>
      </c>
      <c r="AC57">
        <v>24500</v>
      </c>
      <c r="AD57" s="19">
        <v>12250</v>
      </c>
      <c r="AG57" s="20">
        <v>11</v>
      </c>
      <c r="AH57" t="s">
        <v>238</v>
      </c>
      <c r="AI57" t="s">
        <v>239</v>
      </c>
      <c r="AJ57" t="s">
        <v>67</v>
      </c>
      <c r="AK57" s="10">
        <v>0.2</v>
      </c>
      <c r="AL57" t="s">
        <v>74</v>
      </c>
      <c r="AM57" s="10">
        <v>13500</v>
      </c>
      <c r="AN57" s="19">
        <v>2700</v>
      </c>
      <c r="AP57" s="20" t="s">
        <v>141</v>
      </c>
      <c r="AQ57" t="s">
        <v>142</v>
      </c>
      <c r="AR57" t="s">
        <v>123</v>
      </c>
      <c r="AS57" s="10">
        <v>5</v>
      </c>
      <c r="AT57" t="s">
        <v>5</v>
      </c>
      <c r="AU57" s="10">
        <v>42034.197899999999</v>
      </c>
      <c r="AV57" s="19">
        <v>210170.9895</v>
      </c>
      <c r="AX57" s="20" t="s">
        <v>141</v>
      </c>
      <c r="AY57" t="s">
        <v>142</v>
      </c>
      <c r="AZ57" t="s">
        <v>123</v>
      </c>
      <c r="BA57" s="10">
        <v>5</v>
      </c>
      <c r="BB57" t="s">
        <v>5</v>
      </c>
      <c r="BC57" s="10">
        <v>42034.197899999999</v>
      </c>
      <c r="BD57" s="19">
        <v>210170.9895</v>
      </c>
    </row>
    <row r="58" spans="1:56" x14ac:dyDescent="0.35">
      <c r="A58" s="38" t="str">
        <v>NCGK0008</v>
      </c>
      <c r="B58" s="31" t="str">
        <f t="shared" si="0"/>
        <v>PLASTIK PE 1/4 KG 10x20</v>
      </c>
      <c r="C58" s="31" t="str">
        <f t="shared" si="1"/>
        <v>NCG</v>
      </c>
      <c r="D58" s="39" t="str">
        <f t="shared" si="2"/>
        <v>pack</v>
      </c>
      <c r="E58" s="47">
        <f t="shared" si="3"/>
        <v>5688.7659999999996</v>
      </c>
      <c r="F58" s="48">
        <f t="shared" si="4"/>
        <v>8.5</v>
      </c>
      <c r="G58" s="48">
        <f t="shared" si="5"/>
        <v>11.5</v>
      </c>
      <c r="H58" s="48">
        <f t="shared" si="6"/>
        <v>3</v>
      </c>
      <c r="I58" s="40">
        <f t="shared" si="7"/>
        <v>17066.297999999999</v>
      </c>
      <c r="J58" s="31" t="str">
        <f t="shared" si="8"/>
        <v>Kenaikan IU</v>
      </c>
      <c r="K58" s="42" t="s">
        <v>1133</v>
      </c>
      <c r="O58" s="20">
        <v>16</v>
      </c>
      <c r="P58" t="s">
        <v>147</v>
      </c>
      <c r="Q58" t="s">
        <v>148</v>
      </c>
      <c r="R58" t="s">
        <v>123</v>
      </c>
      <c r="S58" s="10">
        <v>0.2</v>
      </c>
      <c r="T58" t="s">
        <v>5</v>
      </c>
      <c r="U58" s="10">
        <v>15000</v>
      </c>
      <c r="V58" s="19">
        <v>3000</v>
      </c>
      <c r="X58" s="20" t="s">
        <v>718</v>
      </c>
      <c r="Y58" t="s">
        <v>719</v>
      </c>
      <c r="Z58" t="s">
        <v>165</v>
      </c>
      <c r="AA58" s="10">
        <v>2</v>
      </c>
      <c r="AB58" t="s">
        <v>20</v>
      </c>
      <c r="AC58" s="10">
        <v>39760</v>
      </c>
      <c r="AD58" s="19">
        <v>79520</v>
      </c>
      <c r="AG58" s="20">
        <v>12</v>
      </c>
      <c r="AH58" t="s">
        <v>83</v>
      </c>
      <c r="AI58" t="s">
        <v>84</v>
      </c>
      <c r="AJ58" t="s">
        <v>67</v>
      </c>
      <c r="AK58" s="10">
        <v>0.1</v>
      </c>
      <c r="AL58" t="s">
        <v>20</v>
      </c>
      <c r="AM58" s="10">
        <v>7250</v>
      </c>
      <c r="AN58" s="19">
        <v>725</v>
      </c>
      <c r="AP58" s="20" t="s">
        <v>145</v>
      </c>
      <c r="AQ58" t="s">
        <v>146</v>
      </c>
      <c r="AR58" t="s">
        <v>123</v>
      </c>
      <c r="AS58" s="10">
        <v>59</v>
      </c>
      <c r="AT58" t="s">
        <v>5</v>
      </c>
      <c r="AU58" s="10">
        <v>4604.1441999999997</v>
      </c>
      <c r="AV58" s="19">
        <v>271644.50780000002</v>
      </c>
      <c r="AX58" s="20" t="s">
        <v>145</v>
      </c>
      <c r="AY58" t="s">
        <v>146</v>
      </c>
      <c r="AZ58" t="s">
        <v>123</v>
      </c>
      <c r="BA58" s="10">
        <v>59</v>
      </c>
      <c r="BB58" t="s">
        <v>5</v>
      </c>
      <c r="BC58" s="10">
        <v>4604.1441999999997</v>
      </c>
      <c r="BD58" s="19">
        <v>271644.50780000002</v>
      </c>
    </row>
    <row r="59" spans="1:56" ht="15" thickBot="1" x14ac:dyDescent="0.4">
      <c r="A59" s="38" t="str">
        <v>NCGK0009</v>
      </c>
      <c r="B59" s="31" t="str">
        <f t="shared" si="0"/>
        <v>PLASTIK PE 10 KG 40 x 60</v>
      </c>
      <c r="C59" s="31" t="str">
        <f t="shared" si="1"/>
        <v>NCG</v>
      </c>
      <c r="D59" s="39" t="str">
        <f t="shared" si="2"/>
        <v>pack</v>
      </c>
      <c r="E59" s="47">
        <f t="shared" si="3"/>
        <v>16096.193799999999</v>
      </c>
      <c r="F59" s="48">
        <f t="shared" si="4"/>
        <v>18</v>
      </c>
      <c r="G59" s="48">
        <f t="shared" si="5"/>
        <v>15</v>
      </c>
      <c r="H59" s="48">
        <f t="shared" si="6"/>
        <v>-3</v>
      </c>
      <c r="I59" s="40">
        <f t="shared" si="7"/>
        <v>-48288.581399999995</v>
      </c>
      <c r="J59" s="31" t="str">
        <f t="shared" si="8"/>
        <v>Penurunan IU</v>
      </c>
      <c r="K59" s="42" t="s">
        <v>1133</v>
      </c>
      <c r="O59" s="20">
        <v>17</v>
      </c>
      <c r="P59" t="s">
        <v>421</v>
      </c>
      <c r="Q59" t="s">
        <v>422</v>
      </c>
      <c r="R59" t="s">
        <v>151</v>
      </c>
      <c r="S59" s="10">
        <v>1</v>
      </c>
      <c r="T59" t="s">
        <v>20</v>
      </c>
      <c r="U59" s="10">
        <v>24500</v>
      </c>
      <c r="V59" s="19">
        <v>24500</v>
      </c>
      <c r="X59" s="22" t="s">
        <v>438</v>
      </c>
      <c r="Y59" s="23" t="s">
        <v>439</v>
      </c>
      <c r="Z59" s="23" t="s">
        <v>182</v>
      </c>
      <c r="AA59" s="23">
        <v>4</v>
      </c>
      <c r="AB59" s="23" t="s">
        <v>20</v>
      </c>
      <c r="AC59" s="23">
        <v>5360.8</v>
      </c>
      <c r="AD59" s="24">
        <v>21443.200000000001</v>
      </c>
      <c r="AG59" s="20">
        <v>13</v>
      </c>
      <c r="AH59" t="s">
        <v>85</v>
      </c>
      <c r="AI59" t="s">
        <v>86</v>
      </c>
      <c r="AJ59" t="s">
        <v>67</v>
      </c>
      <c r="AK59" s="10">
        <v>0.7</v>
      </c>
      <c r="AL59" t="s">
        <v>87</v>
      </c>
      <c r="AM59" s="10">
        <v>15700</v>
      </c>
      <c r="AN59" s="19">
        <v>10990</v>
      </c>
      <c r="AP59" s="20" t="s">
        <v>147</v>
      </c>
      <c r="AQ59" t="s">
        <v>148</v>
      </c>
      <c r="AR59" t="s">
        <v>123</v>
      </c>
      <c r="AS59" s="10">
        <v>0.3</v>
      </c>
      <c r="AT59" t="s">
        <v>5</v>
      </c>
      <c r="AU59" s="10">
        <v>15000</v>
      </c>
      <c r="AV59" s="19">
        <v>4500</v>
      </c>
      <c r="AX59" s="20" t="s">
        <v>147</v>
      </c>
      <c r="AY59" t="s">
        <v>148</v>
      </c>
      <c r="AZ59" t="s">
        <v>123</v>
      </c>
      <c r="BA59" s="10">
        <v>0.3</v>
      </c>
      <c r="BB59" t="s">
        <v>5</v>
      </c>
      <c r="BC59" s="10">
        <v>15000</v>
      </c>
      <c r="BD59" s="19">
        <v>4500</v>
      </c>
    </row>
    <row r="60" spans="1:56" x14ac:dyDescent="0.35">
      <c r="A60" s="38" t="str">
        <v>NCGK0011</v>
      </c>
      <c r="B60" s="31" t="str">
        <f t="shared" si="0"/>
        <v>HAND GLOVES NITRILE SIZE M</v>
      </c>
      <c r="C60" s="31" t="str">
        <f t="shared" si="1"/>
        <v>NCG</v>
      </c>
      <c r="D60" s="39" t="str">
        <f t="shared" si="2"/>
        <v>pack</v>
      </c>
      <c r="E60" s="47">
        <f t="shared" si="3"/>
        <v>42883.0697</v>
      </c>
      <c r="F60" s="48">
        <f t="shared" si="4"/>
        <v>6</v>
      </c>
      <c r="G60" s="48">
        <f t="shared" si="5"/>
        <v>3</v>
      </c>
      <c r="H60" s="48">
        <f t="shared" si="6"/>
        <v>-3</v>
      </c>
      <c r="I60" s="40">
        <f t="shared" si="7"/>
        <v>-128649.20910000001</v>
      </c>
      <c r="J60" s="31" t="str">
        <f t="shared" si="8"/>
        <v>Penurunan IU</v>
      </c>
      <c r="K60" s="42" t="s">
        <v>1135</v>
      </c>
      <c r="O60" s="20">
        <v>18</v>
      </c>
      <c r="P60" t="s">
        <v>158</v>
      </c>
      <c r="Q60" t="s">
        <v>159</v>
      </c>
      <c r="R60" t="s">
        <v>151</v>
      </c>
      <c r="S60" s="10">
        <v>12</v>
      </c>
      <c r="T60" t="s">
        <v>160</v>
      </c>
      <c r="U60" s="10">
        <v>11281.2646</v>
      </c>
      <c r="V60" s="19">
        <v>135375.1752</v>
      </c>
      <c r="AG60" s="20">
        <v>14</v>
      </c>
      <c r="AH60" t="s">
        <v>242</v>
      </c>
      <c r="AI60" t="s">
        <v>243</v>
      </c>
      <c r="AJ60" t="s">
        <v>67</v>
      </c>
      <c r="AK60" s="10">
        <v>0.4</v>
      </c>
      <c r="AL60" t="s">
        <v>87</v>
      </c>
      <c r="AM60" s="10">
        <v>13250</v>
      </c>
      <c r="AN60" s="19">
        <v>5300</v>
      </c>
      <c r="AP60" s="20" t="s">
        <v>421</v>
      </c>
      <c r="AQ60" t="s">
        <v>422</v>
      </c>
      <c r="AR60" t="s">
        <v>151</v>
      </c>
      <c r="AS60" s="10">
        <v>4</v>
      </c>
      <c r="AT60" t="s">
        <v>20</v>
      </c>
      <c r="AU60" s="10">
        <v>24500</v>
      </c>
      <c r="AV60" s="19">
        <v>98000</v>
      </c>
      <c r="AX60" s="20" t="s">
        <v>421</v>
      </c>
      <c r="AY60" t="s">
        <v>422</v>
      </c>
      <c r="AZ60" t="s">
        <v>151</v>
      </c>
      <c r="BA60" s="10">
        <v>4</v>
      </c>
      <c r="BB60" t="s">
        <v>20</v>
      </c>
      <c r="BC60" s="10">
        <v>24500</v>
      </c>
      <c r="BD60" s="19">
        <v>98000</v>
      </c>
    </row>
    <row r="61" spans="1:56" x14ac:dyDescent="0.35">
      <c r="A61" s="38" t="str">
        <v>NCGK0012</v>
      </c>
      <c r="B61" s="31" t="str">
        <f t="shared" si="0"/>
        <v>HAND GLOVES NITRILE SIZE L</v>
      </c>
      <c r="C61" s="31" t="str">
        <f t="shared" si="1"/>
        <v>NCG</v>
      </c>
      <c r="D61" s="39" t="str">
        <f t="shared" si="2"/>
        <v>pack</v>
      </c>
      <c r="E61" s="47">
        <f t="shared" si="3"/>
        <v>42034.197899999999</v>
      </c>
      <c r="F61" s="48">
        <f t="shared" si="4"/>
        <v>4</v>
      </c>
      <c r="G61" s="48">
        <f t="shared" si="5"/>
        <v>5</v>
      </c>
      <c r="H61" s="48">
        <f t="shared" si="6"/>
        <v>1</v>
      </c>
      <c r="I61" s="40">
        <f t="shared" si="7"/>
        <v>42034.197899999999</v>
      </c>
      <c r="J61" s="31" t="str">
        <f t="shared" si="8"/>
        <v>Kenaikan IU</v>
      </c>
      <c r="K61" s="42" t="s">
        <v>1136</v>
      </c>
      <c r="O61" s="20">
        <v>19</v>
      </c>
      <c r="P61" t="s">
        <v>468</v>
      </c>
      <c r="Q61" t="s">
        <v>469</v>
      </c>
      <c r="R61" t="s">
        <v>151</v>
      </c>
      <c r="S61">
        <v>36</v>
      </c>
      <c r="T61" t="s">
        <v>20</v>
      </c>
      <c r="U61">
        <v>1065</v>
      </c>
      <c r="V61" s="19">
        <v>38340</v>
      </c>
      <c r="AG61" s="20">
        <v>15</v>
      </c>
      <c r="AH61" t="s">
        <v>246</v>
      </c>
      <c r="AI61" t="s">
        <v>247</v>
      </c>
      <c r="AJ61" t="s">
        <v>67</v>
      </c>
      <c r="AK61" s="10">
        <v>0.2</v>
      </c>
      <c r="AL61" t="s">
        <v>5</v>
      </c>
      <c r="AM61" s="10">
        <v>3441</v>
      </c>
      <c r="AN61" s="19">
        <v>688.2</v>
      </c>
      <c r="AP61" s="20" t="s">
        <v>272</v>
      </c>
      <c r="AQ61" t="s">
        <v>273</v>
      </c>
      <c r="AR61" t="s">
        <v>151</v>
      </c>
      <c r="AS61" s="10">
        <v>1</v>
      </c>
      <c r="AT61" t="s">
        <v>5</v>
      </c>
      <c r="AU61" s="10">
        <v>2707.3845999999999</v>
      </c>
      <c r="AV61" s="19">
        <v>2707.3845999999999</v>
      </c>
      <c r="AX61" s="20" t="s">
        <v>272</v>
      </c>
      <c r="AY61" t="s">
        <v>273</v>
      </c>
      <c r="AZ61" t="s">
        <v>151</v>
      </c>
      <c r="BA61" s="10">
        <v>1</v>
      </c>
      <c r="BB61" t="s">
        <v>5</v>
      </c>
      <c r="BC61" s="10">
        <v>2707.3845999999999</v>
      </c>
      <c r="BD61" s="19">
        <v>2707.3845999999999</v>
      </c>
    </row>
    <row r="62" spans="1:56" ht="15" thickBot="1" x14ac:dyDescent="0.4">
      <c r="A62" s="38" t="str">
        <v>NCGS0001</v>
      </c>
      <c r="B62" s="31" t="str">
        <f t="shared" si="0"/>
        <v>TISSUE COCKTAIL NAPKIN 11x11 (48 PACK)</v>
      </c>
      <c r="C62" s="31" t="str">
        <f t="shared" si="1"/>
        <v>NCG</v>
      </c>
      <c r="D62" s="39" t="str">
        <f t="shared" si="2"/>
        <v>pack</v>
      </c>
      <c r="E62" s="47">
        <f t="shared" si="3"/>
        <v>4604.1441999999997</v>
      </c>
      <c r="F62" s="48">
        <f t="shared" si="4"/>
        <v>64</v>
      </c>
      <c r="G62" s="48">
        <f t="shared" si="5"/>
        <v>59</v>
      </c>
      <c r="H62" s="48">
        <f t="shared" si="6"/>
        <v>-5</v>
      </c>
      <c r="I62" s="40">
        <f t="shared" si="7"/>
        <v>-23020.720999999998</v>
      </c>
      <c r="J62" s="31" t="str">
        <f t="shared" si="8"/>
        <v>Penurunan IU</v>
      </c>
      <c r="K62" s="42" t="s">
        <v>1137</v>
      </c>
      <c r="O62" s="22" t="s">
        <v>223</v>
      </c>
      <c r="P62" s="23" t="s">
        <v>223</v>
      </c>
      <c r="Q62" s="23" t="s">
        <v>223</v>
      </c>
      <c r="R62" s="23" t="s">
        <v>223</v>
      </c>
      <c r="S62" s="23" t="s">
        <v>223</v>
      </c>
      <c r="T62" s="23" t="s">
        <v>223</v>
      </c>
      <c r="U62" s="23" t="s">
        <v>224</v>
      </c>
      <c r="V62" s="24">
        <v>4395025.1673000008</v>
      </c>
      <c r="AG62" s="20">
        <v>16</v>
      </c>
      <c r="AH62" t="s">
        <v>327</v>
      </c>
      <c r="AI62" t="s">
        <v>328</v>
      </c>
      <c r="AJ62" t="s">
        <v>67</v>
      </c>
      <c r="AK62" s="10">
        <v>1</v>
      </c>
      <c r="AL62" t="s">
        <v>5</v>
      </c>
      <c r="AM62" s="10">
        <v>6250</v>
      </c>
      <c r="AN62" s="19">
        <v>6250</v>
      </c>
      <c r="AP62" s="20" t="s">
        <v>274</v>
      </c>
      <c r="AQ62" t="s">
        <v>275</v>
      </c>
      <c r="AR62" t="s">
        <v>151</v>
      </c>
      <c r="AS62" s="10">
        <v>1</v>
      </c>
      <c r="AT62" t="s">
        <v>160</v>
      </c>
      <c r="AU62" s="10">
        <v>22925</v>
      </c>
      <c r="AV62" s="19">
        <v>22925</v>
      </c>
      <c r="AX62" s="20" t="s">
        <v>274</v>
      </c>
      <c r="AY62" t="s">
        <v>275</v>
      </c>
      <c r="AZ62" t="s">
        <v>151</v>
      </c>
      <c r="BA62" s="10">
        <v>1</v>
      </c>
      <c r="BB62" t="s">
        <v>160</v>
      </c>
      <c r="BC62" s="10">
        <v>22925</v>
      </c>
      <c r="BD62" s="19">
        <v>22925</v>
      </c>
    </row>
    <row r="63" spans="1:56" x14ac:dyDescent="0.35">
      <c r="A63" s="38" t="str">
        <v>NCGS0002</v>
      </c>
      <c r="B63" s="31" t="str">
        <f t="shared" si="0"/>
        <v>TUSUK GIGI ION @ 500 PCS</v>
      </c>
      <c r="C63" s="31" t="str">
        <f t="shared" si="1"/>
        <v>NCG</v>
      </c>
      <c r="D63" s="39" t="str">
        <f t="shared" si="2"/>
        <v>pack</v>
      </c>
      <c r="E63" s="47">
        <f t="shared" si="3"/>
        <v>15000</v>
      </c>
      <c r="F63" s="48">
        <f t="shared" si="4"/>
        <v>0.2</v>
      </c>
      <c r="G63" s="48">
        <f t="shared" si="5"/>
        <v>0.3</v>
      </c>
      <c r="H63" s="48">
        <f t="shared" si="6"/>
        <v>9.9999999999999978E-2</v>
      </c>
      <c r="I63" s="40">
        <f t="shared" si="7"/>
        <v>1499.9999999999998</v>
      </c>
      <c r="J63" s="31" t="str">
        <f t="shared" si="8"/>
        <v>Kenaikan IU</v>
      </c>
      <c r="K63" s="42" t="s">
        <v>1128</v>
      </c>
      <c r="AG63" s="20">
        <v>17</v>
      </c>
      <c r="AH63" t="s">
        <v>90</v>
      </c>
      <c r="AI63" t="s">
        <v>91</v>
      </c>
      <c r="AJ63" t="s">
        <v>67</v>
      </c>
      <c r="AK63" s="10">
        <v>1</v>
      </c>
      <c r="AL63" t="s">
        <v>5</v>
      </c>
      <c r="AM63" s="10">
        <v>6250</v>
      </c>
      <c r="AN63" s="19">
        <v>6250</v>
      </c>
      <c r="AP63" s="20" t="s">
        <v>720</v>
      </c>
      <c r="AQ63" t="s">
        <v>721</v>
      </c>
      <c r="AR63" t="s">
        <v>151</v>
      </c>
      <c r="AS63" s="10">
        <v>17</v>
      </c>
      <c r="AT63" t="s">
        <v>20</v>
      </c>
      <c r="AU63" s="10">
        <v>105366.25</v>
      </c>
      <c r="AV63" s="19">
        <v>1791226.25</v>
      </c>
      <c r="AX63" s="20" t="s">
        <v>720</v>
      </c>
      <c r="AY63" t="s">
        <v>721</v>
      </c>
      <c r="AZ63" t="s">
        <v>151</v>
      </c>
      <c r="BA63" s="10">
        <v>17</v>
      </c>
      <c r="BB63" t="s">
        <v>20</v>
      </c>
      <c r="BC63" s="10">
        <v>105366.25</v>
      </c>
      <c r="BD63" s="19">
        <v>1791226.25</v>
      </c>
    </row>
    <row r="64" spans="1:56" ht="15" thickBot="1" x14ac:dyDescent="0.4">
      <c r="A64" s="38" t="str">
        <v>OTH00041</v>
      </c>
      <c r="B64" s="31" t="str">
        <f t="shared" si="0"/>
        <v>ANTI SLIP DASH MAT</v>
      </c>
      <c r="C64" s="31" t="str">
        <f t="shared" si="1"/>
        <v>OTHERS</v>
      </c>
      <c r="D64" s="39" t="str">
        <f t="shared" si="2"/>
        <v>pcs</v>
      </c>
      <c r="E64" s="47">
        <f t="shared" si="3"/>
        <v>24500</v>
      </c>
      <c r="F64" s="48">
        <f t="shared" si="4"/>
        <v>1</v>
      </c>
      <c r="G64" s="48">
        <f t="shared" si="5"/>
        <v>4</v>
      </c>
      <c r="H64" s="48">
        <f t="shared" si="6"/>
        <v>3</v>
      </c>
      <c r="I64" s="40">
        <f t="shared" si="7"/>
        <v>73500</v>
      </c>
      <c r="J64" s="31" t="str">
        <f t="shared" si="8"/>
        <v>Kenaikan IU</v>
      </c>
      <c r="K64" s="42" t="s">
        <v>1138</v>
      </c>
      <c r="AG64" s="20">
        <v>18</v>
      </c>
      <c r="AH64" t="s">
        <v>92</v>
      </c>
      <c r="AI64" t="s">
        <v>93</v>
      </c>
      <c r="AJ64" t="s">
        <v>67</v>
      </c>
      <c r="AK64" s="10">
        <v>33</v>
      </c>
      <c r="AL64" t="s">
        <v>94</v>
      </c>
      <c r="AM64" s="10">
        <v>11800</v>
      </c>
      <c r="AN64" s="19">
        <v>389400</v>
      </c>
      <c r="AP64" s="20" t="s">
        <v>722</v>
      </c>
      <c r="AQ64" t="s">
        <v>723</v>
      </c>
      <c r="AR64" t="s">
        <v>151</v>
      </c>
      <c r="AS64" s="10">
        <v>1</v>
      </c>
      <c r="AT64" t="s">
        <v>20</v>
      </c>
      <c r="AU64" s="10">
        <v>18916.666700000002</v>
      </c>
      <c r="AV64" s="19">
        <v>18916.666700000002</v>
      </c>
      <c r="AX64" s="20" t="s">
        <v>722</v>
      </c>
      <c r="AY64" t="s">
        <v>723</v>
      </c>
      <c r="AZ64" t="s">
        <v>151</v>
      </c>
      <c r="BA64" s="10">
        <v>1</v>
      </c>
      <c r="BB64" t="s">
        <v>20</v>
      </c>
      <c r="BC64" s="10">
        <v>18916.666700000002</v>
      </c>
      <c r="BD64" s="19">
        <v>18916.666700000002</v>
      </c>
    </row>
    <row r="65" spans="1:56" x14ac:dyDescent="0.35">
      <c r="A65" s="38" t="str">
        <v>OTH00092</v>
      </c>
      <c r="B65" s="31" t="str">
        <f t="shared" si="0"/>
        <v>KABEL TIES 10 CM</v>
      </c>
      <c r="C65" s="31" t="str">
        <f t="shared" si="1"/>
        <v>OTHERS</v>
      </c>
      <c r="D65" s="39" t="str">
        <f t="shared" si="2"/>
        <v>pack</v>
      </c>
      <c r="E65" s="47">
        <f t="shared" si="3"/>
        <v>2707.3845999999999</v>
      </c>
      <c r="F65" s="48" t="str">
        <f t="shared" si="4"/>
        <v>0</v>
      </c>
      <c r="G65" s="48">
        <f t="shared" si="5"/>
        <v>1</v>
      </c>
      <c r="H65" s="48">
        <f t="shared" si="6"/>
        <v>1</v>
      </c>
      <c r="I65" s="40">
        <f t="shared" si="7"/>
        <v>2707.3845999999999</v>
      </c>
      <c r="J65" s="31" t="str">
        <f t="shared" si="8"/>
        <v>Kenaikan IU</v>
      </c>
      <c r="K65" s="42" t="s">
        <v>1139</v>
      </c>
      <c r="O65" s="84" t="s">
        <v>0</v>
      </c>
      <c r="P65" s="85"/>
      <c r="Q65" s="85"/>
      <c r="R65" s="85"/>
      <c r="S65" s="85"/>
      <c r="T65" s="16"/>
      <c r="U65" s="16"/>
      <c r="V65" s="17"/>
      <c r="AG65" s="20">
        <v>19</v>
      </c>
      <c r="AH65" t="s">
        <v>520</v>
      </c>
      <c r="AI65" t="s">
        <v>521</v>
      </c>
      <c r="AJ65" t="s">
        <v>67</v>
      </c>
      <c r="AK65" s="10">
        <v>1</v>
      </c>
      <c r="AL65" t="s">
        <v>5</v>
      </c>
      <c r="AM65" s="10">
        <v>10000</v>
      </c>
      <c r="AN65" s="19">
        <v>10000</v>
      </c>
      <c r="AP65" s="20" t="s">
        <v>468</v>
      </c>
      <c r="AQ65" t="s">
        <v>469</v>
      </c>
      <c r="AR65" t="s">
        <v>151</v>
      </c>
      <c r="AS65" s="10">
        <v>14</v>
      </c>
      <c r="AT65" t="s">
        <v>20</v>
      </c>
      <c r="AU65" s="10">
        <v>3215.8817647058818</v>
      </c>
      <c r="AV65" s="19">
        <v>45022.344706000003</v>
      </c>
      <c r="AX65" s="20" t="s">
        <v>468</v>
      </c>
      <c r="AY65" t="s">
        <v>469</v>
      </c>
      <c r="AZ65" t="s">
        <v>151</v>
      </c>
      <c r="BA65" s="10">
        <v>14</v>
      </c>
      <c r="BB65" t="s">
        <v>20</v>
      </c>
      <c r="BC65" s="10">
        <v>3215.8817647058818</v>
      </c>
      <c r="BD65" s="19">
        <v>45022.344706000003</v>
      </c>
    </row>
    <row r="66" spans="1:56" ht="15" thickBot="1" x14ac:dyDescent="0.4">
      <c r="A66" s="38" t="str">
        <v>OTH00105</v>
      </c>
      <c r="B66" s="31" t="str">
        <f t="shared" si="0"/>
        <v>MASKER MEDIS</v>
      </c>
      <c r="C66" s="31" t="str">
        <f t="shared" si="1"/>
        <v>OTHERS</v>
      </c>
      <c r="D66" s="39" t="str">
        <f t="shared" si="2"/>
        <v>box</v>
      </c>
      <c r="E66" s="47">
        <f t="shared" si="3"/>
        <v>22925</v>
      </c>
      <c r="F66" s="48" t="str">
        <f t="shared" si="4"/>
        <v>0</v>
      </c>
      <c r="G66" s="48">
        <f t="shared" si="5"/>
        <v>1</v>
      </c>
      <c r="H66" s="48">
        <f t="shared" si="6"/>
        <v>1</v>
      </c>
      <c r="I66" s="40">
        <f t="shared" si="7"/>
        <v>22925</v>
      </c>
      <c r="J66" s="31" t="str">
        <f t="shared" si="8"/>
        <v>Kenaikan IU</v>
      </c>
      <c r="K66" s="42" t="s">
        <v>1139</v>
      </c>
      <c r="O66" s="82" t="s">
        <v>1</v>
      </c>
      <c r="P66" s="87"/>
      <c r="Q66" s="87"/>
      <c r="R66" s="87"/>
      <c r="S66" s="87"/>
      <c r="V66" s="19"/>
      <c r="AG66" s="20">
        <v>20</v>
      </c>
      <c r="AH66" t="s">
        <v>100</v>
      </c>
      <c r="AI66" t="s">
        <v>101</v>
      </c>
      <c r="AJ66" t="s">
        <v>67</v>
      </c>
      <c r="AK66" s="10">
        <v>0.2</v>
      </c>
      <c r="AL66" t="s">
        <v>87</v>
      </c>
      <c r="AM66" s="10">
        <v>8400</v>
      </c>
      <c r="AN66" s="19">
        <v>1680</v>
      </c>
      <c r="AP66" s="22" t="s">
        <v>276</v>
      </c>
      <c r="AQ66" s="23" t="s">
        <v>277</v>
      </c>
      <c r="AR66" s="23" t="s">
        <v>151</v>
      </c>
      <c r="AS66" s="23">
        <v>5</v>
      </c>
      <c r="AT66" s="23" t="s">
        <v>52</v>
      </c>
      <c r="AU66" s="23">
        <v>1756.05</v>
      </c>
      <c r="AV66" s="24">
        <v>8780.25</v>
      </c>
      <c r="AX66" s="22" t="s">
        <v>276</v>
      </c>
      <c r="AY66" s="23" t="s">
        <v>277</v>
      </c>
      <c r="AZ66" s="23" t="s">
        <v>151</v>
      </c>
      <c r="BA66" s="23">
        <v>5</v>
      </c>
      <c r="BB66" s="23" t="s">
        <v>52</v>
      </c>
      <c r="BC66" s="23">
        <v>1756.05</v>
      </c>
      <c r="BD66" s="24">
        <v>8780.25</v>
      </c>
    </row>
    <row r="67" spans="1:56" x14ac:dyDescent="0.35">
      <c r="A67" s="38" t="str">
        <v>OTH00111</v>
      </c>
      <c r="B67" s="31" t="str">
        <f t="shared" si="0"/>
        <v>BUKU MENU</v>
      </c>
      <c r="C67" s="31" t="str">
        <f t="shared" si="1"/>
        <v>OTHERS</v>
      </c>
      <c r="D67" s="39" t="str">
        <f t="shared" si="2"/>
        <v>pcs</v>
      </c>
      <c r="E67" s="47">
        <f t="shared" si="3"/>
        <v>105366.25</v>
      </c>
      <c r="F67" s="48" t="str">
        <f t="shared" si="4"/>
        <v>0</v>
      </c>
      <c r="G67" s="48">
        <f t="shared" si="5"/>
        <v>17</v>
      </c>
      <c r="H67" s="48">
        <f t="shared" si="6"/>
        <v>17</v>
      </c>
      <c r="I67" s="40">
        <f t="shared" si="7"/>
        <v>1791226.25</v>
      </c>
      <c r="J67" s="31" t="str">
        <f t="shared" si="8"/>
        <v>Kenaikan IU</v>
      </c>
      <c r="K67" s="42" t="s">
        <v>1114</v>
      </c>
      <c r="O67" s="20"/>
      <c r="V67" s="19"/>
      <c r="AG67" s="20">
        <v>21</v>
      </c>
      <c r="AH67" t="s">
        <v>254</v>
      </c>
      <c r="AI67" t="s">
        <v>255</v>
      </c>
      <c r="AJ67" t="s">
        <v>67</v>
      </c>
      <c r="AK67" s="10">
        <v>0.5</v>
      </c>
      <c r="AL67" t="s">
        <v>5</v>
      </c>
      <c r="AM67" s="10">
        <v>34500</v>
      </c>
      <c r="AN67" s="19">
        <v>17250</v>
      </c>
      <c r="AX67" s="25" t="s">
        <v>214</v>
      </c>
      <c r="AY67" s="16" t="s">
        <v>215</v>
      </c>
      <c r="AZ67" s="16" t="s">
        <v>4</v>
      </c>
      <c r="BA67" s="26">
        <v>0.8</v>
      </c>
      <c r="BB67" s="16" t="s">
        <v>216</v>
      </c>
      <c r="BC67" s="26">
        <v>55300</v>
      </c>
      <c r="BD67" s="17">
        <v>44240</v>
      </c>
    </row>
    <row r="68" spans="1:56" x14ac:dyDescent="0.35">
      <c r="A68" s="38" t="str">
        <v>OTH00143</v>
      </c>
      <c r="B68" s="31" t="str">
        <f t="shared" si="0"/>
        <v>ACRYLIC STANDING A5</v>
      </c>
      <c r="C68" s="31" t="str">
        <f t="shared" si="1"/>
        <v>OTHERS</v>
      </c>
      <c r="D68" s="39" t="str">
        <f t="shared" si="2"/>
        <v>pcs</v>
      </c>
      <c r="E68" s="47">
        <f t="shared" si="3"/>
        <v>18916.666700000002</v>
      </c>
      <c r="F68" s="48" t="str">
        <f t="shared" si="4"/>
        <v>0</v>
      </c>
      <c r="G68" s="48">
        <f t="shared" si="5"/>
        <v>1</v>
      </c>
      <c r="H68" s="48">
        <f t="shared" si="6"/>
        <v>1</v>
      </c>
      <c r="I68" s="40">
        <f t="shared" si="7"/>
        <v>18916.666700000002</v>
      </c>
      <c r="J68" s="31" t="str">
        <f t="shared" si="8"/>
        <v>Kenaikan IU</v>
      </c>
      <c r="K68" s="42" t="s">
        <v>1139</v>
      </c>
      <c r="O68" s="82" t="s">
        <v>10</v>
      </c>
      <c r="P68" s="87" t="s">
        <v>11</v>
      </c>
      <c r="Q68" t="s">
        <v>724</v>
      </c>
      <c r="V68" s="19"/>
      <c r="AG68" s="20">
        <v>22</v>
      </c>
      <c r="AH68" t="s">
        <v>628</v>
      </c>
      <c r="AI68" t="s">
        <v>629</v>
      </c>
      <c r="AJ68" t="s">
        <v>67</v>
      </c>
      <c r="AK68" s="10">
        <v>0.1</v>
      </c>
      <c r="AL68" t="s">
        <v>20</v>
      </c>
      <c r="AM68" s="10">
        <v>28500</v>
      </c>
      <c r="AN68" s="19">
        <v>2850</v>
      </c>
      <c r="AX68" s="20" t="s">
        <v>2</v>
      </c>
      <c r="AY68" t="s">
        <v>3</v>
      </c>
      <c r="AZ68" t="s">
        <v>4</v>
      </c>
      <c r="BA68" s="10">
        <v>3</v>
      </c>
      <c r="BB68" t="s">
        <v>5</v>
      </c>
      <c r="BC68" s="10">
        <v>21075</v>
      </c>
      <c r="BD68" s="19">
        <v>63225</v>
      </c>
    </row>
    <row r="69" spans="1:56" x14ac:dyDescent="0.35">
      <c r="A69" s="38" t="str">
        <v>OTH00190</v>
      </c>
      <c r="B69" s="31" t="str">
        <f t="shared" si="0"/>
        <v>SUMBU LILIN PELAMPUNG SERAT KAYU</v>
      </c>
      <c r="C69" s="31" t="str">
        <f t="shared" si="1"/>
        <v>OTHERS</v>
      </c>
      <c r="D69" s="39" t="str">
        <f t="shared" si="2"/>
        <v>pcs</v>
      </c>
      <c r="E69" s="47">
        <f t="shared" si="3"/>
        <v>3215.8817647058818</v>
      </c>
      <c r="F69" s="48">
        <f t="shared" si="4"/>
        <v>36</v>
      </c>
      <c r="G69" s="48">
        <f t="shared" si="5"/>
        <v>14</v>
      </c>
      <c r="H69" s="48">
        <f t="shared" si="6"/>
        <v>-22</v>
      </c>
      <c r="I69" s="40">
        <f t="shared" si="7"/>
        <v>-70749.398823529395</v>
      </c>
      <c r="J69" s="31" t="str">
        <f t="shared" si="8"/>
        <v>Penurunan IU</v>
      </c>
      <c r="K69" s="42" t="s">
        <v>1139</v>
      </c>
      <c r="O69" s="82" t="s">
        <v>16</v>
      </c>
      <c r="P69" s="87" t="s">
        <v>11</v>
      </c>
      <c r="Q69" t="s">
        <v>17</v>
      </c>
      <c r="V69" s="19"/>
      <c r="AG69" s="20">
        <v>23</v>
      </c>
      <c r="AH69" t="s">
        <v>361</v>
      </c>
      <c r="AI69" t="s">
        <v>362</v>
      </c>
      <c r="AJ69" t="s">
        <v>67</v>
      </c>
      <c r="AK69" s="10">
        <v>2</v>
      </c>
      <c r="AL69" t="s">
        <v>363</v>
      </c>
      <c r="AM69" s="10">
        <v>260</v>
      </c>
      <c r="AN69" s="19">
        <v>520</v>
      </c>
      <c r="AX69" s="20" t="s">
        <v>217</v>
      </c>
      <c r="AY69" t="s">
        <v>218</v>
      </c>
      <c r="AZ69" t="s">
        <v>4</v>
      </c>
      <c r="BA69" s="10">
        <v>0.1</v>
      </c>
      <c r="BB69" t="s">
        <v>9</v>
      </c>
      <c r="BC69" s="10">
        <v>55300</v>
      </c>
      <c r="BD69" s="19">
        <v>5530</v>
      </c>
    </row>
    <row r="70" spans="1:56" x14ac:dyDescent="0.35">
      <c r="A70" s="38" t="str">
        <v>OTH00208</v>
      </c>
      <c r="B70" s="31" t="str">
        <f t="shared" si="0"/>
        <v>STICKER PIPI MERAH PUTIH</v>
      </c>
      <c r="C70" s="31" t="str">
        <f t="shared" si="1"/>
        <v>OTHERS</v>
      </c>
      <c r="D70" s="39" t="str">
        <f t="shared" si="2"/>
        <v>lembar</v>
      </c>
      <c r="E70" s="47">
        <f t="shared" si="3"/>
        <v>1756.05</v>
      </c>
      <c r="F70" s="48" t="str">
        <f t="shared" si="4"/>
        <v>0</v>
      </c>
      <c r="G70" s="48">
        <f t="shared" si="5"/>
        <v>5</v>
      </c>
      <c r="H70" s="48">
        <f t="shared" si="6"/>
        <v>5</v>
      </c>
      <c r="I70" s="40">
        <f t="shared" si="7"/>
        <v>8780.25</v>
      </c>
      <c r="J70" s="31" t="str">
        <f t="shared" si="8"/>
        <v>Kenaikan IU</v>
      </c>
      <c r="K70" s="42" t="s">
        <v>1139</v>
      </c>
      <c r="O70" s="82" t="s">
        <v>21</v>
      </c>
      <c r="P70" s="87" t="s">
        <v>11</v>
      </c>
      <c r="Q70" t="s">
        <v>699</v>
      </c>
      <c r="V70" s="19"/>
      <c r="AG70" s="20">
        <v>24</v>
      </c>
      <c r="AH70" t="s">
        <v>256</v>
      </c>
      <c r="AI70" t="s">
        <v>257</v>
      </c>
      <c r="AJ70" t="s">
        <v>67</v>
      </c>
      <c r="AK70" s="10">
        <v>3</v>
      </c>
      <c r="AL70" t="s">
        <v>20</v>
      </c>
      <c r="AM70" s="10">
        <v>3310</v>
      </c>
      <c r="AN70" s="19">
        <v>9930</v>
      </c>
      <c r="AX70" s="20" t="s">
        <v>7</v>
      </c>
      <c r="AY70" t="s">
        <v>8</v>
      </c>
      <c r="AZ70" t="s">
        <v>4</v>
      </c>
      <c r="BA70" s="10">
        <v>1</v>
      </c>
      <c r="BB70" t="s">
        <v>9</v>
      </c>
      <c r="BC70" s="10">
        <v>133200</v>
      </c>
      <c r="BD70" s="19">
        <v>133200</v>
      </c>
    </row>
    <row r="71" spans="1:56" x14ac:dyDescent="0.35">
      <c r="A71" s="38" t="str">
        <v>CECM0001</v>
      </c>
      <c r="B71" s="31" t="str">
        <f t="shared" ref="B71:B89" si="9">_xlfn.XLOOKUP(A71, AX$2:AX$300, AY$2:AY$300, "", 0)</f>
        <v>XYZ KARBOL PINUS 5 L</v>
      </c>
      <c r="C71" s="31" t="str">
        <f t="shared" ref="C71:C89" si="10">_xlfn.XLOOKUP(A71, AX$2:AX$300, AZ$2:AZ$300, "", 0)</f>
        <v>CLEANING CHEMICAL</v>
      </c>
      <c r="D71" s="39" t="str">
        <f t="shared" ref="D71:D89" si="11">_xlfn.XLOOKUP(A71, AX$2:AX$300, BB$2:BB$300, "", 0)</f>
        <v>btl</v>
      </c>
      <c r="E71" s="47">
        <f t="shared" ref="E71:E89" si="12">_xlfn.XLOOKUP(A71, AX$2:AX$300, BC$2:BC$300, "", 0)</f>
        <v>55300</v>
      </c>
      <c r="F71" s="48">
        <f t="shared" ref="F71:F89" si="13">_xlfn.XLOOKUP(A71, X$2:X$300, AA$2:AA$300, "0", 0)</f>
        <v>0.8</v>
      </c>
      <c r="G71" s="48" t="str">
        <f t="shared" ref="G71:G89" si="14">_xlfn.XLOOKUP(A71, AP$2:AP$300, AS$2:AS$300, "0", 0)</f>
        <v>0</v>
      </c>
      <c r="H71" s="48">
        <f t="shared" ref="H71:H89" si="15">G71-F71</f>
        <v>-0.8</v>
      </c>
      <c r="I71" s="40">
        <f t="shared" ref="I71:I89" si="16">H71*E71</f>
        <v>-44240</v>
      </c>
      <c r="J71" s="31" t="str">
        <f t="shared" ref="J71:J89" si="17">CHOOSE(SIGN(G71 - F71) + 2, "Penurunan IU", "Tidak Ada Perubahan", "Kenaikan IU")</f>
        <v>Penurunan IU</v>
      </c>
      <c r="K71" s="42" t="s">
        <v>1139</v>
      </c>
      <c r="O71" s="82" t="s">
        <v>26</v>
      </c>
      <c r="P71" s="87" t="s">
        <v>11</v>
      </c>
      <c r="Q71" t="s">
        <v>725</v>
      </c>
      <c r="V71" s="19"/>
      <c r="AG71" s="20">
        <v>25</v>
      </c>
      <c r="AH71" t="s">
        <v>630</v>
      </c>
      <c r="AI71" t="s">
        <v>631</v>
      </c>
      <c r="AJ71" t="s">
        <v>67</v>
      </c>
      <c r="AK71" s="10">
        <v>4</v>
      </c>
      <c r="AL71" t="s">
        <v>20</v>
      </c>
      <c r="AM71" s="10">
        <v>5994.5909000000001</v>
      </c>
      <c r="AN71" s="19">
        <v>23978.363600000001</v>
      </c>
      <c r="AX71" s="20" t="s">
        <v>13</v>
      </c>
      <c r="AY71" t="s">
        <v>14</v>
      </c>
      <c r="AZ71" t="s">
        <v>4</v>
      </c>
      <c r="BA71" s="10">
        <v>0.1</v>
      </c>
      <c r="BB71" t="s">
        <v>15</v>
      </c>
      <c r="BC71" s="10">
        <v>77700</v>
      </c>
      <c r="BD71" s="19">
        <v>7770</v>
      </c>
    </row>
    <row r="72" spans="1:56" x14ac:dyDescent="0.35">
      <c r="A72" s="38" t="str">
        <v>CECM0006</v>
      </c>
      <c r="B72" s="31" t="str">
        <f t="shared" si="9"/>
        <v>XYZ GREASE CLEANER 5 LTR</v>
      </c>
      <c r="C72" s="31" t="str">
        <f t="shared" si="10"/>
        <v>CLEANING CHEMICAL</v>
      </c>
      <c r="D72" s="39" t="str">
        <f t="shared" si="11"/>
        <v>gln</v>
      </c>
      <c r="E72" s="47">
        <f t="shared" si="12"/>
        <v>133200</v>
      </c>
      <c r="F72" s="48">
        <f t="shared" si="13"/>
        <v>1</v>
      </c>
      <c r="G72" s="48" t="str">
        <f t="shared" si="14"/>
        <v>0</v>
      </c>
      <c r="H72" s="48">
        <f t="shared" si="15"/>
        <v>-1</v>
      </c>
      <c r="I72" s="40">
        <f t="shared" si="16"/>
        <v>-133200</v>
      </c>
      <c r="J72" s="31" t="str">
        <f t="shared" si="17"/>
        <v>Penurunan IU</v>
      </c>
      <c r="K72" s="42" t="s">
        <v>1139</v>
      </c>
      <c r="O72" s="82" t="s">
        <v>31</v>
      </c>
      <c r="P72" s="87" t="s">
        <v>11</v>
      </c>
      <c r="Q72" t="s">
        <v>109</v>
      </c>
      <c r="V72" s="19"/>
      <c r="AG72" s="20">
        <v>26</v>
      </c>
      <c r="AH72" t="s">
        <v>364</v>
      </c>
      <c r="AI72" t="s">
        <v>365</v>
      </c>
      <c r="AJ72" t="s">
        <v>67</v>
      </c>
      <c r="AK72" s="10">
        <v>5</v>
      </c>
      <c r="AL72" t="s">
        <v>52</v>
      </c>
      <c r="AM72" s="10">
        <v>500</v>
      </c>
      <c r="AN72" s="19">
        <v>2500</v>
      </c>
      <c r="AX72" s="20" t="s">
        <v>219</v>
      </c>
      <c r="AY72" t="s">
        <v>220</v>
      </c>
      <c r="AZ72" t="s">
        <v>4</v>
      </c>
      <c r="BA72" s="10">
        <v>3.5</v>
      </c>
      <c r="BB72" t="s">
        <v>25</v>
      </c>
      <c r="BC72" s="10">
        <v>39618.5</v>
      </c>
      <c r="BD72" s="19">
        <v>138664.75</v>
      </c>
    </row>
    <row r="73" spans="1:56" x14ac:dyDescent="0.35">
      <c r="A73" s="38" t="str">
        <v>MKT00030</v>
      </c>
      <c r="B73" s="31" t="str">
        <f t="shared" si="9"/>
        <v>STICKER LOGO HANGUKSU</v>
      </c>
      <c r="C73" s="31" t="str">
        <f t="shared" si="10"/>
        <v>MARKETING</v>
      </c>
      <c r="D73" s="39" t="str">
        <f t="shared" si="11"/>
        <v>lembar</v>
      </c>
      <c r="E73" s="47">
        <f t="shared" si="12"/>
        <v>1800</v>
      </c>
      <c r="F73" s="48">
        <f t="shared" si="13"/>
        <v>20</v>
      </c>
      <c r="G73" s="48" t="str">
        <f t="shared" si="14"/>
        <v>0</v>
      </c>
      <c r="H73" s="48">
        <f t="shared" si="15"/>
        <v>-20</v>
      </c>
      <c r="I73" s="40">
        <f t="shared" si="16"/>
        <v>-36000</v>
      </c>
      <c r="J73" s="31" t="str">
        <f t="shared" si="17"/>
        <v>Penurunan IU</v>
      </c>
      <c r="K73" s="42" t="s">
        <v>1139</v>
      </c>
      <c r="O73" s="82" t="s">
        <v>35</v>
      </c>
      <c r="P73" s="87" t="s">
        <v>11</v>
      </c>
      <c r="Q73" t="s">
        <v>726</v>
      </c>
      <c r="V73" s="19"/>
      <c r="AG73" s="20">
        <v>27</v>
      </c>
      <c r="AH73" t="s">
        <v>258</v>
      </c>
      <c r="AI73" t="s">
        <v>259</v>
      </c>
      <c r="AJ73" t="s">
        <v>67</v>
      </c>
      <c r="AK73">
        <v>0.5</v>
      </c>
      <c r="AL73" t="s">
        <v>5</v>
      </c>
      <c r="AM73">
        <v>24500</v>
      </c>
      <c r="AN73" s="19">
        <v>12250</v>
      </c>
      <c r="AX73" s="20" t="s">
        <v>221</v>
      </c>
      <c r="AY73" t="s">
        <v>222</v>
      </c>
      <c r="AZ73" t="s">
        <v>4</v>
      </c>
      <c r="BA73" s="10">
        <v>7</v>
      </c>
      <c r="BB73" t="s">
        <v>25</v>
      </c>
      <c r="BC73" s="10">
        <v>52656.5</v>
      </c>
      <c r="BD73" s="19">
        <v>368595.5</v>
      </c>
    </row>
    <row r="74" spans="1:56" ht="15" thickBot="1" x14ac:dyDescent="0.4">
      <c r="A74" s="38" t="str">
        <v>MKT00032</v>
      </c>
      <c r="B74" s="31" t="str">
        <f t="shared" si="9"/>
        <v>FLYER A5</v>
      </c>
      <c r="C74" s="31" t="str">
        <f t="shared" si="10"/>
        <v>MARKETING</v>
      </c>
      <c r="D74" s="39" t="str">
        <f t="shared" si="11"/>
        <v>lembar</v>
      </c>
      <c r="E74" s="47">
        <f t="shared" si="12"/>
        <v>600</v>
      </c>
      <c r="F74" s="48">
        <f t="shared" si="13"/>
        <v>2000</v>
      </c>
      <c r="G74" s="48" t="str">
        <f t="shared" si="14"/>
        <v>0</v>
      </c>
      <c r="H74" s="48">
        <f t="shared" si="15"/>
        <v>-2000</v>
      </c>
      <c r="I74" s="40">
        <f t="shared" si="16"/>
        <v>-1200000</v>
      </c>
      <c r="J74" s="31" t="str">
        <f t="shared" si="17"/>
        <v>Penurunan IU</v>
      </c>
      <c r="K74" s="42" t="s">
        <v>1140</v>
      </c>
      <c r="O74" s="20"/>
      <c r="V74" s="19"/>
      <c r="AG74" s="22" t="s">
        <v>223</v>
      </c>
      <c r="AH74" s="23" t="s">
        <v>223</v>
      </c>
      <c r="AI74" s="23" t="s">
        <v>223</v>
      </c>
      <c r="AJ74" s="23" t="s">
        <v>223</v>
      </c>
      <c r="AK74" s="23" t="s">
        <v>223</v>
      </c>
      <c r="AL74" s="23" t="s">
        <v>223</v>
      </c>
      <c r="AM74" s="23" t="s">
        <v>224</v>
      </c>
      <c r="AN74" s="24">
        <v>563075.06359999999</v>
      </c>
      <c r="AX74" s="20" t="s">
        <v>23</v>
      </c>
      <c r="AY74" t="s">
        <v>24</v>
      </c>
      <c r="AZ74" t="s">
        <v>4</v>
      </c>
      <c r="BA74" s="10">
        <v>10</v>
      </c>
      <c r="BB74" t="s">
        <v>25</v>
      </c>
      <c r="BC74" s="10">
        <v>17760</v>
      </c>
      <c r="BD74" s="19">
        <v>177600</v>
      </c>
    </row>
    <row r="75" spans="1:56" x14ac:dyDescent="0.35">
      <c r="A75" s="38" t="str">
        <v>MKT00042</v>
      </c>
      <c r="B75" s="31" t="str">
        <f t="shared" si="9"/>
        <v>MATERI PROMOSI LIGHT BOX</v>
      </c>
      <c r="C75" s="31" t="str">
        <f t="shared" si="10"/>
        <v>MARKETING</v>
      </c>
      <c r="D75" s="39" t="str">
        <f t="shared" si="11"/>
        <v>pcs</v>
      </c>
      <c r="E75" s="47">
        <f t="shared" si="12"/>
        <v>127000</v>
      </c>
      <c r="F75" s="48">
        <f t="shared" si="13"/>
        <v>3</v>
      </c>
      <c r="G75" s="48" t="str">
        <f t="shared" si="14"/>
        <v>0</v>
      </c>
      <c r="H75" s="48">
        <f t="shared" si="15"/>
        <v>-3</v>
      </c>
      <c r="I75" s="40">
        <f t="shared" si="16"/>
        <v>-381000</v>
      </c>
      <c r="J75" s="31" t="str">
        <f t="shared" si="17"/>
        <v>Penurunan IU</v>
      </c>
      <c r="K75" s="42" t="s">
        <v>1141</v>
      </c>
      <c r="O75" s="20" t="s">
        <v>42</v>
      </c>
      <c r="P75" t="s">
        <v>43</v>
      </c>
      <c r="Q75" t="s">
        <v>44</v>
      </c>
      <c r="R75" t="s">
        <v>45</v>
      </c>
      <c r="S75" t="s">
        <v>46</v>
      </c>
      <c r="T75" t="s">
        <v>47</v>
      </c>
      <c r="U75" t="s">
        <v>48</v>
      </c>
      <c r="V75" s="19" t="s">
        <v>49</v>
      </c>
      <c r="AX75" s="20" t="s">
        <v>28</v>
      </c>
      <c r="AY75" t="s">
        <v>29</v>
      </c>
      <c r="AZ75" t="s">
        <v>4</v>
      </c>
      <c r="BA75" s="10">
        <v>7</v>
      </c>
      <c r="BB75" t="s">
        <v>30</v>
      </c>
      <c r="BC75" s="10">
        <v>19760</v>
      </c>
      <c r="BD75" s="19">
        <v>138320</v>
      </c>
    </row>
    <row r="76" spans="1:56" ht="15" thickBot="1" x14ac:dyDescent="0.4">
      <c r="A76" s="38" t="str">
        <v>MKT00048</v>
      </c>
      <c r="B76" s="31" t="str">
        <f t="shared" si="9"/>
        <v>VOUCHER 50000 HANGUKSU</v>
      </c>
      <c r="C76" s="31" t="str">
        <f t="shared" si="10"/>
        <v>MARKETING</v>
      </c>
      <c r="D76" s="39" t="str">
        <f t="shared" si="11"/>
        <v>pcs</v>
      </c>
      <c r="E76" s="47">
        <f t="shared" si="12"/>
        <v>500</v>
      </c>
      <c r="F76" s="48">
        <f t="shared" si="13"/>
        <v>1829</v>
      </c>
      <c r="G76" s="48" t="str">
        <f t="shared" si="14"/>
        <v>0</v>
      </c>
      <c r="H76" s="48">
        <f t="shared" si="15"/>
        <v>-1829</v>
      </c>
      <c r="I76" s="40">
        <f t="shared" si="16"/>
        <v>-914500</v>
      </c>
      <c r="J76" s="31" t="str">
        <f t="shared" si="17"/>
        <v>Penurunan IU</v>
      </c>
      <c r="K76" s="42" t="s">
        <v>1142</v>
      </c>
      <c r="O76" s="20">
        <v>1</v>
      </c>
      <c r="P76" t="s">
        <v>709</v>
      </c>
      <c r="Q76" t="s">
        <v>710</v>
      </c>
      <c r="R76" t="s">
        <v>67</v>
      </c>
      <c r="S76" s="10">
        <v>1</v>
      </c>
      <c r="T76" t="s">
        <v>20</v>
      </c>
      <c r="U76" s="10">
        <v>8200</v>
      </c>
      <c r="V76" s="19">
        <v>8200</v>
      </c>
      <c r="AX76" s="20" t="s">
        <v>33</v>
      </c>
      <c r="AY76" t="s">
        <v>34</v>
      </c>
      <c r="AZ76" t="s">
        <v>4</v>
      </c>
      <c r="BA76" s="10">
        <v>8</v>
      </c>
      <c r="BB76" t="s">
        <v>30</v>
      </c>
      <c r="BC76" s="10">
        <v>13000</v>
      </c>
      <c r="BD76" s="19">
        <v>104000</v>
      </c>
    </row>
    <row r="77" spans="1:56" x14ac:dyDescent="0.35">
      <c r="A77" s="38" t="str">
        <v>NCG00018</v>
      </c>
      <c r="B77" s="31" t="str">
        <f t="shared" si="9"/>
        <v>SARUNG TANGAN PELASTIK</v>
      </c>
      <c r="C77" s="31" t="str">
        <f t="shared" si="10"/>
        <v>NCG</v>
      </c>
      <c r="D77" s="39" t="str">
        <f t="shared" si="11"/>
        <v>pack</v>
      </c>
      <c r="E77" s="47">
        <f t="shared" si="12"/>
        <v>5000</v>
      </c>
      <c r="F77" s="48">
        <f t="shared" si="13"/>
        <v>1</v>
      </c>
      <c r="G77" s="48" t="str">
        <f t="shared" si="14"/>
        <v>0</v>
      </c>
      <c r="H77" s="48">
        <f t="shared" si="15"/>
        <v>-1</v>
      </c>
      <c r="I77" s="40">
        <f t="shared" si="16"/>
        <v>-5000</v>
      </c>
      <c r="J77" s="31" t="str">
        <f t="shared" si="17"/>
        <v>Penurunan IU</v>
      </c>
      <c r="K77" s="42" t="s">
        <v>1143</v>
      </c>
      <c r="O77" s="20">
        <v>2</v>
      </c>
      <c r="P77" t="s">
        <v>68</v>
      </c>
      <c r="Q77" t="s">
        <v>69</v>
      </c>
      <c r="R77" t="s">
        <v>67</v>
      </c>
      <c r="S77" s="10">
        <v>7.0000000000000007E-2</v>
      </c>
      <c r="T77" t="s">
        <v>5</v>
      </c>
      <c r="U77" s="10">
        <v>18750</v>
      </c>
      <c r="V77" s="19">
        <v>1312.5</v>
      </c>
      <c r="AG77" s="84" t="s">
        <v>0</v>
      </c>
      <c r="AH77" s="85"/>
      <c r="AI77" s="85"/>
      <c r="AJ77" s="85"/>
      <c r="AK77" s="85"/>
      <c r="AL77" s="16"/>
      <c r="AM77" s="16"/>
      <c r="AN77" s="17"/>
      <c r="AX77" s="20" t="s">
        <v>50</v>
      </c>
      <c r="AY77" t="s">
        <v>51</v>
      </c>
      <c r="AZ77" t="s">
        <v>41</v>
      </c>
      <c r="BA77" s="10">
        <v>17</v>
      </c>
      <c r="BB77" t="s">
        <v>52</v>
      </c>
      <c r="BC77" s="10">
        <v>20500</v>
      </c>
      <c r="BD77" s="19">
        <v>348500</v>
      </c>
    </row>
    <row r="78" spans="1:56" x14ac:dyDescent="0.35">
      <c r="A78" s="38" t="str">
        <v>NCGK0005</v>
      </c>
      <c r="B78" s="31" t="str">
        <f t="shared" si="9"/>
        <v>CLING WRAP 45 x 50 @ 6 ROLL</v>
      </c>
      <c r="C78" s="31" t="str">
        <f t="shared" si="10"/>
        <v>NCG</v>
      </c>
      <c r="D78" s="39" t="str">
        <f t="shared" si="11"/>
        <v>roll</v>
      </c>
      <c r="E78" s="47">
        <f t="shared" si="12"/>
        <v>142077.0753</v>
      </c>
      <c r="F78" s="48">
        <f t="shared" si="13"/>
        <v>2</v>
      </c>
      <c r="G78" s="48" t="str">
        <f t="shared" si="14"/>
        <v>0</v>
      </c>
      <c r="H78" s="48">
        <f t="shared" si="15"/>
        <v>-2</v>
      </c>
      <c r="I78" s="40">
        <f t="shared" si="16"/>
        <v>-284154.15059999999</v>
      </c>
      <c r="J78" s="31" t="str">
        <f t="shared" si="17"/>
        <v>Penurunan IU</v>
      </c>
      <c r="K78" s="42" t="s">
        <v>1144</v>
      </c>
      <c r="O78" s="20">
        <v>3</v>
      </c>
      <c r="P78" t="s">
        <v>70</v>
      </c>
      <c r="Q78" t="s">
        <v>71</v>
      </c>
      <c r="R78" t="s">
        <v>67</v>
      </c>
      <c r="S78" s="10">
        <v>1</v>
      </c>
      <c r="T78" t="s">
        <v>5</v>
      </c>
      <c r="U78" s="10">
        <v>9000</v>
      </c>
      <c r="V78" s="19">
        <v>9000</v>
      </c>
      <c r="AG78" s="82" t="s">
        <v>1</v>
      </c>
      <c r="AH78" s="87"/>
      <c r="AI78" s="87"/>
      <c r="AJ78" s="87"/>
      <c r="AK78" s="87"/>
      <c r="AN78" s="19"/>
      <c r="AX78" s="20" t="s">
        <v>53</v>
      </c>
      <c r="AY78" t="s">
        <v>54</v>
      </c>
      <c r="AZ78" t="s">
        <v>41</v>
      </c>
      <c r="BA78" s="10">
        <v>11</v>
      </c>
      <c r="BB78" t="s">
        <v>20</v>
      </c>
      <c r="BC78" s="10">
        <v>3119.0900000000011</v>
      </c>
      <c r="BD78" s="19">
        <v>34309.99</v>
      </c>
    </row>
    <row r="79" spans="1:56" x14ac:dyDescent="0.35">
      <c r="A79" s="38" t="str">
        <v>NCGK0016</v>
      </c>
      <c r="B79" s="31" t="str">
        <f t="shared" si="9"/>
        <v>HAIR NET @100 PCS</v>
      </c>
      <c r="C79" s="31" t="str">
        <f t="shared" si="10"/>
        <v>NCG</v>
      </c>
      <c r="D79" s="39" t="str">
        <f t="shared" si="11"/>
        <v>pack</v>
      </c>
      <c r="E79" s="47">
        <f t="shared" si="12"/>
        <v>47233.34</v>
      </c>
      <c r="F79" s="48">
        <f t="shared" si="13"/>
        <v>0.5</v>
      </c>
      <c r="G79" s="48" t="str">
        <f t="shared" si="14"/>
        <v>0</v>
      </c>
      <c r="H79" s="48">
        <f t="shared" si="15"/>
        <v>-0.5</v>
      </c>
      <c r="I79" s="40">
        <f t="shared" si="16"/>
        <v>-23616.67</v>
      </c>
      <c r="J79" s="31" t="str">
        <f t="shared" si="17"/>
        <v>Penurunan IU</v>
      </c>
      <c r="K79" s="42" t="s">
        <v>1145</v>
      </c>
      <c r="O79" s="20">
        <v>4</v>
      </c>
      <c r="P79" t="s">
        <v>388</v>
      </c>
      <c r="Q79" t="s">
        <v>389</v>
      </c>
      <c r="R79" t="s">
        <v>67</v>
      </c>
      <c r="S79" s="10">
        <v>16</v>
      </c>
      <c r="T79" t="s">
        <v>20</v>
      </c>
      <c r="U79" s="10">
        <v>2639</v>
      </c>
      <c r="V79" s="19">
        <v>42224</v>
      </c>
      <c r="AG79" s="20"/>
      <c r="AN79" s="19"/>
      <c r="AX79" s="20" t="s">
        <v>453</v>
      </c>
      <c r="AY79" t="s">
        <v>454</v>
      </c>
      <c r="AZ79" t="s">
        <v>41</v>
      </c>
      <c r="BA79" s="10">
        <v>1</v>
      </c>
      <c r="BB79" t="s">
        <v>267</v>
      </c>
      <c r="BC79" s="10">
        <v>33750</v>
      </c>
      <c r="BD79" s="19">
        <v>33750</v>
      </c>
    </row>
    <row r="80" spans="1:56" x14ac:dyDescent="0.35">
      <c r="A80" s="38" t="str">
        <v>OTH00121</v>
      </c>
      <c r="B80" s="31" t="str">
        <f t="shared" si="9"/>
        <v>KARDUS ROKOK</v>
      </c>
      <c r="C80" s="31" t="str">
        <f t="shared" si="10"/>
        <v>OTHERS</v>
      </c>
      <c r="D80" s="39" t="str">
        <f t="shared" si="11"/>
        <v>box</v>
      </c>
      <c r="E80" s="47">
        <f t="shared" si="12"/>
        <v>11281.2646</v>
      </c>
      <c r="F80" s="48">
        <f t="shared" si="13"/>
        <v>12</v>
      </c>
      <c r="G80" s="48" t="str">
        <f t="shared" si="14"/>
        <v>0</v>
      </c>
      <c r="H80" s="48">
        <f t="shared" si="15"/>
        <v>-12</v>
      </c>
      <c r="I80" s="40">
        <f t="shared" si="16"/>
        <v>-135375.1752</v>
      </c>
      <c r="J80" s="31" t="str">
        <f t="shared" si="17"/>
        <v>Penurunan IU</v>
      </c>
      <c r="K80" s="42" t="s">
        <v>1145</v>
      </c>
      <c r="O80" s="20">
        <v>5</v>
      </c>
      <c r="P80" t="s">
        <v>72</v>
      </c>
      <c r="Q80" t="s">
        <v>73</v>
      </c>
      <c r="R80" t="s">
        <v>67</v>
      </c>
      <c r="S80" s="10">
        <v>6</v>
      </c>
      <c r="T80" t="s">
        <v>74</v>
      </c>
      <c r="U80" s="10">
        <v>3000</v>
      </c>
      <c r="V80" s="19">
        <v>18000</v>
      </c>
      <c r="AG80" s="82" t="s">
        <v>10</v>
      </c>
      <c r="AH80" s="87" t="s">
        <v>11</v>
      </c>
      <c r="AI80" t="s">
        <v>727</v>
      </c>
      <c r="AN80" s="19"/>
      <c r="AX80" s="20" t="s">
        <v>57</v>
      </c>
      <c r="AY80" t="s">
        <v>58</v>
      </c>
      <c r="AZ80" t="s">
        <v>41</v>
      </c>
      <c r="BA80" s="10">
        <v>10</v>
      </c>
      <c r="BB80" t="s">
        <v>5</v>
      </c>
      <c r="BC80" s="10">
        <v>7699.9618</v>
      </c>
      <c r="BD80" s="19">
        <v>76999.618000000002</v>
      </c>
    </row>
    <row r="81" spans="1:56" x14ac:dyDescent="0.35">
      <c r="A81" s="38" t="str">
        <v>STA00005</v>
      </c>
      <c r="B81" s="31" t="str">
        <f t="shared" si="9"/>
        <v>GUNTING KANTOR</v>
      </c>
      <c r="C81" s="31" t="str">
        <f t="shared" si="10"/>
        <v>STATIONARY AND OFFICE SUPPLIES</v>
      </c>
      <c r="D81" s="39" t="str">
        <f t="shared" si="11"/>
        <v>pcs</v>
      </c>
      <c r="E81" s="47">
        <f t="shared" si="12"/>
        <v>8200</v>
      </c>
      <c r="F81" s="48">
        <f t="shared" si="13"/>
        <v>1</v>
      </c>
      <c r="G81" s="48" t="str">
        <f t="shared" si="14"/>
        <v>0</v>
      </c>
      <c r="H81" s="48">
        <f t="shared" si="15"/>
        <v>-1</v>
      </c>
      <c r="I81" s="40">
        <f t="shared" si="16"/>
        <v>-8200</v>
      </c>
      <c r="J81" s="31" t="str">
        <f t="shared" si="17"/>
        <v>Penurunan IU</v>
      </c>
      <c r="K81" s="42" t="s">
        <v>1145</v>
      </c>
      <c r="O81" s="20">
        <v>6</v>
      </c>
      <c r="P81" t="s">
        <v>77</v>
      </c>
      <c r="Q81" t="s">
        <v>78</v>
      </c>
      <c r="R81" t="s">
        <v>67</v>
      </c>
      <c r="S81" s="10">
        <v>1</v>
      </c>
      <c r="T81" t="s">
        <v>20</v>
      </c>
      <c r="U81" s="10">
        <v>6500</v>
      </c>
      <c r="V81" s="19">
        <v>6500</v>
      </c>
      <c r="AG81" s="82" t="s">
        <v>16</v>
      </c>
      <c r="AH81" s="87" t="s">
        <v>11</v>
      </c>
      <c r="AI81" t="s">
        <v>211</v>
      </c>
      <c r="AN81" s="19"/>
      <c r="AX81" s="20" t="s">
        <v>59</v>
      </c>
      <c r="AY81" t="s">
        <v>60</v>
      </c>
      <c r="AZ81" t="s">
        <v>41</v>
      </c>
      <c r="BA81" s="10">
        <v>11</v>
      </c>
      <c r="BB81" t="s">
        <v>5</v>
      </c>
      <c r="BC81" s="10">
        <v>7700</v>
      </c>
      <c r="BD81" s="19">
        <v>84700</v>
      </c>
    </row>
    <row r="82" spans="1:56" x14ac:dyDescent="0.35">
      <c r="A82" s="38" t="str">
        <v>STA00019</v>
      </c>
      <c r="B82" s="31" t="str">
        <f t="shared" si="9"/>
        <v>BATERAI AAA</v>
      </c>
      <c r="C82" s="31" t="str">
        <f t="shared" si="10"/>
        <v>STATIONARY AND OFFICE SUPPLIES</v>
      </c>
      <c r="D82" s="39" t="str">
        <f t="shared" si="11"/>
        <v>pack</v>
      </c>
      <c r="E82" s="47">
        <f t="shared" si="12"/>
        <v>9000</v>
      </c>
      <c r="F82" s="48">
        <f t="shared" si="13"/>
        <v>1</v>
      </c>
      <c r="G82" s="48" t="str">
        <f t="shared" si="14"/>
        <v>0</v>
      </c>
      <c r="H82" s="48">
        <f t="shared" si="15"/>
        <v>-1</v>
      </c>
      <c r="I82" s="40">
        <f t="shared" si="16"/>
        <v>-9000</v>
      </c>
      <c r="J82" s="31" t="str">
        <f t="shared" si="17"/>
        <v>Penurunan IU</v>
      </c>
      <c r="K82" s="42" t="s">
        <v>1146</v>
      </c>
      <c r="O82" s="20">
        <v>7</v>
      </c>
      <c r="P82" t="s">
        <v>325</v>
      </c>
      <c r="Q82" t="s">
        <v>326</v>
      </c>
      <c r="R82" t="s">
        <v>67</v>
      </c>
      <c r="S82" s="10">
        <v>0.5</v>
      </c>
      <c r="T82" t="s">
        <v>5</v>
      </c>
      <c r="U82" s="10">
        <v>46500</v>
      </c>
      <c r="V82" s="19">
        <v>23250</v>
      </c>
      <c r="AG82" s="82" t="s">
        <v>21</v>
      </c>
      <c r="AH82" s="87" t="s">
        <v>11</v>
      </c>
      <c r="AI82" t="s">
        <v>699</v>
      </c>
      <c r="AN82" s="19"/>
      <c r="AX82" s="20" t="s">
        <v>61</v>
      </c>
      <c r="AY82" t="s">
        <v>62</v>
      </c>
      <c r="AZ82" t="s">
        <v>41</v>
      </c>
      <c r="BA82">
        <v>1</v>
      </c>
      <c r="BB82" t="s">
        <v>5</v>
      </c>
      <c r="BC82">
        <v>14486.8406</v>
      </c>
      <c r="BD82" s="19">
        <v>14486.8406</v>
      </c>
    </row>
    <row r="83" spans="1:56" x14ac:dyDescent="0.35">
      <c r="A83" s="38" t="str">
        <v>STA00028</v>
      </c>
      <c r="B83" s="31" t="str">
        <f t="shared" si="9"/>
        <v>SOLATIP KECIL 12 MM</v>
      </c>
      <c r="C83" s="31" t="str">
        <f t="shared" si="10"/>
        <v>STATIONARY AND OFFICE SUPPLIES</v>
      </c>
      <c r="D83" s="39" t="str">
        <f t="shared" si="11"/>
        <v>roll</v>
      </c>
      <c r="E83" s="47">
        <f t="shared" si="12"/>
        <v>3000</v>
      </c>
      <c r="F83" s="48">
        <f t="shared" si="13"/>
        <v>6</v>
      </c>
      <c r="G83" s="48" t="str">
        <f t="shared" si="14"/>
        <v>0</v>
      </c>
      <c r="H83" s="48">
        <f t="shared" si="15"/>
        <v>-6</v>
      </c>
      <c r="I83" s="40">
        <f t="shared" si="16"/>
        <v>-18000</v>
      </c>
      <c r="J83" s="31" t="str">
        <f t="shared" si="17"/>
        <v>Penurunan IU</v>
      </c>
      <c r="K83" s="42" t="s">
        <v>1147</v>
      </c>
      <c r="O83" s="20">
        <v>8</v>
      </c>
      <c r="P83" t="s">
        <v>357</v>
      </c>
      <c r="Q83" t="s">
        <v>358</v>
      </c>
      <c r="R83" t="s">
        <v>67</v>
      </c>
      <c r="S83" s="10">
        <v>0.05</v>
      </c>
      <c r="T83" t="s">
        <v>5</v>
      </c>
      <c r="U83" s="10">
        <v>32500</v>
      </c>
      <c r="V83" s="19">
        <v>1625</v>
      </c>
      <c r="AG83" s="82" t="s">
        <v>26</v>
      </c>
      <c r="AH83" s="87" t="s">
        <v>11</v>
      </c>
      <c r="AI83" t="s">
        <v>728</v>
      </c>
      <c r="AN83" s="19"/>
      <c r="AX83" s="20" t="s">
        <v>704</v>
      </c>
      <c r="AY83" t="s">
        <v>705</v>
      </c>
      <c r="AZ83" t="s">
        <v>117</v>
      </c>
      <c r="BA83" s="10">
        <v>20</v>
      </c>
      <c r="BB83" t="s">
        <v>52</v>
      </c>
      <c r="BC83" s="10">
        <v>1800</v>
      </c>
      <c r="BD83" s="19">
        <v>36000</v>
      </c>
    </row>
    <row r="84" spans="1:56" x14ac:dyDescent="0.35">
      <c r="A84" s="38" t="str">
        <v>STA00032</v>
      </c>
      <c r="B84" s="31" t="str">
        <f t="shared" si="9"/>
        <v>SPIDOL SNOWMAN (NON PERMANENT)</v>
      </c>
      <c r="C84" s="31" t="str">
        <f t="shared" si="10"/>
        <v>STATIONARY AND OFFICE SUPPLIES</v>
      </c>
      <c r="D84" s="39" t="str">
        <f t="shared" si="11"/>
        <v>pcs</v>
      </c>
      <c r="E84" s="47">
        <f t="shared" si="12"/>
        <v>6500</v>
      </c>
      <c r="F84" s="48">
        <f t="shared" si="13"/>
        <v>1</v>
      </c>
      <c r="G84" s="48" t="str">
        <f t="shared" si="14"/>
        <v>0</v>
      </c>
      <c r="H84" s="48">
        <f t="shared" si="15"/>
        <v>-1</v>
      </c>
      <c r="I84" s="40">
        <f t="shared" si="16"/>
        <v>-6500</v>
      </c>
      <c r="J84" s="31" t="str">
        <f t="shared" si="17"/>
        <v>Penurunan IU</v>
      </c>
      <c r="K84" s="42" t="s">
        <v>1148</v>
      </c>
      <c r="O84" s="20">
        <v>9</v>
      </c>
      <c r="P84" t="s">
        <v>359</v>
      </c>
      <c r="Q84" t="s">
        <v>360</v>
      </c>
      <c r="R84" t="s">
        <v>67</v>
      </c>
      <c r="S84" s="10">
        <v>0.5</v>
      </c>
      <c r="T84" t="s">
        <v>216</v>
      </c>
      <c r="U84" s="10">
        <v>7000</v>
      </c>
      <c r="V84" s="19">
        <v>3500</v>
      </c>
      <c r="AG84" s="82" t="s">
        <v>31</v>
      </c>
      <c r="AH84" s="87" t="s">
        <v>11</v>
      </c>
      <c r="AI84" t="s">
        <v>198</v>
      </c>
      <c r="AN84" s="19"/>
      <c r="AX84" s="20" t="s">
        <v>115</v>
      </c>
      <c r="AY84" t="s">
        <v>116</v>
      </c>
      <c r="AZ84" t="s">
        <v>117</v>
      </c>
      <c r="BA84" s="10">
        <v>2000</v>
      </c>
      <c r="BB84" t="s">
        <v>52</v>
      </c>
      <c r="BC84" s="10">
        <v>600</v>
      </c>
      <c r="BD84" s="19">
        <v>1200000</v>
      </c>
    </row>
    <row r="85" spans="1:56" x14ac:dyDescent="0.35">
      <c r="A85" s="38" t="str">
        <v>STA00055</v>
      </c>
      <c r="B85" s="31" t="str">
        <f t="shared" si="9"/>
        <v>SPIDOL SNOWMAN - HITAM</v>
      </c>
      <c r="C85" s="31" t="str">
        <f t="shared" si="10"/>
        <v>STATIONARY AND OFFICE SUPPLIES</v>
      </c>
      <c r="D85" s="39" t="str">
        <f t="shared" si="11"/>
        <v>pcs</v>
      </c>
      <c r="E85" s="47">
        <f t="shared" si="12"/>
        <v>6000</v>
      </c>
      <c r="F85" s="48">
        <f t="shared" si="13"/>
        <v>1</v>
      </c>
      <c r="G85" s="48" t="str">
        <f t="shared" si="14"/>
        <v>0</v>
      </c>
      <c r="H85" s="48">
        <f t="shared" si="15"/>
        <v>-1</v>
      </c>
      <c r="I85" s="40">
        <f t="shared" si="16"/>
        <v>-6000</v>
      </c>
      <c r="J85" s="31" t="str">
        <f t="shared" si="17"/>
        <v>Penurunan IU</v>
      </c>
      <c r="K85" s="42" t="s">
        <v>1148</v>
      </c>
      <c r="O85" s="20">
        <v>10</v>
      </c>
      <c r="P85" t="s">
        <v>85</v>
      </c>
      <c r="Q85" t="s">
        <v>86</v>
      </c>
      <c r="R85" t="s">
        <v>67</v>
      </c>
      <c r="S85" s="10">
        <v>0.5</v>
      </c>
      <c r="T85" t="s">
        <v>87</v>
      </c>
      <c r="U85" s="10">
        <v>18500</v>
      </c>
      <c r="V85" s="19">
        <v>9250</v>
      </c>
      <c r="AG85" s="82" t="s">
        <v>35</v>
      </c>
      <c r="AH85" s="87" t="s">
        <v>11</v>
      </c>
      <c r="AI85" t="s">
        <v>729</v>
      </c>
      <c r="AN85" s="19"/>
      <c r="AX85" s="20" t="s">
        <v>350</v>
      </c>
      <c r="AY85" t="s">
        <v>351</v>
      </c>
      <c r="AZ85" t="s">
        <v>117</v>
      </c>
      <c r="BA85" s="10">
        <v>3</v>
      </c>
      <c r="BB85" t="s">
        <v>20</v>
      </c>
      <c r="BC85" s="10">
        <v>127000</v>
      </c>
      <c r="BD85" s="19">
        <v>381000</v>
      </c>
    </row>
    <row r="86" spans="1:56" x14ac:dyDescent="0.35">
      <c r="A86" s="38" t="str">
        <v>STA00095</v>
      </c>
      <c r="B86" s="31" t="str">
        <f t="shared" si="9"/>
        <v>OBAT ENTROSTOP</v>
      </c>
      <c r="C86" s="31" t="str">
        <f t="shared" si="10"/>
        <v>STATIONARY AND OFFICE SUPPLIES</v>
      </c>
      <c r="D86" s="39" t="str">
        <f t="shared" si="11"/>
        <v>str</v>
      </c>
      <c r="E86" s="47">
        <f t="shared" si="12"/>
        <v>9000</v>
      </c>
      <c r="F86" s="48">
        <f t="shared" si="13"/>
        <v>0.1</v>
      </c>
      <c r="G86" s="48" t="str">
        <f t="shared" si="14"/>
        <v>0</v>
      </c>
      <c r="H86" s="48">
        <f t="shared" si="15"/>
        <v>-0.1</v>
      </c>
      <c r="I86" s="40">
        <f t="shared" si="16"/>
        <v>-900</v>
      </c>
      <c r="J86" s="31" t="str">
        <f t="shared" si="17"/>
        <v>Penurunan IU</v>
      </c>
      <c r="K86" s="42" t="s">
        <v>1148</v>
      </c>
      <c r="O86" s="20">
        <v>11</v>
      </c>
      <c r="P86" t="s">
        <v>242</v>
      </c>
      <c r="Q86" t="s">
        <v>243</v>
      </c>
      <c r="R86" t="s">
        <v>67</v>
      </c>
      <c r="S86" s="10">
        <v>0.6</v>
      </c>
      <c r="T86" t="s">
        <v>87</v>
      </c>
      <c r="U86" s="10">
        <v>14500</v>
      </c>
      <c r="V86" s="19">
        <v>8700</v>
      </c>
      <c r="AG86" s="20"/>
      <c r="AN86" s="19"/>
      <c r="AX86" s="20" t="s">
        <v>706</v>
      </c>
      <c r="AY86" t="s">
        <v>707</v>
      </c>
      <c r="AZ86" t="s">
        <v>117</v>
      </c>
      <c r="BA86" s="10">
        <v>1829</v>
      </c>
      <c r="BB86" t="s">
        <v>20</v>
      </c>
      <c r="BC86" s="10">
        <v>500</v>
      </c>
      <c r="BD86" s="19">
        <v>914500</v>
      </c>
    </row>
    <row r="87" spans="1:56" x14ac:dyDescent="0.35">
      <c r="A87" s="38" t="str">
        <v>STA00109</v>
      </c>
      <c r="B87" s="31" t="str">
        <f t="shared" si="9"/>
        <v>STOCK CARD</v>
      </c>
      <c r="C87" s="31" t="str">
        <f t="shared" si="10"/>
        <v>STATIONARY AND OFFICE SUPPLIES</v>
      </c>
      <c r="D87" s="39" t="str">
        <f t="shared" si="11"/>
        <v>pack</v>
      </c>
      <c r="E87" s="47">
        <f t="shared" si="12"/>
        <v>16250</v>
      </c>
      <c r="F87" s="48">
        <f t="shared" si="13"/>
        <v>2</v>
      </c>
      <c r="G87" s="48" t="str">
        <f t="shared" si="14"/>
        <v>0</v>
      </c>
      <c r="H87" s="48">
        <f t="shared" si="15"/>
        <v>-2</v>
      </c>
      <c r="I87" s="40">
        <f t="shared" si="16"/>
        <v>-32500</v>
      </c>
      <c r="J87" s="31" t="str">
        <f t="shared" si="17"/>
        <v>Penurunan IU</v>
      </c>
      <c r="K87" s="42" t="s">
        <v>1146</v>
      </c>
      <c r="O87" s="20">
        <v>12</v>
      </c>
      <c r="P87" t="s">
        <v>244</v>
      </c>
      <c r="Q87" t="s">
        <v>245</v>
      </c>
      <c r="R87" t="s">
        <v>67</v>
      </c>
      <c r="S87" s="10">
        <v>1</v>
      </c>
      <c r="T87" t="s">
        <v>20</v>
      </c>
      <c r="U87" s="10">
        <v>6000</v>
      </c>
      <c r="V87" s="19">
        <v>6000</v>
      </c>
      <c r="AG87" s="20" t="s">
        <v>42</v>
      </c>
      <c r="AH87" t="s">
        <v>43</v>
      </c>
      <c r="AI87" t="s">
        <v>44</v>
      </c>
      <c r="AJ87" t="s">
        <v>45</v>
      </c>
      <c r="AK87" t="s">
        <v>46</v>
      </c>
      <c r="AL87" t="s">
        <v>47</v>
      </c>
      <c r="AM87" t="s">
        <v>48</v>
      </c>
      <c r="AN87" s="19" t="s">
        <v>49</v>
      </c>
      <c r="AX87" s="20" t="s">
        <v>121</v>
      </c>
      <c r="AY87" t="s">
        <v>122</v>
      </c>
      <c r="AZ87" t="s">
        <v>123</v>
      </c>
      <c r="BA87" s="10">
        <v>1</v>
      </c>
      <c r="BB87" t="s">
        <v>5</v>
      </c>
      <c r="BC87" s="10">
        <v>5000</v>
      </c>
      <c r="BD87" s="19">
        <v>5000</v>
      </c>
    </row>
    <row r="88" spans="1:56" x14ac:dyDescent="0.35">
      <c r="A88" s="38" t="str">
        <v>KW00109</v>
      </c>
      <c r="B88" s="31" t="str">
        <f t="shared" si="9"/>
        <v>MIXING BOWL SIZE  20 cm</v>
      </c>
      <c r="C88" s="31" t="str">
        <f t="shared" si="10"/>
        <v>KITCHENWARE TOOLS</v>
      </c>
      <c r="D88" s="39" t="str">
        <f t="shared" si="11"/>
        <v>pcs</v>
      </c>
      <c r="E88" s="47">
        <f t="shared" si="12"/>
        <v>39760</v>
      </c>
      <c r="F88" s="48">
        <f t="shared" si="13"/>
        <v>2</v>
      </c>
      <c r="G88" s="48" t="str">
        <f t="shared" si="14"/>
        <v>0</v>
      </c>
      <c r="H88" s="48">
        <f t="shared" si="15"/>
        <v>-2</v>
      </c>
      <c r="I88" s="40">
        <f t="shared" si="16"/>
        <v>-79520</v>
      </c>
      <c r="J88" s="31" t="str">
        <f t="shared" si="17"/>
        <v>Penurunan IU</v>
      </c>
      <c r="K88" s="42" t="s">
        <v>1148</v>
      </c>
      <c r="O88" s="20">
        <v>13</v>
      </c>
      <c r="P88" t="s">
        <v>246</v>
      </c>
      <c r="Q88" t="s">
        <v>247</v>
      </c>
      <c r="R88" t="s">
        <v>67</v>
      </c>
      <c r="S88" s="10">
        <v>2</v>
      </c>
      <c r="T88" t="s">
        <v>5</v>
      </c>
      <c r="U88" s="10">
        <v>1400</v>
      </c>
      <c r="V88" s="19">
        <v>2800</v>
      </c>
      <c r="AG88" s="20">
        <v>1</v>
      </c>
      <c r="AH88" t="s">
        <v>716</v>
      </c>
      <c r="AI88" t="s">
        <v>717</v>
      </c>
      <c r="AJ88" t="s">
        <v>165</v>
      </c>
      <c r="AK88" s="10">
        <v>1</v>
      </c>
      <c r="AL88" t="s">
        <v>20</v>
      </c>
      <c r="AM88" s="10">
        <v>69500</v>
      </c>
      <c r="AN88" s="19">
        <v>69500</v>
      </c>
      <c r="AX88" s="20" t="s">
        <v>124</v>
      </c>
      <c r="AY88" t="s">
        <v>125</v>
      </c>
      <c r="AZ88" t="s">
        <v>123</v>
      </c>
      <c r="BA88" s="10">
        <v>17</v>
      </c>
      <c r="BB88" t="s">
        <v>5</v>
      </c>
      <c r="BC88" s="10">
        <v>5544.1538</v>
      </c>
      <c r="BD88" s="19">
        <v>94250.614600000001</v>
      </c>
    </row>
    <row r="89" spans="1:56" ht="15" thickBot="1" x14ac:dyDescent="0.4">
      <c r="A89" s="43" t="str">
        <v>TCT00009</v>
      </c>
      <c r="B89" s="32" t="str">
        <f t="shared" si="9"/>
        <v>GARPU KOREA STAINLES SUJEO SUS 304</v>
      </c>
      <c r="C89" s="32" t="str">
        <f t="shared" si="10"/>
        <v>CUTELERIES</v>
      </c>
      <c r="D89" s="49" t="str">
        <f t="shared" si="11"/>
        <v>pcs</v>
      </c>
      <c r="E89" s="50">
        <f t="shared" si="12"/>
        <v>5360.8</v>
      </c>
      <c r="F89" s="51">
        <f t="shared" si="13"/>
        <v>4</v>
      </c>
      <c r="G89" s="51" t="str">
        <f t="shared" si="14"/>
        <v>0</v>
      </c>
      <c r="H89" s="51">
        <f t="shared" si="15"/>
        <v>-4</v>
      </c>
      <c r="I89" s="59">
        <f t="shared" si="16"/>
        <v>-21443.200000000001</v>
      </c>
      <c r="J89" s="32" t="str">
        <f t="shared" si="17"/>
        <v>Penurunan IU</v>
      </c>
      <c r="K89" s="42" t="s">
        <v>1148</v>
      </c>
      <c r="O89" s="20">
        <v>14</v>
      </c>
      <c r="P89" t="s">
        <v>327</v>
      </c>
      <c r="Q89" t="s">
        <v>328</v>
      </c>
      <c r="R89" t="s">
        <v>67</v>
      </c>
      <c r="S89" s="10">
        <v>4</v>
      </c>
      <c r="T89" t="s">
        <v>5</v>
      </c>
      <c r="U89" s="10">
        <v>6250</v>
      </c>
      <c r="V89" s="19">
        <v>25000</v>
      </c>
      <c r="AG89" s="20">
        <v>2</v>
      </c>
      <c r="AH89" t="s">
        <v>544</v>
      </c>
      <c r="AI89" t="s">
        <v>545</v>
      </c>
      <c r="AJ89" t="s">
        <v>165</v>
      </c>
      <c r="AK89">
        <v>1</v>
      </c>
      <c r="AL89" t="s">
        <v>20</v>
      </c>
      <c r="AM89">
        <v>107500</v>
      </c>
      <c r="AN89" s="19">
        <v>107500</v>
      </c>
      <c r="AX89" s="20" t="s">
        <v>126</v>
      </c>
      <c r="AY89" t="s">
        <v>127</v>
      </c>
      <c r="AZ89" t="s">
        <v>123</v>
      </c>
      <c r="BA89" s="10">
        <v>8</v>
      </c>
      <c r="BB89" t="s">
        <v>5</v>
      </c>
      <c r="BC89" s="10">
        <v>6810.9229999999989</v>
      </c>
      <c r="BD89" s="19">
        <v>54487.383999999998</v>
      </c>
    </row>
    <row r="90" spans="1:56" ht="15.5" thickTop="1" thickBot="1" x14ac:dyDescent="0.4">
      <c r="K90" s="42" t="s">
        <v>1148</v>
      </c>
      <c r="O90" s="20">
        <v>15</v>
      </c>
      <c r="P90" t="s">
        <v>90</v>
      </c>
      <c r="Q90" t="s">
        <v>91</v>
      </c>
      <c r="R90" t="s">
        <v>67</v>
      </c>
      <c r="S90" s="10">
        <v>2</v>
      </c>
      <c r="T90" t="s">
        <v>5</v>
      </c>
      <c r="U90" s="10">
        <v>6250</v>
      </c>
      <c r="V90" s="19">
        <v>12500</v>
      </c>
      <c r="AG90" s="22" t="s">
        <v>223</v>
      </c>
      <c r="AH90" s="23" t="s">
        <v>223</v>
      </c>
      <c r="AI90" s="23" t="s">
        <v>223</v>
      </c>
      <c r="AJ90" s="23" t="s">
        <v>223</v>
      </c>
      <c r="AK90" s="23" t="s">
        <v>223</v>
      </c>
      <c r="AL90" s="23" t="s">
        <v>223</v>
      </c>
      <c r="AM90" s="23" t="s">
        <v>224</v>
      </c>
      <c r="AN90" s="24">
        <v>177000</v>
      </c>
      <c r="AX90" s="20" t="s">
        <v>128</v>
      </c>
      <c r="AY90" t="s">
        <v>129</v>
      </c>
      <c r="AZ90" t="s">
        <v>123</v>
      </c>
      <c r="BA90" s="10">
        <v>2</v>
      </c>
      <c r="BB90" t="s">
        <v>74</v>
      </c>
      <c r="BC90" s="10">
        <v>142077.0753</v>
      </c>
      <c r="BD90" s="19">
        <v>284154.15059999999</v>
      </c>
    </row>
    <row r="91" spans="1:56" x14ac:dyDescent="0.35">
      <c r="K91" s="42" t="s">
        <v>1149</v>
      </c>
      <c r="O91" s="20">
        <v>16</v>
      </c>
      <c r="P91" t="s">
        <v>92</v>
      </c>
      <c r="Q91" t="s">
        <v>93</v>
      </c>
      <c r="R91" t="s">
        <v>67</v>
      </c>
      <c r="S91" s="10">
        <v>31</v>
      </c>
      <c r="T91" t="s">
        <v>94</v>
      </c>
      <c r="U91" s="10">
        <v>11800</v>
      </c>
      <c r="V91" s="19">
        <v>365800</v>
      </c>
      <c r="AX91" s="20" t="s">
        <v>130</v>
      </c>
      <c r="AY91" t="s">
        <v>131</v>
      </c>
      <c r="AZ91" t="s">
        <v>123</v>
      </c>
      <c r="BA91" s="10">
        <v>23</v>
      </c>
      <c r="BB91" t="s">
        <v>5</v>
      </c>
      <c r="BC91" s="10">
        <v>6355.5744999999997</v>
      </c>
      <c r="BD91" s="19">
        <v>146178.21350000001</v>
      </c>
    </row>
    <row r="92" spans="1:56" ht="15" thickBot="1" x14ac:dyDescent="0.4">
      <c r="K92" s="42" t="s">
        <v>1149</v>
      </c>
      <c r="O92" s="20">
        <v>17</v>
      </c>
      <c r="P92" t="s">
        <v>100</v>
      </c>
      <c r="Q92" t="s">
        <v>101</v>
      </c>
      <c r="R92" t="s">
        <v>67</v>
      </c>
      <c r="S92" s="10">
        <v>0.4</v>
      </c>
      <c r="T92" t="s">
        <v>87</v>
      </c>
      <c r="U92" s="10">
        <v>8400</v>
      </c>
      <c r="V92" s="19">
        <v>3360</v>
      </c>
      <c r="AX92" s="20" t="s">
        <v>135</v>
      </c>
      <c r="AY92" t="s">
        <v>136</v>
      </c>
      <c r="AZ92" t="s">
        <v>123</v>
      </c>
      <c r="BA92" s="10">
        <v>8.5</v>
      </c>
      <c r="BB92" t="s">
        <v>5</v>
      </c>
      <c r="BC92" s="10">
        <v>5688.7659999999996</v>
      </c>
      <c r="BD92" s="19">
        <v>48354.510999999999</v>
      </c>
    </row>
    <row r="93" spans="1:56" x14ac:dyDescent="0.35">
      <c r="K93" s="42" t="s">
        <v>1149</v>
      </c>
      <c r="O93" s="20">
        <v>18</v>
      </c>
      <c r="P93" t="s">
        <v>102</v>
      </c>
      <c r="Q93" t="s">
        <v>103</v>
      </c>
      <c r="R93" t="s">
        <v>67</v>
      </c>
      <c r="S93" s="10">
        <v>0.1</v>
      </c>
      <c r="T93" t="s">
        <v>87</v>
      </c>
      <c r="U93" s="10">
        <v>9000</v>
      </c>
      <c r="V93" s="19">
        <v>900</v>
      </c>
      <c r="AG93" s="84" t="s">
        <v>0</v>
      </c>
      <c r="AH93" s="85"/>
      <c r="AI93" s="85"/>
      <c r="AJ93" s="85"/>
      <c r="AK93" s="85"/>
      <c r="AL93" s="16"/>
      <c r="AM93" s="16"/>
      <c r="AN93" s="17"/>
      <c r="AX93" s="20" t="s">
        <v>137</v>
      </c>
      <c r="AY93" t="s">
        <v>138</v>
      </c>
      <c r="AZ93" t="s">
        <v>123</v>
      </c>
      <c r="BA93" s="10">
        <v>18</v>
      </c>
      <c r="BB93" t="s">
        <v>5</v>
      </c>
      <c r="BC93" s="10">
        <v>16096.193799999999</v>
      </c>
      <c r="BD93" s="19">
        <v>289731.48839999997</v>
      </c>
    </row>
    <row r="94" spans="1:56" x14ac:dyDescent="0.35">
      <c r="K94" s="42" t="s">
        <v>1149</v>
      </c>
      <c r="O94" s="20">
        <v>19</v>
      </c>
      <c r="P94" t="s">
        <v>107</v>
      </c>
      <c r="Q94" t="s">
        <v>108</v>
      </c>
      <c r="R94" t="s">
        <v>67</v>
      </c>
      <c r="S94" s="10">
        <v>2</v>
      </c>
      <c r="T94" t="s">
        <v>5</v>
      </c>
      <c r="U94" s="10">
        <v>16250</v>
      </c>
      <c r="V94" s="19">
        <v>32500</v>
      </c>
      <c r="AG94" s="82" t="s">
        <v>1</v>
      </c>
      <c r="AH94" s="87"/>
      <c r="AI94" s="87"/>
      <c r="AJ94" s="87"/>
      <c r="AK94" s="87"/>
      <c r="AN94" s="19"/>
      <c r="AX94" s="20" t="s">
        <v>139</v>
      </c>
      <c r="AY94" t="s">
        <v>140</v>
      </c>
      <c r="AZ94" t="s">
        <v>123</v>
      </c>
      <c r="BA94" s="10">
        <v>6</v>
      </c>
      <c r="BB94" t="s">
        <v>5</v>
      </c>
      <c r="BC94" s="10">
        <v>42289.156600000002</v>
      </c>
      <c r="BD94" s="19">
        <v>253734.93960000001</v>
      </c>
    </row>
    <row r="95" spans="1:56" x14ac:dyDescent="0.35">
      <c r="K95" s="42" t="s">
        <v>1149</v>
      </c>
      <c r="O95" s="20">
        <v>20</v>
      </c>
      <c r="P95" t="s">
        <v>364</v>
      </c>
      <c r="Q95" t="s">
        <v>365</v>
      </c>
      <c r="R95" t="s">
        <v>67</v>
      </c>
      <c r="S95" s="10">
        <v>17</v>
      </c>
      <c r="T95" t="s">
        <v>52</v>
      </c>
      <c r="U95" s="10">
        <v>500</v>
      </c>
      <c r="V95" s="19">
        <v>8500</v>
      </c>
      <c r="AG95" s="20"/>
      <c r="AN95" s="19"/>
      <c r="AX95" s="20" t="s">
        <v>141</v>
      </c>
      <c r="AY95" t="s">
        <v>142</v>
      </c>
      <c r="AZ95" t="s">
        <v>123</v>
      </c>
      <c r="BA95" s="10">
        <v>4</v>
      </c>
      <c r="BB95" t="s">
        <v>5</v>
      </c>
      <c r="BC95" s="10">
        <v>42034.197899999999</v>
      </c>
      <c r="BD95" s="19">
        <v>168136.7916</v>
      </c>
    </row>
    <row r="96" spans="1:56" x14ac:dyDescent="0.35">
      <c r="K96" s="42" t="s">
        <v>1149</v>
      </c>
      <c r="O96" s="20">
        <v>21</v>
      </c>
      <c r="P96" t="s">
        <v>258</v>
      </c>
      <c r="Q96" t="s">
        <v>259</v>
      </c>
      <c r="R96" t="s">
        <v>67</v>
      </c>
      <c r="S96">
        <v>0.5</v>
      </c>
      <c r="T96" t="s">
        <v>5</v>
      </c>
      <c r="U96">
        <v>24500</v>
      </c>
      <c r="V96" s="19">
        <v>12250</v>
      </c>
      <c r="AG96" s="82" t="s">
        <v>10</v>
      </c>
      <c r="AH96" s="87" t="s">
        <v>11</v>
      </c>
      <c r="AI96" t="s">
        <v>730</v>
      </c>
      <c r="AN96" s="19"/>
      <c r="AX96" s="20" t="s">
        <v>143</v>
      </c>
      <c r="AY96" t="s">
        <v>144</v>
      </c>
      <c r="AZ96" t="s">
        <v>123</v>
      </c>
      <c r="BA96" s="10">
        <v>0.5</v>
      </c>
      <c r="BB96" t="s">
        <v>5</v>
      </c>
      <c r="BC96" s="10">
        <v>47233.34</v>
      </c>
      <c r="BD96" s="19">
        <v>23616.67</v>
      </c>
    </row>
    <row r="97" spans="11:56" ht="15" thickBot="1" x14ac:dyDescent="0.4">
      <c r="K97" s="42" t="s">
        <v>1149</v>
      </c>
      <c r="O97" s="22" t="s">
        <v>223</v>
      </c>
      <c r="P97" s="23" t="s">
        <v>223</v>
      </c>
      <c r="Q97" s="23" t="s">
        <v>223</v>
      </c>
      <c r="R97" s="23" t="s">
        <v>223</v>
      </c>
      <c r="S97" s="23" t="s">
        <v>223</v>
      </c>
      <c r="T97" s="23" t="s">
        <v>223</v>
      </c>
      <c r="U97" s="23" t="s">
        <v>224</v>
      </c>
      <c r="V97" s="24">
        <v>601171.5</v>
      </c>
      <c r="AG97" s="82" t="s">
        <v>16</v>
      </c>
      <c r="AH97" s="87" t="s">
        <v>11</v>
      </c>
      <c r="AI97" t="s">
        <v>211</v>
      </c>
      <c r="AN97" s="19"/>
      <c r="AX97" s="20" t="s">
        <v>145</v>
      </c>
      <c r="AY97" t="s">
        <v>146</v>
      </c>
      <c r="AZ97" t="s">
        <v>123</v>
      </c>
      <c r="BA97" s="10">
        <v>64</v>
      </c>
      <c r="BB97" t="s">
        <v>5</v>
      </c>
      <c r="BC97" s="10">
        <v>4604.1441999999997</v>
      </c>
      <c r="BD97" s="19">
        <v>294665.22879999998</v>
      </c>
    </row>
    <row r="98" spans="11:56" x14ac:dyDescent="0.35">
      <c r="K98" s="42" t="s">
        <v>1149</v>
      </c>
      <c r="AG98" s="82" t="s">
        <v>21</v>
      </c>
      <c r="AH98" s="87" t="s">
        <v>11</v>
      </c>
      <c r="AI98" t="s">
        <v>699</v>
      </c>
      <c r="AN98" s="19"/>
      <c r="AX98" s="20" t="s">
        <v>147</v>
      </c>
      <c r="AY98" t="s">
        <v>148</v>
      </c>
      <c r="AZ98" t="s">
        <v>123</v>
      </c>
      <c r="BA98" s="10">
        <v>0.2</v>
      </c>
      <c r="BB98" t="s">
        <v>5</v>
      </c>
      <c r="BC98" s="10">
        <v>15000</v>
      </c>
      <c r="BD98" s="19">
        <v>3000</v>
      </c>
    </row>
    <row r="99" spans="11:56" ht="15" thickBot="1" x14ac:dyDescent="0.4">
      <c r="K99" s="42" t="s">
        <v>1149</v>
      </c>
      <c r="AG99" s="82" t="s">
        <v>26</v>
      </c>
      <c r="AH99" s="87" t="s">
        <v>11</v>
      </c>
      <c r="AI99" t="s">
        <v>731</v>
      </c>
      <c r="AN99" s="19"/>
      <c r="AX99" s="20" t="s">
        <v>421</v>
      </c>
      <c r="AY99" t="s">
        <v>422</v>
      </c>
      <c r="AZ99" t="s">
        <v>151</v>
      </c>
      <c r="BA99" s="10">
        <v>1</v>
      </c>
      <c r="BB99" t="s">
        <v>20</v>
      </c>
      <c r="BC99" s="10">
        <v>24500</v>
      </c>
      <c r="BD99" s="19">
        <v>24500</v>
      </c>
    </row>
    <row r="100" spans="11:56" x14ac:dyDescent="0.35">
      <c r="K100" s="42" t="s">
        <v>1149</v>
      </c>
      <c r="O100" s="84" t="s">
        <v>0</v>
      </c>
      <c r="P100" s="85"/>
      <c r="Q100" s="85"/>
      <c r="R100" s="85"/>
      <c r="S100" s="85"/>
      <c r="T100" s="16"/>
      <c r="U100" s="16"/>
      <c r="V100" s="17"/>
      <c r="AG100" s="82" t="s">
        <v>31</v>
      </c>
      <c r="AH100" s="87" t="s">
        <v>11</v>
      </c>
      <c r="AI100" t="s">
        <v>186</v>
      </c>
      <c r="AN100" s="19"/>
      <c r="AX100" s="20" t="s">
        <v>158</v>
      </c>
      <c r="AY100" t="s">
        <v>159</v>
      </c>
      <c r="AZ100" t="s">
        <v>151</v>
      </c>
      <c r="BA100" s="10">
        <v>12</v>
      </c>
      <c r="BB100" t="s">
        <v>160</v>
      </c>
      <c r="BC100" s="10">
        <v>11281.2646</v>
      </c>
      <c r="BD100" s="19">
        <v>135375.1752</v>
      </c>
    </row>
    <row r="101" spans="11:56" x14ac:dyDescent="0.35">
      <c r="K101" s="42" t="s">
        <v>1149</v>
      </c>
      <c r="O101" s="82" t="s">
        <v>1</v>
      </c>
      <c r="P101" s="87"/>
      <c r="Q101" s="87"/>
      <c r="R101" s="87"/>
      <c r="S101" s="87"/>
      <c r="V101" s="19"/>
      <c r="AG101" s="82" t="s">
        <v>35</v>
      </c>
      <c r="AH101" s="87" t="s">
        <v>11</v>
      </c>
      <c r="AI101" t="s">
        <v>732</v>
      </c>
      <c r="AN101" s="19"/>
      <c r="AX101" s="20" t="s">
        <v>468</v>
      </c>
      <c r="AY101" t="s">
        <v>469</v>
      </c>
      <c r="AZ101" t="s">
        <v>151</v>
      </c>
      <c r="BA101">
        <v>36</v>
      </c>
      <c r="BB101" t="s">
        <v>20</v>
      </c>
      <c r="BC101">
        <v>1065</v>
      </c>
      <c r="BD101" s="19">
        <v>38340</v>
      </c>
    </row>
    <row r="102" spans="11:56" x14ac:dyDescent="0.35">
      <c r="K102" s="42" t="s">
        <v>1149</v>
      </c>
      <c r="O102" s="20"/>
      <c r="V102" s="19"/>
      <c r="AG102" s="20"/>
      <c r="AN102" s="19"/>
      <c r="AX102" s="20" t="s">
        <v>709</v>
      </c>
      <c r="AY102" t="s">
        <v>710</v>
      </c>
      <c r="AZ102" t="s">
        <v>67</v>
      </c>
      <c r="BA102" s="10">
        <v>1</v>
      </c>
      <c r="BB102" t="s">
        <v>20</v>
      </c>
      <c r="BC102" s="10">
        <v>8200</v>
      </c>
      <c r="BD102" s="19">
        <v>8200</v>
      </c>
    </row>
    <row r="103" spans="11:56" x14ac:dyDescent="0.35">
      <c r="K103" s="42" t="s">
        <v>1149</v>
      </c>
      <c r="O103" s="82" t="s">
        <v>10</v>
      </c>
      <c r="P103" s="87" t="s">
        <v>11</v>
      </c>
      <c r="Q103" t="s">
        <v>733</v>
      </c>
      <c r="V103" s="19"/>
      <c r="AG103" s="20" t="s">
        <v>42</v>
      </c>
      <c r="AH103" t="s">
        <v>43</v>
      </c>
      <c r="AI103" t="s">
        <v>44</v>
      </c>
      <c r="AJ103" t="s">
        <v>45</v>
      </c>
      <c r="AK103" t="s">
        <v>46</v>
      </c>
      <c r="AL103" t="s">
        <v>47</v>
      </c>
      <c r="AM103" t="s">
        <v>48</v>
      </c>
      <c r="AN103" s="19" t="s">
        <v>49</v>
      </c>
      <c r="AX103" s="20" t="s">
        <v>68</v>
      </c>
      <c r="AY103" t="s">
        <v>69</v>
      </c>
      <c r="AZ103" t="s">
        <v>67</v>
      </c>
      <c r="BA103" s="10">
        <v>7.0000000000000007E-2</v>
      </c>
      <c r="BB103" t="s">
        <v>5</v>
      </c>
      <c r="BC103" s="10">
        <v>18750</v>
      </c>
      <c r="BD103" s="19">
        <v>1312.5</v>
      </c>
    </row>
    <row r="104" spans="11:56" x14ac:dyDescent="0.35">
      <c r="K104" s="42" t="s">
        <v>1149</v>
      </c>
      <c r="O104" s="82" t="s">
        <v>16</v>
      </c>
      <c r="P104" s="87" t="s">
        <v>11</v>
      </c>
      <c r="Q104" t="s">
        <v>17</v>
      </c>
      <c r="V104" s="19"/>
      <c r="AG104" s="20">
        <v>1</v>
      </c>
      <c r="AH104" t="s">
        <v>124</v>
      </c>
      <c r="AI104" t="s">
        <v>125</v>
      </c>
      <c r="AJ104" t="s">
        <v>123</v>
      </c>
      <c r="AK104" s="10">
        <v>17</v>
      </c>
      <c r="AL104" t="s">
        <v>5</v>
      </c>
      <c r="AM104" s="10">
        <v>5574.4823999999999</v>
      </c>
      <c r="AN104" s="19">
        <v>94766.200800000006</v>
      </c>
      <c r="AX104" s="20" t="s">
        <v>70</v>
      </c>
      <c r="AY104" t="s">
        <v>71</v>
      </c>
      <c r="AZ104" t="s">
        <v>67</v>
      </c>
      <c r="BA104" s="10">
        <v>1</v>
      </c>
      <c r="BB104" t="s">
        <v>5</v>
      </c>
      <c r="BC104" s="10">
        <v>9000</v>
      </c>
      <c r="BD104" s="19">
        <v>9000</v>
      </c>
    </row>
    <row r="105" spans="11:56" x14ac:dyDescent="0.35">
      <c r="K105" s="42" t="s">
        <v>1149</v>
      </c>
      <c r="O105" s="82" t="s">
        <v>21</v>
      </c>
      <c r="P105" s="87" t="s">
        <v>11</v>
      </c>
      <c r="Q105" t="s">
        <v>699</v>
      </c>
      <c r="V105" s="19"/>
      <c r="AG105" s="20">
        <v>2</v>
      </c>
      <c r="AH105" t="s">
        <v>126</v>
      </c>
      <c r="AI105" t="s">
        <v>127</v>
      </c>
      <c r="AJ105" t="s">
        <v>123</v>
      </c>
      <c r="AK105" s="10">
        <v>10</v>
      </c>
      <c r="AL105" t="s">
        <v>5</v>
      </c>
      <c r="AM105" s="10">
        <v>6823.1926000000003</v>
      </c>
      <c r="AN105" s="19">
        <v>68231.926000000007</v>
      </c>
      <c r="AX105" s="20" t="s">
        <v>388</v>
      </c>
      <c r="AY105" t="s">
        <v>389</v>
      </c>
      <c r="AZ105" t="s">
        <v>67</v>
      </c>
      <c r="BA105" s="10">
        <v>16</v>
      </c>
      <c r="BB105" t="s">
        <v>20</v>
      </c>
      <c r="BC105" s="10">
        <v>2639</v>
      </c>
      <c r="BD105" s="19">
        <v>42224</v>
      </c>
    </row>
    <row r="106" spans="11:56" x14ac:dyDescent="0.35">
      <c r="K106" s="42" t="s">
        <v>1149</v>
      </c>
      <c r="O106" s="82" t="s">
        <v>26</v>
      </c>
      <c r="P106" s="87" t="s">
        <v>11</v>
      </c>
      <c r="Q106" t="s">
        <v>734</v>
      </c>
      <c r="V106" s="19"/>
      <c r="AG106" s="20">
        <v>3</v>
      </c>
      <c r="AH106" t="s">
        <v>130</v>
      </c>
      <c r="AI106" t="s">
        <v>131</v>
      </c>
      <c r="AJ106" t="s">
        <v>123</v>
      </c>
      <c r="AK106" s="10">
        <v>28</v>
      </c>
      <c r="AL106" t="s">
        <v>5</v>
      </c>
      <c r="AM106" s="10">
        <v>6355.6031000000003</v>
      </c>
      <c r="AN106" s="19">
        <v>177956.88680000001</v>
      </c>
      <c r="AX106" s="20" t="s">
        <v>72</v>
      </c>
      <c r="AY106" t="s">
        <v>73</v>
      </c>
      <c r="AZ106" t="s">
        <v>67</v>
      </c>
      <c r="BA106" s="10">
        <v>6</v>
      </c>
      <c r="BB106" t="s">
        <v>74</v>
      </c>
      <c r="BC106" s="10">
        <v>3000</v>
      </c>
      <c r="BD106" s="19">
        <v>18000</v>
      </c>
    </row>
    <row r="107" spans="11:56" x14ac:dyDescent="0.35">
      <c r="K107" s="42" t="s">
        <v>1149</v>
      </c>
      <c r="O107" s="82" t="s">
        <v>31</v>
      </c>
      <c r="P107" s="87" t="s">
        <v>11</v>
      </c>
      <c r="Q107" t="s">
        <v>198</v>
      </c>
      <c r="V107" s="19"/>
      <c r="AG107" s="20">
        <v>4</v>
      </c>
      <c r="AH107" t="s">
        <v>132</v>
      </c>
      <c r="AI107" t="s">
        <v>133</v>
      </c>
      <c r="AJ107" t="s">
        <v>123</v>
      </c>
      <c r="AK107" s="10">
        <v>2</v>
      </c>
      <c r="AL107" t="s">
        <v>134</v>
      </c>
      <c r="AM107" s="10">
        <v>13000</v>
      </c>
      <c r="AN107" s="19">
        <v>26000</v>
      </c>
      <c r="AX107" s="20" t="s">
        <v>77</v>
      </c>
      <c r="AY107" t="s">
        <v>78</v>
      </c>
      <c r="AZ107" t="s">
        <v>67</v>
      </c>
      <c r="BA107" s="10">
        <v>1</v>
      </c>
      <c r="BB107" t="s">
        <v>20</v>
      </c>
      <c r="BC107" s="10">
        <v>6500</v>
      </c>
      <c r="BD107" s="19">
        <v>6500</v>
      </c>
    </row>
    <row r="108" spans="11:56" x14ac:dyDescent="0.35">
      <c r="K108" s="42" t="s">
        <v>1149</v>
      </c>
      <c r="O108" s="82" t="s">
        <v>35</v>
      </c>
      <c r="P108" s="87" t="s">
        <v>11</v>
      </c>
      <c r="Q108" t="s">
        <v>735</v>
      </c>
      <c r="V108" s="19"/>
      <c r="AG108" s="20">
        <v>5</v>
      </c>
      <c r="AH108" t="s">
        <v>135</v>
      </c>
      <c r="AI108" t="s">
        <v>136</v>
      </c>
      <c r="AJ108" t="s">
        <v>123</v>
      </c>
      <c r="AK108" s="10">
        <v>11.5</v>
      </c>
      <c r="AL108" t="s">
        <v>5</v>
      </c>
      <c r="AM108" s="10">
        <v>5688.7659999999996</v>
      </c>
      <c r="AN108" s="19">
        <v>65420.809000000001</v>
      </c>
      <c r="AX108" s="20" t="s">
        <v>325</v>
      </c>
      <c r="AY108" t="s">
        <v>326</v>
      </c>
      <c r="AZ108" t="s">
        <v>67</v>
      </c>
      <c r="BA108" s="10">
        <v>0.5</v>
      </c>
      <c r="BB108" t="s">
        <v>5</v>
      </c>
      <c r="BC108" s="10">
        <v>46500</v>
      </c>
      <c r="BD108" s="19">
        <v>23250</v>
      </c>
    </row>
    <row r="109" spans="11:56" x14ac:dyDescent="0.35">
      <c r="K109" s="42" t="s">
        <v>1150</v>
      </c>
      <c r="O109" s="20"/>
      <c r="V109" s="19"/>
      <c r="AG109" s="20">
        <v>6</v>
      </c>
      <c r="AH109" t="s">
        <v>137</v>
      </c>
      <c r="AI109" t="s">
        <v>138</v>
      </c>
      <c r="AJ109" t="s">
        <v>123</v>
      </c>
      <c r="AK109" s="10">
        <v>15</v>
      </c>
      <c r="AL109" t="s">
        <v>5</v>
      </c>
      <c r="AM109" s="10">
        <v>16096.193799999999</v>
      </c>
      <c r="AN109" s="19">
        <v>241442.90700000001</v>
      </c>
      <c r="AX109" s="20" t="s">
        <v>357</v>
      </c>
      <c r="AY109" t="s">
        <v>358</v>
      </c>
      <c r="AZ109" t="s">
        <v>67</v>
      </c>
      <c r="BA109" s="10">
        <v>0.05</v>
      </c>
      <c r="BB109" t="s">
        <v>5</v>
      </c>
      <c r="BC109" s="10">
        <v>32500</v>
      </c>
      <c r="BD109" s="19">
        <v>1625</v>
      </c>
    </row>
    <row r="110" spans="11:56" x14ac:dyDescent="0.35">
      <c r="K110" s="42" t="s">
        <v>1150</v>
      </c>
      <c r="O110" s="20" t="s">
        <v>42</v>
      </c>
      <c r="P110" t="s">
        <v>43</v>
      </c>
      <c r="Q110" t="s">
        <v>44</v>
      </c>
      <c r="R110" t="s">
        <v>45</v>
      </c>
      <c r="S110" t="s">
        <v>46</v>
      </c>
      <c r="T110" t="s">
        <v>47</v>
      </c>
      <c r="U110" t="s">
        <v>48</v>
      </c>
      <c r="V110" s="19" t="s">
        <v>49</v>
      </c>
      <c r="AG110" s="20">
        <v>7</v>
      </c>
      <c r="AH110" t="s">
        <v>139</v>
      </c>
      <c r="AI110" t="s">
        <v>140</v>
      </c>
      <c r="AJ110" t="s">
        <v>123</v>
      </c>
      <c r="AK110" s="10">
        <v>3</v>
      </c>
      <c r="AL110" t="s">
        <v>5</v>
      </c>
      <c r="AM110" s="10">
        <v>42883.0697</v>
      </c>
      <c r="AN110" s="19">
        <v>128649.20909999999</v>
      </c>
      <c r="AX110" s="20" t="s">
        <v>359</v>
      </c>
      <c r="AY110" t="s">
        <v>360</v>
      </c>
      <c r="AZ110" t="s">
        <v>67</v>
      </c>
      <c r="BA110" s="10">
        <v>0.5</v>
      </c>
      <c r="BB110" t="s">
        <v>216</v>
      </c>
      <c r="BC110" s="10">
        <v>7000</v>
      </c>
      <c r="BD110" s="19">
        <v>3500</v>
      </c>
    </row>
    <row r="111" spans="11:56" x14ac:dyDescent="0.35">
      <c r="K111" s="42" t="s">
        <v>1150</v>
      </c>
      <c r="O111" s="20">
        <v>1</v>
      </c>
      <c r="P111" t="s">
        <v>718</v>
      </c>
      <c r="Q111" t="s">
        <v>719</v>
      </c>
      <c r="R111" t="s">
        <v>165</v>
      </c>
      <c r="S111" s="10">
        <v>2</v>
      </c>
      <c r="T111" t="s">
        <v>20</v>
      </c>
      <c r="U111" s="10">
        <v>39760</v>
      </c>
      <c r="V111" s="19">
        <v>79520</v>
      </c>
      <c r="AG111" s="20">
        <v>8</v>
      </c>
      <c r="AH111" t="s">
        <v>141</v>
      </c>
      <c r="AI111" t="s">
        <v>142</v>
      </c>
      <c r="AJ111" t="s">
        <v>123</v>
      </c>
      <c r="AK111" s="10">
        <v>5</v>
      </c>
      <c r="AL111" t="s">
        <v>5</v>
      </c>
      <c r="AM111" s="10">
        <v>42034.197899999999</v>
      </c>
      <c r="AN111" s="19">
        <v>210170.9895</v>
      </c>
      <c r="AX111" s="20" t="s">
        <v>85</v>
      </c>
      <c r="AY111" t="s">
        <v>86</v>
      </c>
      <c r="AZ111" t="s">
        <v>67</v>
      </c>
      <c r="BA111" s="10">
        <v>0.5</v>
      </c>
      <c r="BB111" t="s">
        <v>87</v>
      </c>
      <c r="BC111" s="10">
        <v>18500</v>
      </c>
      <c r="BD111" s="19">
        <v>9250</v>
      </c>
    </row>
    <row r="112" spans="11:56" x14ac:dyDescent="0.35">
      <c r="K112" s="42" t="s">
        <v>1150</v>
      </c>
      <c r="O112" s="20">
        <v>2</v>
      </c>
      <c r="P112" t="s">
        <v>438</v>
      </c>
      <c r="Q112" t="s">
        <v>439</v>
      </c>
      <c r="R112" t="s">
        <v>182</v>
      </c>
      <c r="S112">
        <v>4</v>
      </c>
      <c r="T112" t="s">
        <v>20</v>
      </c>
      <c r="U112">
        <v>5360.8</v>
      </c>
      <c r="V112" s="19">
        <v>21443.200000000001</v>
      </c>
      <c r="AG112" s="20">
        <v>9</v>
      </c>
      <c r="AH112" t="s">
        <v>145</v>
      </c>
      <c r="AI112" t="s">
        <v>146</v>
      </c>
      <c r="AJ112" t="s">
        <v>123</v>
      </c>
      <c r="AK112" s="10">
        <v>59</v>
      </c>
      <c r="AL112" t="s">
        <v>5</v>
      </c>
      <c r="AM112" s="10">
        <v>4604.1441999999997</v>
      </c>
      <c r="AN112" s="19">
        <v>271644.50780000002</v>
      </c>
      <c r="AX112" s="20" t="s">
        <v>242</v>
      </c>
      <c r="AY112" t="s">
        <v>243</v>
      </c>
      <c r="AZ112" t="s">
        <v>67</v>
      </c>
      <c r="BA112" s="10">
        <v>0.6</v>
      </c>
      <c r="BB112" t="s">
        <v>87</v>
      </c>
      <c r="BC112" s="10">
        <v>14500</v>
      </c>
      <c r="BD112" s="19">
        <v>8700</v>
      </c>
    </row>
    <row r="113" spans="11:56" ht="15" thickBot="1" x14ac:dyDescent="0.4">
      <c r="K113" s="42" t="s">
        <v>1150</v>
      </c>
      <c r="O113" s="22" t="s">
        <v>223</v>
      </c>
      <c r="P113" s="23" t="s">
        <v>223</v>
      </c>
      <c r="Q113" s="23" t="s">
        <v>223</v>
      </c>
      <c r="R113" s="23" t="s">
        <v>223</v>
      </c>
      <c r="S113" s="23" t="s">
        <v>223</v>
      </c>
      <c r="T113" s="23" t="s">
        <v>223</v>
      </c>
      <c r="U113" s="23" t="s">
        <v>224</v>
      </c>
      <c r="V113" s="24">
        <v>100963.2</v>
      </c>
      <c r="AG113" s="20">
        <v>10</v>
      </c>
      <c r="AH113" t="s">
        <v>147</v>
      </c>
      <c r="AI113" t="s">
        <v>148</v>
      </c>
      <c r="AJ113" t="s">
        <v>123</v>
      </c>
      <c r="AK113" s="10">
        <v>0.3</v>
      </c>
      <c r="AL113" t="s">
        <v>5</v>
      </c>
      <c r="AM113" s="10">
        <v>15000</v>
      </c>
      <c r="AN113" s="19">
        <v>4500</v>
      </c>
      <c r="AX113" s="20" t="s">
        <v>244</v>
      </c>
      <c r="AY113" t="s">
        <v>245</v>
      </c>
      <c r="AZ113" t="s">
        <v>67</v>
      </c>
      <c r="BA113" s="10">
        <v>1</v>
      </c>
      <c r="BB113" t="s">
        <v>20</v>
      </c>
      <c r="BC113" s="10">
        <v>6000</v>
      </c>
      <c r="BD113" s="19">
        <v>6000</v>
      </c>
    </row>
    <row r="114" spans="11:56" x14ac:dyDescent="0.35">
      <c r="K114" s="42" t="s">
        <v>1151</v>
      </c>
      <c r="AG114" s="20">
        <v>11</v>
      </c>
      <c r="AH114" t="s">
        <v>421</v>
      </c>
      <c r="AI114" t="s">
        <v>422</v>
      </c>
      <c r="AJ114" t="s">
        <v>151</v>
      </c>
      <c r="AK114" s="10">
        <v>4</v>
      </c>
      <c r="AL114" t="s">
        <v>20</v>
      </c>
      <c r="AM114" s="10">
        <v>24500</v>
      </c>
      <c r="AN114" s="19">
        <v>98000</v>
      </c>
      <c r="AX114" s="20" t="s">
        <v>246</v>
      </c>
      <c r="AY114" t="s">
        <v>247</v>
      </c>
      <c r="AZ114" t="s">
        <v>67</v>
      </c>
      <c r="BA114" s="10">
        <v>2</v>
      </c>
      <c r="BB114" t="s">
        <v>5</v>
      </c>
      <c r="BC114" s="10">
        <v>1400</v>
      </c>
      <c r="BD114" s="19">
        <v>2800</v>
      </c>
    </row>
    <row r="115" spans="11:56" x14ac:dyDescent="0.35">
      <c r="K115" s="42" t="s">
        <v>1149</v>
      </c>
      <c r="AG115" s="20">
        <v>12</v>
      </c>
      <c r="AH115" t="s">
        <v>272</v>
      </c>
      <c r="AI115" t="s">
        <v>273</v>
      </c>
      <c r="AJ115" t="s">
        <v>151</v>
      </c>
      <c r="AK115" s="10">
        <v>1</v>
      </c>
      <c r="AL115" t="s">
        <v>5</v>
      </c>
      <c r="AM115" s="10">
        <v>2707.3845999999999</v>
      </c>
      <c r="AN115" s="19">
        <v>2707.3845999999999</v>
      </c>
      <c r="AX115" s="20" t="s">
        <v>327</v>
      </c>
      <c r="AY115" t="s">
        <v>328</v>
      </c>
      <c r="AZ115" t="s">
        <v>67</v>
      </c>
      <c r="BA115" s="10">
        <v>4</v>
      </c>
      <c r="BB115" t="s">
        <v>5</v>
      </c>
      <c r="BC115" s="10">
        <v>6250</v>
      </c>
      <c r="BD115" s="19">
        <v>25000</v>
      </c>
    </row>
    <row r="116" spans="11:56" x14ac:dyDescent="0.35">
      <c r="K116" s="42" t="s">
        <v>1150</v>
      </c>
      <c r="AG116" s="20">
        <v>13</v>
      </c>
      <c r="AH116" t="s">
        <v>274</v>
      </c>
      <c r="AI116" t="s">
        <v>275</v>
      </c>
      <c r="AJ116" t="s">
        <v>151</v>
      </c>
      <c r="AK116" s="10">
        <v>1</v>
      </c>
      <c r="AL116" t="s">
        <v>160</v>
      </c>
      <c r="AM116" s="10">
        <v>22925</v>
      </c>
      <c r="AN116" s="19">
        <v>22925</v>
      </c>
      <c r="AX116" s="20" t="s">
        <v>90</v>
      </c>
      <c r="AY116" t="s">
        <v>91</v>
      </c>
      <c r="AZ116" t="s">
        <v>67</v>
      </c>
      <c r="BA116" s="10">
        <v>2</v>
      </c>
      <c r="BB116" t="s">
        <v>5</v>
      </c>
      <c r="BC116" s="10">
        <v>6250</v>
      </c>
      <c r="BD116" s="19">
        <v>12500</v>
      </c>
    </row>
    <row r="117" spans="11:56" x14ac:dyDescent="0.35">
      <c r="K117" s="42" t="s">
        <v>1148</v>
      </c>
      <c r="AG117" s="20">
        <v>14</v>
      </c>
      <c r="AH117" t="s">
        <v>720</v>
      </c>
      <c r="AI117" t="s">
        <v>721</v>
      </c>
      <c r="AJ117" t="s">
        <v>151</v>
      </c>
      <c r="AK117" s="10">
        <v>17</v>
      </c>
      <c r="AL117" t="s">
        <v>20</v>
      </c>
      <c r="AM117" s="10">
        <v>105366.25</v>
      </c>
      <c r="AN117" s="19">
        <v>1791226.25</v>
      </c>
      <c r="AX117" s="20" t="s">
        <v>92</v>
      </c>
      <c r="AY117" t="s">
        <v>93</v>
      </c>
      <c r="AZ117" t="s">
        <v>67</v>
      </c>
      <c r="BA117" s="10">
        <v>31</v>
      </c>
      <c r="BB117" t="s">
        <v>94</v>
      </c>
      <c r="BC117" s="10">
        <v>11800</v>
      </c>
      <c r="BD117" s="19">
        <v>365800</v>
      </c>
    </row>
    <row r="118" spans="11:56" ht="15" thickBot="1" x14ac:dyDescent="0.4">
      <c r="K118" s="46" t="s">
        <v>1152</v>
      </c>
      <c r="AG118" s="20">
        <v>15</v>
      </c>
      <c r="AH118" t="s">
        <v>722</v>
      </c>
      <c r="AI118" t="s">
        <v>723</v>
      </c>
      <c r="AJ118" t="s">
        <v>151</v>
      </c>
      <c r="AK118" s="10">
        <v>1</v>
      </c>
      <c r="AL118" t="s">
        <v>20</v>
      </c>
      <c r="AM118" s="10">
        <v>18916.666700000002</v>
      </c>
      <c r="AN118" s="19">
        <v>18916.666700000002</v>
      </c>
      <c r="AX118" s="20" t="s">
        <v>100</v>
      </c>
      <c r="AY118" t="s">
        <v>101</v>
      </c>
      <c r="AZ118" t="s">
        <v>67</v>
      </c>
      <c r="BA118" s="10">
        <v>0.4</v>
      </c>
      <c r="BB118" t="s">
        <v>87</v>
      </c>
      <c r="BC118" s="10">
        <v>8400</v>
      </c>
      <c r="BD118" s="19">
        <v>3360</v>
      </c>
    </row>
    <row r="119" spans="11:56" ht="15" thickTop="1" x14ac:dyDescent="0.35">
      <c r="AG119" s="20">
        <v>16</v>
      </c>
      <c r="AH119" t="s">
        <v>468</v>
      </c>
      <c r="AI119" t="s">
        <v>469</v>
      </c>
      <c r="AJ119" t="s">
        <v>151</v>
      </c>
      <c r="AK119" s="10">
        <v>14</v>
      </c>
      <c r="AL119" t="s">
        <v>20</v>
      </c>
      <c r="AM119" s="10">
        <v>3215.8817647058818</v>
      </c>
      <c r="AN119" s="19">
        <v>45022.344706000003</v>
      </c>
      <c r="AX119" s="20" t="s">
        <v>102</v>
      </c>
      <c r="AY119" t="s">
        <v>103</v>
      </c>
      <c r="AZ119" t="s">
        <v>67</v>
      </c>
      <c r="BA119" s="10">
        <v>0.1</v>
      </c>
      <c r="BB119" t="s">
        <v>87</v>
      </c>
      <c r="BC119" s="10">
        <v>9000</v>
      </c>
      <c r="BD119" s="19">
        <v>900</v>
      </c>
    </row>
    <row r="120" spans="11:56" x14ac:dyDescent="0.35">
      <c r="AG120" s="20">
        <v>17</v>
      </c>
      <c r="AH120" t="s">
        <v>276</v>
      </c>
      <c r="AI120" t="s">
        <v>277</v>
      </c>
      <c r="AJ120" t="s">
        <v>151</v>
      </c>
      <c r="AK120">
        <v>5</v>
      </c>
      <c r="AL120" t="s">
        <v>52</v>
      </c>
      <c r="AM120">
        <v>1756.05</v>
      </c>
      <c r="AN120" s="19">
        <v>8780.25</v>
      </c>
      <c r="AX120" s="20" t="s">
        <v>107</v>
      </c>
      <c r="AY120" t="s">
        <v>108</v>
      </c>
      <c r="AZ120" t="s">
        <v>67</v>
      </c>
      <c r="BA120" s="10">
        <v>2</v>
      </c>
      <c r="BB120" t="s">
        <v>5</v>
      </c>
      <c r="BC120" s="10">
        <v>16250</v>
      </c>
      <c r="BD120" s="19">
        <v>32500</v>
      </c>
    </row>
    <row r="121" spans="11:56" ht="15" thickBot="1" x14ac:dyDescent="0.4">
      <c r="AG121" s="22" t="s">
        <v>223</v>
      </c>
      <c r="AH121" s="23" t="s">
        <v>223</v>
      </c>
      <c r="AI121" s="23" t="s">
        <v>223</v>
      </c>
      <c r="AJ121" s="23" t="s">
        <v>223</v>
      </c>
      <c r="AK121" s="23" t="s">
        <v>223</v>
      </c>
      <c r="AL121" s="23" t="s">
        <v>223</v>
      </c>
      <c r="AM121" s="23" t="s">
        <v>224</v>
      </c>
      <c r="AN121" s="24">
        <v>3276361.332006</v>
      </c>
      <c r="AX121" s="20" t="s">
        <v>364</v>
      </c>
      <c r="AY121" t="s">
        <v>365</v>
      </c>
      <c r="AZ121" t="s">
        <v>67</v>
      </c>
      <c r="BA121" s="10">
        <v>17</v>
      </c>
      <c r="BB121" t="s">
        <v>52</v>
      </c>
      <c r="BC121" s="10">
        <v>500</v>
      </c>
      <c r="BD121" s="19">
        <v>8500</v>
      </c>
    </row>
    <row r="122" spans="11:56" x14ac:dyDescent="0.35">
      <c r="AX122" s="20" t="s">
        <v>258</v>
      </c>
      <c r="AY122" t="s">
        <v>259</v>
      </c>
      <c r="AZ122" t="s">
        <v>67</v>
      </c>
      <c r="BA122">
        <v>0.5</v>
      </c>
      <c r="BB122" t="s">
        <v>5</v>
      </c>
      <c r="BC122">
        <v>24500</v>
      </c>
      <c r="BD122" s="19">
        <v>12250</v>
      </c>
    </row>
    <row r="123" spans="11:56" x14ac:dyDescent="0.35">
      <c r="AX123" s="20" t="s">
        <v>718</v>
      </c>
      <c r="AY123" t="s">
        <v>719</v>
      </c>
      <c r="AZ123" t="s">
        <v>165</v>
      </c>
      <c r="BA123" s="10">
        <v>2</v>
      </c>
      <c r="BB123" t="s">
        <v>20</v>
      </c>
      <c r="BC123" s="10">
        <v>39760</v>
      </c>
      <c r="BD123" s="19">
        <v>79520</v>
      </c>
    </row>
    <row r="124" spans="11:56" ht="15" thickBot="1" x14ac:dyDescent="0.4">
      <c r="AX124" s="22" t="s">
        <v>438</v>
      </c>
      <c r="AY124" s="23" t="s">
        <v>439</v>
      </c>
      <c r="AZ124" s="23" t="s">
        <v>182</v>
      </c>
      <c r="BA124" s="23">
        <v>4</v>
      </c>
      <c r="BB124" s="23" t="s">
        <v>20</v>
      </c>
      <c r="BC124" s="23">
        <v>5360.8</v>
      </c>
      <c r="BD124" s="24">
        <v>21443.200000000001</v>
      </c>
    </row>
  </sheetData>
  <mergeCells count="64">
    <mergeCell ref="O2:S2"/>
    <mergeCell ref="AG2:AK2"/>
    <mergeCell ref="O3:S3"/>
    <mergeCell ref="AG3:AK3"/>
    <mergeCell ref="O5:P5"/>
    <mergeCell ref="AG5:AH5"/>
    <mergeCell ref="O33:S33"/>
    <mergeCell ref="O6:P6"/>
    <mergeCell ref="AG6:AH6"/>
    <mergeCell ref="O7:P7"/>
    <mergeCell ref="AG7:AH7"/>
    <mergeCell ref="O8:P8"/>
    <mergeCell ref="AG8:AH8"/>
    <mergeCell ref="O9:P9"/>
    <mergeCell ref="AG9:AH9"/>
    <mergeCell ref="O10:P10"/>
    <mergeCell ref="AG10:AH10"/>
    <mergeCell ref="O32:S32"/>
    <mergeCell ref="AG42:AH42"/>
    <mergeCell ref="O35:P35"/>
    <mergeCell ref="O36:P36"/>
    <mergeCell ref="AG36:AK36"/>
    <mergeCell ref="O37:P37"/>
    <mergeCell ref="AG37:AK37"/>
    <mergeCell ref="O38:P38"/>
    <mergeCell ref="O39:P39"/>
    <mergeCell ref="AG39:AH39"/>
    <mergeCell ref="O40:P40"/>
    <mergeCell ref="AG40:AH40"/>
    <mergeCell ref="AG41:AH41"/>
    <mergeCell ref="AG78:AK78"/>
    <mergeCell ref="AG43:AH43"/>
    <mergeCell ref="AG44:AH44"/>
    <mergeCell ref="O65:S65"/>
    <mergeCell ref="O66:S66"/>
    <mergeCell ref="O68:P68"/>
    <mergeCell ref="O69:P69"/>
    <mergeCell ref="O70:P70"/>
    <mergeCell ref="O71:P71"/>
    <mergeCell ref="O72:P72"/>
    <mergeCell ref="O73:P73"/>
    <mergeCell ref="AG77:AK77"/>
    <mergeCell ref="AG99:AH99"/>
    <mergeCell ref="AG80:AH80"/>
    <mergeCell ref="AG81:AH81"/>
    <mergeCell ref="AG82:AH82"/>
    <mergeCell ref="AG83:AH83"/>
    <mergeCell ref="AG84:AH84"/>
    <mergeCell ref="AG85:AH85"/>
    <mergeCell ref="AG93:AK93"/>
    <mergeCell ref="AG94:AK94"/>
    <mergeCell ref="AG96:AH96"/>
    <mergeCell ref="AG97:AH97"/>
    <mergeCell ref="AG98:AH98"/>
    <mergeCell ref="AG100:AH100"/>
    <mergeCell ref="O101:S101"/>
    <mergeCell ref="AG101:AH101"/>
    <mergeCell ref="O103:P103"/>
    <mergeCell ref="O104:P104"/>
    <mergeCell ref="O105:P105"/>
    <mergeCell ref="O106:P106"/>
    <mergeCell ref="O107:P107"/>
    <mergeCell ref="O108:P108"/>
    <mergeCell ref="O100:S100"/>
  </mergeCells>
  <conditionalFormatting sqref="H6:H89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6:J89">
    <cfRule type="containsText" dxfId="22" priority="6" operator="containsText" text="PENURUNAN IU">
      <formula>NOT(ISERROR(SEARCH("PENURUNAN IU",J6)))</formula>
    </cfRule>
    <cfRule type="containsText" dxfId="21" priority="7" operator="containsText" text="TIDAK ADA PERUBAHAN">
      <formula>NOT(ISERROR(SEARCH("TIDAK ADA PERUBAHAN",J6)))</formula>
    </cfRule>
    <cfRule type="containsText" dxfId="20" priority="8" operator="containsText" text="KENAIKAN IU">
      <formula>NOT(ISERROR(SEARCH("KENAIKAN IU",J6)))</formula>
    </cfRule>
  </conditionalFormatting>
  <conditionalFormatting sqref="A6:I6">
    <cfRule type="expression" dxfId="19" priority="5">
      <formula>CELL("row")=ROW()</formula>
    </cfRule>
  </conditionalFormatting>
  <conditionalFormatting sqref="A6:I89">
    <cfRule type="expression" dxfId="18" priority="4">
      <formula>CELL("row")=ROW()</formula>
    </cfRule>
  </conditionalFormatting>
  <conditionalFormatting sqref="K6:K118">
    <cfRule type="expression" dxfId="17" priority="1">
      <formula>CELL("row")=ROW()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C0AFA-BCCB-4AF6-B5A4-AE476F9F466C}">
  <sheetPr codeName="Sheet10"/>
  <dimension ref="A2:BD86"/>
  <sheetViews>
    <sheetView showGridLines="0" zoomScale="70" zoomScaleNormal="70" workbookViewId="0">
      <selection activeCell="K16" sqref="K16"/>
    </sheetView>
  </sheetViews>
  <sheetFormatPr defaultRowHeight="14.5" x14ac:dyDescent="0.35"/>
  <cols>
    <col min="1" max="1" width="10.81640625" bestFit="1" customWidth="1"/>
    <col min="2" max="2" width="54.1796875" bestFit="1" customWidth="1"/>
    <col min="3" max="3" width="30.1796875" bestFit="1" customWidth="1"/>
    <col min="5" max="5" width="12" bestFit="1" customWidth="1"/>
    <col min="6" max="6" width="12.453125" bestFit="1" customWidth="1"/>
    <col min="9" max="9" width="17.36328125" customWidth="1"/>
    <col min="10" max="10" width="18.7265625" bestFit="1" customWidth="1"/>
    <col min="11" max="11" width="43.54296875" customWidth="1"/>
  </cols>
  <sheetData>
    <row r="2" spans="1:56" ht="15" thickBot="1" x14ac:dyDescent="0.4"/>
    <row r="3" spans="1:56" ht="21" x14ac:dyDescent="0.5">
      <c r="B3" s="14" t="s">
        <v>736</v>
      </c>
      <c r="O3" s="84" t="s">
        <v>0</v>
      </c>
      <c r="P3" s="85"/>
      <c r="Q3" s="85"/>
      <c r="R3" s="85"/>
      <c r="S3" s="85"/>
      <c r="T3" s="16"/>
      <c r="U3" s="16"/>
      <c r="V3" s="17"/>
      <c r="X3" s="25" t="s">
        <v>68</v>
      </c>
      <c r="Y3" s="16" t="s">
        <v>69</v>
      </c>
      <c r="Z3" s="16" t="s">
        <v>67</v>
      </c>
      <c r="AA3" s="26">
        <v>0.2</v>
      </c>
      <c r="AB3" s="16" t="s">
        <v>5</v>
      </c>
      <c r="AC3" s="26">
        <v>17319.482288822121</v>
      </c>
      <c r="AD3" s="17">
        <v>3463.8964580000002</v>
      </c>
      <c r="AG3" s="84" t="s">
        <v>0</v>
      </c>
      <c r="AH3" s="85"/>
      <c r="AI3" s="85"/>
      <c r="AJ3" s="85"/>
      <c r="AK3" s="85"/>
      <c r="AL3" s="16"/>
      <c r="AM3" s="16"/>
      <c r="AN3" s="17"/>
      <c r="AP3" s="25" t="s">
        <v>70</v>
      </c>
      <c r="AQ3" s="16" t="s">
        <v>71</v>
      </c>
      <c r="AR3" s="16" t="s">
        <v>67</v>
      </c>
      <c r="AS3" s="26">
        <v>2</v>
      </c>
      <c r="AT3" s="16" t="s">
        <v>5</v>
      </c>
      <c r="AU3" s="26">
        <v>9000</v>
      </c>
      <c r="AV3" s="17">
        <v>18000</v>
      </c>
      <c r="AX3" s="25" t="s">
        <v>70</v>
      </c>
      <c r="AY3" s="16" t="s">
        <v>71</v>
      </c>
      <c r="AZ3" s="16" t="s">
        <v>67</v>
      </c>
      <c r="BA3" s="26">
        <v>2</v>
      </c>
      <c r="BB3" s="16" t="s">
        <v>5</v>
      </c>
      <c r="BC3" s="26">
        <v>9000</v>
      </c>
      <c r="BD3" s="17">
        <v>18000</v>
      </c>
    </row>
    <row r="4" spans="1:56" ht="15" thickBot="1" x14ac:dyDescent="0.4">
      <c r="O4" s="82" t="s">
        <v>1</v>
      </c>
      <c r="P4" s="87"/>
      <c r="Q4" s="87"/>
      <c r="R4" s="87"/>
      <c r="S4" s="87"/>
      <c r="V4" s="19"/>
      <c r="X4" s="20" t="s">
        <v>230</v>
      </c>
      <c r="Y4" t="s">
        <v>231</v>
      </c>
      <c r="Z4" t="s">
        <v>67</v>
      </c>
      <c r="AA4" s="10">
        <v>1</v>
      </c>
      <c r="AB4" t="s">
        <v>5</v>
      </c>
      <c r="AC4" s="10">
        <v>9000</v>
      </c>
      <c r="AD4" s="19">
        <v>9000</v>
      </c>
      <c r="AG4" s="82" t="s">
        <v>1</v>
      </c>
      <c r="AH4" s="87"/>
      <c r="AI4" s="87"/>
      <c r="AJ4" s="87"/>
      <c r="AK4" s="87"/>
      <c r="AN4" s="19"/>
      <c r="AP4" s="20" t="s">
        <v>72</v>
      </c>
      <c r="AQ4" t="s">
        <v>73</v>
      </c>
      <c r="AR4" t="s">
        <v>67</v>
      </c>
      <c r="AS4" s="10">
        <v>1</v>
      </c>
      <c r="AT4" t="s">
        <v>74</v>
      </c>
      <c r="AU4" s="10">
        <v>3013.7363</v>
      </c>
      <c r="AV4" s="19">
        <v>3013.7363</v>
      </c>
      <c r="AX4" s="20" t="s">
        <v>72</v>
      </c>
      <c r="AY4" t="s">
        <v>73</v>
      </c>
      <c r="AZ4" t="s">
        <v>67</v>
      </c>
      <c r="BA4" s="10">
        <v>1</v>
      </c>
      <c r="BB4" t="s">
        <v>74</v>
      </c>
      <c r="BC4" s="10">
        <v>3013.7363</v>
      </c>
      <c r="BD4" s="19">
        <v>3013.7363</v>
      </c>
    </row>
    <row r="5" spans="1:56" ht="27.5" customHeight="1" thickTop="1" x14ac:dyDescent="0.35">
      <c r="A5" s="27" t="s">
        <v>200</v>
      </c>
      <c r="B5" s="28" t="s">
        <v>201</v>
      </c>
      <c r="C5" s="28" t="s">
        <v>202</v>
      </c>
      <c r="D5" s="28" t="s">
        <v>203</v>
      </c>
      <c r="E5" s="28" t="s">
        <v>204</v>
      </c>
      <c r="F5" s="30" t="s">
        <v>470</v>
      </c>
      <c r="G5" s="30" t="s">
        <v>822</v>
      </c>
      <c r="H5" s="30" t="s">
        <v>207</v>
      </c>
      <c r="I5" s="28" t="s">
        <v>208</v>
      </c>
      <c r="J5" s="28" t="s">
        <v>209</v>
      </c>
      <c r="K5" s="29" t="s">
        <v>862</v>
      </c>
      <c r="O5" s="20"/>
      <c r="V5" s="19"/>
      <c r="X5" s="20" t="s">
        <v>388</v>
      </c>
      <c r="Y5" t="s">
        <v>389</v>
      </c>
      <c r="Z5" t="s">
        <v>67</v>
      </c>
      <c r="AA5" s="10">
        <v>1</v>
      </c>
      <c r="AB5" t="s">
        <v>20</v>
      </c>
      <c r="AC5" s="10">
        <v>2670.099999999999</v>
      </c>
      <c r="AD5" s="19">
        <v>2670.1</v>
      </c>
      <c r="AG5" s="20"/>
      <c r="AN5" s="19"/>
      <c r="AP5" s="20" t="s">
        <v>79</v>
      </c>
      <c r="AQ5" t="s">
        <v>80</v>
      </c>
      <c r="AR5" t="s">
        <v>67</v>
      </c>
      <c r="AS5" s="10">
        <v>1</v>
      </c>
      <c r="AT5" t="s">
        <v>20</v>
      </c>
      <c r="AU5" s="10">
        <v>15000</v>
      </c>
      <c r="AV5" s="19">
        <v>15000</v>
      </c>
      <c r="AX5" s="20" t="s">
        <v>79</v>
      </c>
      <c r="AY5" t="s">
        <v>80</v>
      </c>
      <c r="AZ5" t="s">
        <v>67</v>
      </c>
      <c r="BA5" s="10">
        <v>1</v>
      </c>
      <c r="BB5" t="s">
        <v>20</v>
      </c>
      <c r="BC5" s="10">
        <v>15000</v>
      </c>
      <c r="BD5" s="19">
        <v>15000</v>
      </c>
    </row>
    <row r="6" spans="1:56" x14ac:dyDescent="0.35">
      <c r="A6" s="38" t="str" cm="1">
        <f t="array" ref="A6:A39">_xlfn.UNIQUE(_xlfn._xlws.FILTER(AX3:AX300, AX3:AX300 &lt;&gt; ""))</f>
        <v>STA00019</v>
      </c>
      <c r="B6" s="31" t="str">
        <f>_xlfn.XLOOKUP(A6, AX$3:AX$300, AY$3:AY$300, "", 0)</f>
        <v>BATERAI AAA</v>
      </c>
      <c r="C6" s="31" t="str">
        <f>_xlfn.XLOOKUP(A6, AX$3:AX$300, AZ$3:AZ$300, "", 0)</f>
        <v>STATIONARY AND OFFICE SUPPLIES</v>
      </c>
      <c r="D6" s="31" t="str">
        <f>_xlfn.XLOOKUP(A6, AX$3:AX$300, BB$3:BB$300, "", 0)</f>
        <v>pack</v>
      </c>
      <c r="E6" s="40">
        <f>_xlfn.XLOOKUP(A6, AX$3:AX$300, BC$3:BC$300, "", 0)</f>
        <v>9000</v>
      </c>
      <c r="F6" s="48" t="str">
        <f>_xlfn.XLOOKUP(A6, X$3:X$300, AA$3:AA$300, "0", 0)</f>
        <v>0</v>
      </c>
      <c r="G6" s="48">
        <f>_xlfn.XLOOKUP(A6, AP$3:AP$300, AS$3:AS$300, "0", 0)</f>
        <v>2</v>
      </c>
      <c r="H6" s="48">
        <f>F6-G6</f>
        <v>-2</v>
      </c>
      <c r="I6" s="40">
        <f>H6*E6</f>
        <v>-18000</v>
      </c>
      <c r="J6" s="31" t="str">
        <f>CHOOSE(SIGN(G6 - F6) + 2, "Penurunan IU", "Tidak Ada Perubahan", "Kenaikan IU")</f>
        <v>Kenaikan IU</v>
      </c>
      <c r="K6" s="42" t="s">
        <v>1088</v>
      </c>
      <c r="O6" s="82" t="s">
        <v>10</v>
      </c>
      <c r="P6" s="87" t="s">
        <v>11</v>
      </c>
      <c r="Q6" t="s">
        <v>737</v>
      </c>
      <c r="V6" s="19"/>
      <c r="X6" s="20" t="s">
        <v>72</v>
      </c>
      <c r="Y6" t="s">
        <v>73</v>
      </c>
      <c r="Z6" t="s">
        <v>67</v>
      </c>
      <c r="AA6" s="10">
        <v>1</v>
      </c>
      <c r="AB6" t="s">
        <v>74</v>
      </c>
      <c r="AC6" s="10">
        <v>3013.7363</v>
      </c>
      <c r="AD6" s="19">
        <v>3013.7363</v>
      </c>
      <c r="AG6" s="82" t="s">
        <v>10</v>
      </c>
      <c r="AH6" s="87" t="s">
        <v>11</v>
      </c>
      <c r="AI6" t="s">
        <v>738</v>
      </c>
      <c r="AN6" s="19"/>
      <c r="AP6" s="20" t="s">
        <v>393</v>
      </c>
      <c r="AQ6" t="s">
        <v>394</v>
      </c>
      <c r="AR6" t="s">
        <v>67</v>
      </c>
      <c r="AS6" s="10">
        <v>1</v>
      </c>
      <c r="AT6" t="s">
        <v>20</v>
      </c>
      <c r="AU6" s="10">
        <v>12500</v>
      </c>
      <c r="AV6" s="19">
        <v>12500</v>
      </c>
      <c r="AX6" s="20" t="s">
        <v>393</v>
      </c>
      <c r="AY6" t="s">
        <v>394</v>
      </c>
      <c r="AZ6" t="s">
        <v>67</v>
      </c>
      <c r="BA6" s="10">
        <v>1</v>
      </c>
      <c r="BB6" t="s">
        <v>20</v>
      </c>
      <c r="BC6" s="10">
        <v>12500</v>
      </c>
      <c r="BD6" s="19">
        <v>12500</v>
      </c>
    </row>
    <row r="7" spans="1:56" x14ac:dyDescent="0.35">
      <c r="A7" s="38" t="str">
        <v>STA00028</v>
      </c>
      <c r="B7" s="31" t="str">
        <f t="shared" ref="B7:B39" si="0">_xlfn.XLOOKUP(A7, AX$3:AX$300, AY$3:AY$300, "", 0)</f>
        <v>SOLATIP KECIL 12 MM</v>
      </c>
      <c r="C7" s="31" t="str">
        <f t="shared" ref="C7:C39" si="1">_xlfn.XLOOKUP(A7, AX$3:AX$300, AZ$3:AZ$300, "", 0)</f>
        <v>STATIONARY AND OFFICE SUPPLIES</v>
      </c>
      <c r="D7" s="31" t="str">
        <f t="shared" ref="D7:D39" si="2">_xlfn.XLOOKUP(A7, AX$3:AX$300, BB$3:BB$300, "", 0)</f>
        <v>roll</v>
      </c>
      <c r="E7" s="40">
        <f t="shared" ref="E7:E39" si="3">_xlfn.XLOOKUP(A7, AX$3:AX$300, BC$3:BC$300, "", 0)</f>
        <v>3013.7363</v>
      </c>
      <c r="F7" s="48">
        <f t="shared" ref="F7:F39" si="4">_xlfn.XLOOKUP(A7, X$3:X$300, AA$3:AA$300, "0", 0)</f>
        <v>1</v>
      </c>
      <c r="G7" s="48">
        <f t="shared" ref="G7:G39" si="5">_xlfn.XLOOKUP(A7, AP$3:AP$300, AS$3:AS$300, "0", 0)</f>
        <v>1</v>
      </c>
      <c r="H7" s="48">
        <f t="shared" ref="H7:H39" si="6">F7-G7</f>
        <v>0</v>
      </c>
      <c r="I7" s="40">
        <f t="shared" ref="I7:I39" si="7">H7*E7</f>
        <v>0</v>
      </c>
      <c r="J7" s="31" t="str">
        <f t="shared" ref="J7:J39" si="8">CHOOSE(SIGN(G7 - F7) + 2, "Penurunan IU", "Tidak Ada Perubahan", "Kenaikan IU")</f>
        <v>Tidak Ada Perubahan</v>
      </c>
      <c r="K7" s="42"/>
      <c r="O7" s="82" t="s">
        <v>16</v>
      </c>
      <c r="P7" s="87" t="s">
        <v>11</v>
      </c>
      <c r="Q7" t="s">
        <v>211</v>
      </c>
      <c r="V7" s="19"/>
      <c r="X7" s="20" t="s">
        <v>357</v>
      </c>
      <c r="Y7" t="s">
        <v>358</v>
      </c>
      <c r="Z7" t="s">
        <v>67</v>
      </c>
      <c r="AA7" s="10">
        <v>0.08</v>
      </c>
      <c r="AB7" t="s">
        <v>5</v>
      </c>
      <c r="AC7" s="10">
        <v>29000</v>
      </c>
      <c r="AD7" s="19">
        <v>2320</v>
      </c>
      <c r="AG7" s="82" t="s">
        <v>16</v>
      </c>
      <c r="AH7" s="87" t="s">
        <v>11</v>
      </c>
      <c r="AI7" t="s">
        <v>17</v>
      </c>
      <c r="AN7" s="19"/>
      <c r="AP7" s="20" t="s">
        <v>357</v>
      </c>
      <c r="AQ7" t="s">
        <v>358</v>
      </c>
      <c r="AR7" t="s">
        <v>67</v>
      </c>
      <c r="AS7" s="10">
        <v>0.1</v>
      </c>
      <c r="AT7" t="s">
        <v>5</v>
      </c>
      <c r="AU7" s="10">
        <v>29000</v>
      </c>
      <c r="AV7" s="19">
        <v>2900</v>
      </c>
      <c r="AX7" s="20" t="s">
        <v>357</v>
      </c>
      <c r="AY7" t="s">
        <v>358</v>
      </c>
      <c r="AZ7" t="s">
        <v>67</v>
      </c>
      <c r="BA7" s="10">
        <v>0.1</v>
      </c>
      <c r="BB7" t="s">
        <v>5</v>
      </c>
      <c r="BC7" s="10">
        <v>29000</v>
      </c>
      <c r="BD7" s="19">
        <v>2900</v>
      </c>
    </row>
    <row r="8" spans="1:56" x14ac:dyDescent="0.35">
      <c r="A8" s="38" t="str">
        <v>STA00033</v>
      </c>
      <c r="B8" s="31" t="str">
        <f t="shared" si="0"/>
        <v>SPIDOL HACCP</v>
      </c>
      <c r="C8" s="31" t="str">
        <f t="shared" si="1"/>
        <v>STATIONARY AND OFFICE SUPPLIES</v>
      </c>
      <c r="D8" s="31" t="str">
        <f t="shared" si="2"/>
        <v>pcs</v>
      </c>
      <c r="E8" s="40">
        <f t="shared" si="3"/>
        <v>15000</v>
      </c>
      <c r="F8" s="48" t="str">
        <f t="shared" si="4"/>
        <v>0</v>
      </c>
      <c r="G8" s="48">
        <f t="shared" si="5"/>
        <v>1</v>
      </c>
      <c r="H8" s="48">
        <f t="shared" si="6"/>
        <v>-1</v>
      </c>
      <c r="I8" s="40">
        <f t="shared" si="7"/>
        <v>-15000</v>
      </c>
      <c r="J8" s="31" t="str">
        <f t="shared" si="8"/>
        <v>Kenaikan IU</v>
      </c>
      <c r="K8" s="42" t="s">
        <v>1089</v>
      </c>
      <c r="O8" s="82" t="s">
        <v>21</v>
      </c>
      <c r="P8" s="87" t="s">
        <v>11</v>
      </c>
      <c r="Q8" t="s">
        <v>739</v>
      </c>
      <c r="V8" s="19"/>
      <c r="X8" s="20" t="s">
        <v>246</v>
      </c>
      <c r="Y8" t="s">
        <v>247</v>
      </c>
      <c r="Z8" t="s">
        <v>67</v>
      </c>
      <c r="AA8" s="10">
        <v>2</v>
      </c>
      <c r="AB8" t="s">
        <v>5</v>
      </c>
      <c r="AC8" s="10">
        <v>1419.2016000000001</v>
      </c>
      <c r="AD8" s="19">
        <v>2838.4032000000002</v>
      </c>
      <c r="AG8" s="82" t="s">
        <v>21</v>
      </c>
      <c r="AH8" s="87" t="s">
        <v>11</v>
      </c>
      <c r="AI8" t="s">
        <v>739</v>
      </c>
      <c r="AN8" s="19"/>
      <c r="AP8" s="20" t="s">
        <v>246</v>
      </c>
      <c r="AQ8" t="s">
        <v>247</v>
      </c>
      <c r="AR8" t="s">
        <v>67</v>
      </c>
      <c r="AS8" s="10">
        <v>1</v>
      </c>
      <c r="AT8" t="s">
        <v>5</v>
      </c>
      <c r="AU8" s="10">
        <v>1419.2016000000001</v>
      </c>
      <c r="AV8" s="19">
        <v>1419.2016000000001</v>
      </c>
      <c r="AX8" s="20" t="s">
        <v>246</v>
      </c>
      <c r="AY8" t="s">
        <v>247</v>
      </c>
      <c r="AZ8" t="s">
        <v>67</v>
      </c>
      <c r="BA8" s="10">
        <v>1</v>
      </c>
      <c r="BB8" t="s">
        <v>5</v>
      </c>
      <c r="BC8" s="10">
        <v>1419.2016000000001</v>
      </c>
      <c r="BD8" s="19">
        <v>1419.2016000000001</v>
      </c>
    </row>
    <row r="9" spans="1:56" x14ac:dyDescent="0.35">
      <c r="A9" s="38" t="str">
        <v>STA00034</v>
      </c>
      <c r="B9" s="31" t="str">
        <f t="shared" si="0"/>
        <v>LAKBAN HITAM</v>
      </c>
      <c r="C9" s="31" t="str">
        <f t="shared" si="1"/>
        <v>STATIONARY AND OFFICE SUPPLIES</v>
      </c>
      <c r="D9" s="31" t="str">
        <f t="shared" si="2"/>
        <v>pcs</v>
      </c>
      <c r="E9" s="40">
        <f t="shared" si="3"/>
        <v>12500</v>
      </c>
      <c r="F9" s="48" t="str">
        <f t="shared" si="4"/>
        <v>0</v>
      </c>
      <c r="G9" s="48">
        <f t="shared" si="5"/>
        <v>1</v>
      </c>
      <c r="H9" s="48">
        <f t="shared" si="6"/>
        <v>-1</v>
      </c>
      <c r="I9" s="40">
        <f t="shared" si="7"/>
        <v>-12500</v>
      </c>
      <c r="J9" s="31" t="str">
        <f t="shared" si="8"/>
        <v>Kenaikan IU</v>
      </c>
      <c r="K9" s="42" t="s">
        <v>1089</v>
      </c>
      <c r="O9" s="82" t="s">
        <v>26</v>
      </c>
      <c r="P9" s="87" t="s">
        <v>11</v>
      </c>
      <c r="Q9" t="s">
        <v>740</v>
      </c>
      <c r="V9" s="19"/>
      <c r="X9" s="20" t="s">
        <v>92</v>
      </c>
      <c r="Y9" t="s">
        <v>93</v>
      </c>
      <c r="Z9" t="s">
        <v>67</v>
      </c>
      <c r="AA9" s="10">
        <v>11</v>
      </c>
      <c r="AB9" t="s">
        <v>94</v>
      </c>
      <c r="AC9" s="10">
        <v>11813.3505</v>
      </c>
      <c r="AD9" s="19">
        <v>129946.85550000001</v>
      </c>
      <c r="AG9" s="82" t="s">
        <v>26</v>
      </c>
      <c r="AH9" s="87" t="s">
        <v>11</v>
      </c>
      <c r="AI9" t="s">
        <v>741</v>
      </c>
      <c r="AN9" s="19"/>
      <c r="AP9" s="20" t="s">
        <v>92</v>
      </c>
      <c r="AQ9" t="s">
        <v>93</v>
      </c>
      <c r="AR9" t="s">
        <v>67</v>
      </c>
      <c r="AS9" s="10">
        <v>11</v>
      </c>
      <c r="AT9" t="s">
        <v>94</v>
      </c>
      <c r="AU9" s="10">
        <v>11852.6167</v>
      </c>
      <c r="AV9" s="19">
        <v>130378.7837</v>
      </c>
      <c r="AX9" s="20" t="s">
        <v>92</v>
      </c>
      <c r="AY9" t="s">
        <v>93</v>
      </c>
      <c r="AZ9" t="s">
        <v>67</v>
      </c>
      <c r="BA9" s="10">
        <v>11</v>
      </c>
      <c r="BB9" t="s">
        <v>94</v>
      </c>
      <c r="BC9" s="10">
        <v>11852.6167</v>
      </c>
      <c r="BD9" s="19">
        <v>130378.7837</v>
      </c>
    </row>
    <row r="10" spans="1:56" x14ac:dyDescent="0.35">
      <c r="A10" s="38" t="str">
        <v>STA00042</v>
      </c>
      <c r="B10" s="31" t="str">
        <f t="shared" si="0"/>
        <v>KARET GELANG</v>
      </c>
      <c r="C10" s="31" t="str">
        <f t="shared" si="1"/>
        <v>STATIONARY AND OFFICE SUPPLIES</v>
      </c>
      <c r="D10" s="31" t="str">
        <f t="shared" si="2"/>
        <v>pack</v>
      </c>
      <c r="E10" s="40">
        <f t="shared" si="3"/>
        <v>29000</v>
      </c>
      <c r="F10" s="48">
        <f t="shared" si="4"/>
        <v>0.08</v>
      </c>
      <c r="G10" s="48">
        <f t="shared" si="5"/>
        <v>0.1</v>
      </c>
      <c r="H10" s="48">
        <f t="shared" si="6"/>
        <v>-2.0000000000000004E-2</v>
      </c>
      <c r="I10" s="40">
        <f t="shared" si="7"/>
        <v>-580.00000000000011</v>
      </c>
      <c r="J10" s="31" t="str">
        <f t="shared" si="8"/>
        <v>Kenaikan IU</v>
      </c>
      <c r="K10" s="42" t="s">
        <v>1089</v>
      </c>
      <c r="O10" s="82" t="s">
        <v>31</v>
      </c>
      <c r="P10" s="87" t="s">
        <v>11</v>
      </c>
      <c r="Q10" t="s">
        <v>109</v>
      </c>
      <c r="V10" s="19"/>
      <c r="X10" s="20" t="s">
        <v>254</v>
      </c>
      <c r="Y10" t="s">
        <v>255</v>
      </c>
      <c r="Z10" t="s">
        <v>67</v>
      </c>
      <c r="AA10" s="10">
        <v>0.2</v>
      </c>
      <c r="AB10" t="s">
        <v>5</v>
      </c>
      <c r="AC10" s="10">
        <v>34500</v>
      </c>
      <c r="AD10" s="19">
        <v>6900</v>
      </c>
      <c r="AG10" s="82" t="s">
        <v>31</v>
      </c>
      <c r="AH10" s="87" t="s">
        <v>11</v>
      </c>
      <c r="AI10" t="s">
        <v>32</v>
      </c>
      <c r="AN10" s="19"/>
      <c r="AP10" s="20" t="s">
        <v>107</v>
      </c>
      <c r="AQ10" t="s">
        <v>108</v>
      </c>
      <c r="AR10" t="s">
        <v>67</v>
      </c>
      <c r="AS10" s="10">
        <v>0.5</v>
      </c>
      <c r="AT10" t="s">
        <v>5</v>
      </c>
      <c r="AU10" s="10">
        <v>16250</v>
      </c>
      <c r="AV10" s="19">
        <v>8125</v>
      </c>
      <c r="AX10" s="20" t="s">
        <v>107</v>
      </c>
      <c r="AY10" t="s">
        <v>108</v>
      </c>
      <c r="AZ10" t="s">
        <v>67</v>
      </c>
      <c r="BA10" s="10">
        <v>0.5</v>
      </c>
      <c r="BB10" t="s">
        <v>5</v>
      </c>
      <c r="BC10" s="10">
        <v>16250</v>
      </c>
      <c r="BD10" s="19">
        <v>8125</v>
      </c>
    </row>
    <row r="11" spans="1:56" x14ac:dyDescent="0.35">
      <c r="A11" s="38" t="str">
        <v>STA00057</v>
      </c>
      <c r="B11" s="31" t="str">
        <f t="shared" si="0"/>
        <v>ISI STAPLER</v>
      </c>
      <c r="C11" s="31" t="str">
        <f t="shared" si="1"/>
        <v>STATIONARY AND OFFICE SUPPLIES</v>
      </c>
      <c r="D11" s="31" t="str">
        <f t="shared" si="2"/>
        <v>pack</v>
      </c>
      <c r="E11" s="40">
        <f t="shared" si="3"/>
        <v>1419.2016000000001</v>
      </c>
      <c r="F11" s="48">
        <f t="shared" si="4"/>
        <v>2</v>
      </c>
      <c r="G11" s="48">
        <f t="shared" si="5"/>
        <v>1</v>
      </c>
      <c r="H11" s="48">
        <f t="shared" si="6"/>
        <v>1</v>
      </c>
      <c r="I11" s="40">
        <f t="shared" si="7"/>
        <v>1419.2016000000001</v>
      </c>
      <c r="J11" s="31" t="str">
        <f t="shared" si="8"/>
        <v>Penurunan IU</v>
      </c>
      <c r="K11" s="42"/>
      <c r="O11" s="82" t="s">
        <v>35</v>
      </c>
      <c r="P11" s="87" t="s">
        <v>11</v>
      </c>
      <c r="Q11" t="s">
        <v>742</v>
      </c>
      <c r="V11" s="19"/>
      <c r="X11" s="20" t="s">
        <v>361</v>
      </c>
      <c r="Y11" t="s">
        <v>362</v>
      </c>
      <c r="Z11" t="s">
        <v>67</v>
      </c>
      <c r="AA11" s="10">
        <v>2</v>
      </c>
      <c r="AB11" t="s">
        <v>363</v>
      </c>
      <c r="AC11" s="10">
        <v>60</v>
      </c>
      <c r="AD11" s="19">
        <v>120</v>
      </c>
      <c r="AG11" s="82" t="s">
        <v>35</v>
      </c>
      <c r="AH11" s="87" t="s">
        <v>11</v>
      </c>
      <c r="AI11" t="s">
        <v>743</v>
      </c>
      <c r="AN11" s="19"/>
      <c r="AP11" s="20" t="s">
        <v>744</v>
      </c>
      <c r="AQ11" t="s">
        <v>745</v>
      </c>
      <c r="AR11" t="s">
        <v>67</v>
      </c>
      <c r="AS11">
        <v>2</v>
      </c>
      <c r="AT11" t="s">
        <v>52</v>
      </c>
      <c r="AU11">
        <v>11227.2727</v>
      </c>
      <c r="AV11" s="19">
        <v>22454.545399999999</v>
      </c>
      <c r="AX11" s="20" t="s">
        <v>744</v>
      </c>
      <c r="AY11" t="s">
        <v>745</v>
      </c>
      <c r="AZ11" t="s">
        <v>67</v>
      </c>
      <c r="BA11">
        <v>2</v>
      </c>
      <c r="BB11" t="s">
        <v>52</v>
      </c>
      <c r="BC11">
        <v>11227.2727</v>
      </c>
      <c r="BD11" s="19">
        <v>22454.545399999999</v>
      </c>
    </row>
    <row r="12" spans="1:56" x14ac:dyDescent="0.35">
      <c r="A12" s="38" t="str">
        <v>STA00080</v>
      </c>
      <c r="B12" s="31" t="str">
        <f t="shared" si="0"/>
        <v>KERTAS THERMAL 80 X 80</v>
      </c>
      <c r="C12" s="31" t="str">
        <f t="shared" si="1"/>
        <v>STATIONARY AND OFFICE SUPPLIES</v>
      </c>
      <c r="D12" s="31" t="str">
        <f t="shared" si="2"/>
        <v>ROLL</v>
      </c>
      <c r="E12" s="40">
        <f t="shared" si="3"/>
        <v>11852.6167</v>
      </c>
      <c r="F12" s="48">
        <f t="shared" si="4"/>
        <v>11</v>
      </c>
      <c r="G12" s="48">
        <f t="shared" si="5"/>
        <v>11</v>
      </c>
      <c r="H12" s="48">
        <f t="shared" si="6"/>
        <v>0</v>
      </c>
      <c r="I12" s="40">
        <f t="shared" si="7"/>
        <v>0</v>
      </c>
      <c r="J12" s="31" t="str">
        <f t="shared" si="8"/>
        <v>Tidak Ada Perubahan</v>
      </c>
      <c r="K12" s="42"/>
      <c r="O12" s="20"/>
      <c r="V12" s="19"/>
      <c r="X12" s="20" t="s">
        <v>107</v>
      </c>
      <c r="Y12" t="s">
        <v>108</v>
      </c>
      <c r="Z12" t="s">
        <v>67</v>
      </c>
      <c r="AA12" s="10">
        <v>2</v>
      </c>
      <c r="AB12" t="s">
        <v>5</v>
      </c>
      <c r="AC12" s="10">
        <v>20535</v>
      </c>
      <c r="AD12" s="19">
        <v>41070</v>
      </c>
      <c r="AG12" s="20"/>
      <c r="AN12" s="19"/>
      <c r="AP12" s="20" t="s">
        <v>115</v>
      </c>
      <c r="AQ12" t="s">
        <v>116</v>
      </c>
      <c r="AR12" t="s">
        <v>117</v>
      </c>
      <c r="AS12" s="10">
        <v>700</v>
      </c>
      <c r="AT12" t="s">
        <v>52</v>
      </c>
      <c r="AU12" s="10">
        <v>656.66700000000003</v>
      </c>
      <c r="AV12" s="19">
        <v>459666.9</v>
      </c>
      <c r="AX12" s="20" t="s">
        <v>115</v>
      </c>
      <c r="AY12" t="s">
        <v>116</v>
      </c>
      <c r="AZ12" t="s">
        <v>117</v>
      </c>
      <c r="BA12" s="10">
        <v>700</v>
      </c>
      <c r="BB12" t="s">
        <v>52</v>
      </c>
      <c r="BC12" s="10">
        <v>656.66700000000003</v>
      </c>
      <c r="BD12" s="19">
        <v>459666.9</v>
      </c>
    </row>
    <row r="13" spans="1:56" x14ac:dyDescent="0.35">
      <c r="A13" s="38" t="str">
        <v>STA00109</v>
      </c>
      <c r="B13" s="31" t="str">
        <f t="shared" si="0"/>
        <v>STOCK CARD</v>
      </c>
      <c r="C13" s="31" t="str">
        <f t="shared" si="1"/>
        <v>STATIONARY AND OFFICE SUPPLIES</v>
      </c>
      <c r="D13" s="31" t="str">
        <f t="shared" si="2"/>
        <v>pack</v>
      </c>
      <c r="E13" s="40">
        <f t="shared" si="3"/>
        <v>16250</v>
      </c>
      <c r="F13" s="48">
        <f t="shared" si="4"/>
        <v>2</v>
      </c>
      <c r="G13" s="48">
        <f t="shared" si="5"/>
        <v>0.5</v>
      </c>
      <c r="H13" s="48">
        <f t="shared" si="6"/>
        <v>1.5</v>
      </c>
      <c r="I13" s="40">
        <f t="shared" si="7"/>
        <v>24375</v>
      </c>
      <c r="J13" s="31" t="str">
        <f t="shared" si="8"/>
        <v>Penurunan IU</v>
      </c>
      <c r="K13" s="42"/>
      <c r="O13" s="20" t="s">
        <v>42</v>
      </c>
      <c r="P13" t="s">
        <v>43</v>
      </c>
      <c r="Q13" t="s">
        <v>44</v>
      </c>
      <c r="R13" t="s">
        <v>45</v>
      </c>
      <c r="S13" t="s">
        <v>46</v>
      </c>
      <c r="T13" t="s">
        <v>47</v>
      </c>
      <c r="U13" t="s">
        <v>48</v>
      </c>
      <c r="V13" s="19" t="s">
        <v>49</v>
      </c>
      <c r="X13" s="20" t="s">
        <v>630</v>
      </c>
      <c r="Y13" t="s">
        <v>631</v>
      </c>
      <c r="Z13" t="s">
        <v>67</v>
      </c>
      <c r="AA13">
        <v>1</v>
      </c>
      <c r="AB13" t="s">
        <v>20</v>
      </c>
      <c r="AC13">
        <v>1762</v>
      </c>
      <c r="AD13" s="19">
        <v>1762</v>
      </c>
      <c r="AG13" s="20" t="s">
        <v>42</v>
      </c>
      <c r="AH13" t="s">
        <v>43</v>
      </c>
      <c r="AI13" t="s">
        <v>44</v>
      </c>
      <c r="AJ13" t="s">
        <v>45</v>
      </c>
      <c r="AK13" t="s">
        <v>46</v>
      </c>
      <c r="AL13" t="s">
        <v>47</v>
      </c>
      <c r="AM13" t="s">
        <v>48</v>
      </c>
      <c r="AN13" s="19" t="s">
        <v>49</v>
      </c>
      <c r="AP13" s="20" t="s">
        <v>121</v>
      </c>
      <c r="AQ13" t="s">
        <v>122</v>
      </c>
      <c r="AR13" t="s">
        <v>123</v>
      </c>
      <c r="AS13" s="10">
        <v>2.2999999999999998</v>
      </c>
      <c r="AT13" t="s">
        <v>5</v>
      </c>
      <c r="AU13" s="10">
        <v>5249.6674000000003</v>
      </c>
      <c r="AV13" s="19">
        <v>12074.23502</v>
      </c>
      <c r="AX13" s="20" t="s">
        <v>121</v>
      </c>
      <c r="AY13" t="s">
        <v>122</v>
      </c>
      <c r="AZ13" t="s">
        <v>123</v>
      </c>
      <c r="BA13" s="10">
        <v>2.2999999999999998</v>
      </c>
      <c r="BB13" t="s">
        <v>5</v>
      </c>
      <c r="BC13" s="10">
        <v>5249.6674000000003</v>
      </c>
      <c r="BD13" s="19">
        <v>12074.23502</v>
      </c>
    </row>
    <row r="14" spans="1:56" x14ac:dyDescent="0.35">
      <c r="A14" s="38" t="str">
        <v>STA00149</v>
      </c>
      <c r="B14" s="31" t="str">
        <f t="shared" si="0"/>
        <v>STICKER CUP HOTOK</v>
      </c>
      <c r="C14" s="31" t="str">
        <f t="shared" si="1"/>
        <v>STATIONARY AND OFFICE SUPPLIES</v>
      </c>
      <c r="D14" s="31" t="str">
        <f t="shared" si="2"/>
        <v>lembar</v>
      </c>
      <c r="E14" s="40">
        <f t="shared" si="3"/>
        <v>11227.2727</v>
      </c>
      <c r="F14" s="48" t="str">
        <f t="shared" si="4"/>
        <v>0</v>
      </c>
      <c r="G14" s="48">
        <f t="shared" si="5"/>
        <v>2</v>
      </c>
      <c r="H14" s="48">
        <f t="shared" si="6"/>
        <v>-2</v>
      </c>
      <c r="I14" s="40">
        <f t="shared" si="7"/>
        <v>-22454.545399999999</v>
      </c>
      <c r="J14" s="31" t="str">
        <f t="shared" si="8"/>
        <v>Kenaikan IU</v>
      </c>
      <c r="K14" s="42" t="s">
        <v>1090</v>
      </c>
      <c r="O14" s="20">
        <v>1</v>
      </c>
      <c r="P14" t="s">
        <v>68</v>
      </c>
      <c r="Q14" t="s">
        <v>69</v>
      </c>
      <c r="R14" t="s">
        <v>67</v>
      </c>
      <c r="S14" s="10">
        <v>0.2</v>
      </c>
      <c r="T14" t="s">
        <v>5</v>
      </c>
      <c r="U14" s="10">
        <v>17319.482288822121</v>
      </c>
      <c r="V14" s="19">
        <v>3463.8964580000002</v>
      </c>
      <c r="X14" s="20" t="s">
        <v>2</v>
      </c>
      <c r="Y14" t="s">
        <v>3</v>
      </c>
      <c r="Z14" t="s">
        <v>4</v>
      </c>
      <c r="AA14" s="10">
        <v>0.7</v>
      </c>
      <c r="AB14" t="s">
        <v>5</v>
      </c>
      <c r="AC14" s="10">
        <v>21000</v>
      </c>
      <c r="AD14" s="19">
        <v>14700</v>
      </c>
      <c r="AG14" s="20">
        <v>1</v>
      </c>
      <c r="AH14" t="s">
        <v>2</v>
      </c>
      <c r="AI14" t="s">
        <v>3</v>
      </c>
      <c r="AJ14" t="s">
        <v>4</v>
      </c>
      <c r="AK14" s="10">
        <v>1.83</v>
      </c>
      <c r="AL14" t="s">
        <v>5</v>
      </c>
      <c r="AM14" s="10">
        <v>21000</v>
      </c>
      <c r="AN14" s="19">
        <v>38430</v>
      </c>
      <c r="AP14" s="20" t="s">
        <v>746</v>
      </c>
      <c r="AQ14" t="s">
        <v>747</v>
      </c>
      <c r="AR14" t="s">
        <v>123</v>
      </c>
      <c r="AS14" s="10">
        <v>0.1</v>
      </c>
      <c r="AT14" t="s">
        <v>5</v>
      </c>
      <c r="AU14" s="10">
        <v>24000</v>
      </c>
      <c r="AV14" s="19">
        <v>2400</v>
      </c>
      <c r="AX14" s="20" t="s">
        <v>746</v>
      </c>
      <c r="AY14" t="s">
        <v>747</v>
      </c>
      <c r="AZ14" t="s">
        <v>123</v>
      </c>
      <c r="BA14" s="10">
        <v>0.1</v>
      </c>
      <c r="BB14" t="s">
        <v>5</v>
      </c>
      <c r="BC14" s="10">
        <v>24000</v>
      </c>
      <c r="BD14" s="19">
        <v>2400</v>
      </c>
    </row>
    <row r="15" spans="1:56" x14ac:dyDescent="0.35">
      <c r="A15" s="38" t="str">
        <v>MKT00032</v>
      </c>
      <c r="B15" s="31" t="str">
        <f t="shared" si="0"/>
        <v>FLYER A5</v>
      </c>
      <c r="C15" s="31" t="str">
        <f t="shared" si="1"/>
        <v>MARKETING</v>
      </c>
      <c r="D15" s="31" t="str">
        <f t="shared" si="2"/>
        <v>lembar</v>
      </c>
      <c r="E15" s="40">
        <f t="shared" si="3"/>
        <v>656.66700000000003</v>
      </c>
      <c r="F15" s="48">
        <f t="shared" si="4"/>
        <v>300</v>
      </c>
      <c r="G15" s="48">
        <f t="shared" si="5"/>
        <v>700</v>
      </c>
      <c r="H15" s="48">
        <f t="shared" si="6"/>
        <v>-400</v>
      </c>
      <c r="I15" s="40">
        <f t="shared" si="7"/>
        <v>-262666.8</v>
      </c>
      <c r="J15" s="31" t="str">
        <f t="shared" si="8"/>
        <v>Kenaikan IU</v>
      </c>
      <c r="K15" s="42" t="s">
        <v>1091</v>
      </c>
      <c r="O15" s="20">
        <v>2</v>
      </c>
      <c r="P15" t="s">
        <v>230</v>
      </c>
      <c r="Q15" t="s">
        <v>231</v>
      </c>
      <c r="R15" t="s">
        <v>67</v>
      </c>
      <c r="S15" s="10">
        <v>1</v>
      </c>
      <c r="T15" t="s">
        <v>5</v>
      </c>
      <c r="U15" s="10">
        <v>9000</v>
      </c>
      <c r="V15" s="19">
        <v>9000</v>
      </c>
      <c r="X15" s="20" t="s">
        <v>13</v>
      </c>
      <c r="Y15" t="s">
        <v>14</v>
      </c>
      <c r="Z15" t="s">
        <v>4</v>
      </c>
      <c r="AA15" s="10">
        <v>0.1</v>
      </c>
      <c r="AB15" t="s">
        <v>15</v>
      </c>
      <c r="AC15" s="10">
        <v>77700</v>
      </c>
      <c r="AD15" s="19">
        <v>7770</v>
      </c>
      <c r="AG15" s="20">
        <v>2</v>
      </c>
      <c r="AH15" t="s">
        <v>13</v>
      </c>
      <c r="AI15" t="s">
        <v>14</v>
      </c>
      <c r="AJ15" t="s">
        <v>4</v>
      </c>
      <c r="AK15" s="10">
        <v>0.1</v>
      </c>
      <c r="AL15" t="s">
        <v>15</v>
      </c>
      <c r="AM15" s="10">
        <v>77700</v>
      </c>
      <c r="AN15" s="19">
        <v>7770</v>
      </c>
      <c r="AP15" s="20" t="s">
        <v>124</v>
      </c>
      <c r="AQ15" t="s">
        <v>125</v>
      </c>
      <c r="AR15" t="s">
        <v>123</v>
      </c>
      <c r="AS15" s="10">
        <v>3</v>
      </c>
      <c r="AT15" t="s">
        <v>5</v>
      </c>
      <c r="AU15" s="10">
        <v>5401.4191999999994</v>
      </c>
      <c r="AV15" s="19">
        <v>16204.257600000001</v>
      </c>
      <c r="AX15" s="20" t="s">
        <v>124</v>
      </c>
      <c r="AY15" t="s">
        <v>125</v>
      </c>
      <c r="AZ15" t="s">
        <v>123</v>
      </c>
      <c r="BA15" s="10">
        <v>3</v>
      </c>
      <c r="BB15" t="s">
        <v>5</v>
      </c>
      <c r="BC15" s="10">
        <v>5401.4191999999994</v>
      </c>
      <c r="BD15" s="19">
        <v>16204.257600000001</v>
      </c>
    </row>
    <row r="16" spans="1:56" x14ac:dyDescent="0.35">
      <c r="A16" s="38" t="str">
        <v>NCG00018</v>
      </c>
      <c r="B16" s="31" t="str">
        <f t="shared" si="0"/>
        <v>SARUNG TANGAN PELASTIK</v>
      </c>
      <c r="C16" s="31" t="str">
        <f t="shared" si="1"/>
        <v>NCG</v>
      </c>
      <c r="D16" s="31" t="str">
        <f t="shared" si="2"/>
        <v>pack</v>
      </c>
      <c r="E16" s="40">
        <f t="shared" si="3"/>
        <v>5249.6674000000003</v>
      </c>
      <c r="F16" s="48">
        <f t="shared" si="4"/>
        <v>2</v>
      </c>
      <c r="G16" s="48">
        <f t="shared" si="5"/>
        <v>2.2999999999999998</v>
      </c>
      <c r="H16" s="48">
        <f t="shared" si="6"/>
        <v>-0.29999999999999982</v>
      </c>
      <c r="I16" s="40">
        <f t="shared" si="7"/>
        <v>-1574.9002199999991</v>
      </c>
      <c r="J16" s="31" t="str">
        <f t="shared" si="8"/>
        <v>Kenaikan IU</v>
      </c>
      <c r="K16" s="42" t="s">
        <v>1089</v>
      </c>
      <c r="O16" s="20">
        <v>3</v>
      </c>
      <c r="P16" t="s">
        <v>388</v>
      </c>
      <c r="Q16" t="s">
        <v>389</v>
      </c>
      <c r="R16" t="s">
        <v>67</v>
      </c>
      <c r="S16" s="10">
        <v>1</v>
      </c>
      <c r="T16" t="s">
        <v>20</v>
      </c>
      <c r="U16" s="10">
        <v>2670.099999999999</v>
      </c>
      <c r="V16" s="19">
        <v>2670.1</v>
      </c>
      <c r="X16" s="20" t="s">
        <v>33</v>
      </c>
      <c r="Y16" t="s">
        <v>34</v>
      </c>
      <c r="Z16" t="s">
        <v>4</v>
      </c>
      <c r="AA16" s="10">
        <v>0.5</v>
      </c>
      <c r="AB16" t="s">
        <v>30</v>
      </c>
      <c r="AC16" s="10">
        <v>12998.433500000001</v>
      </c>
      <c r="AD16" s="19">
        <v>6499.2167499999996</v>
      </c>
      <c r="AG16" s="20">
        <v>3</v>
      </c>
      <c r="AH16" t="s">
        <v>33</v>
      </c>
      <c r="AI16" t="s">
        <v>34</v>
      </c>
      <c r="AJ16" t="s">
        <v>4</v>
      </c>
      <c r="AK16" s="10">
        <v>4.2</v>
      </c>
      <c r="AL16" t="s">
        <v>30</v>
      </c>
      <c r="AM16" s="10">
        <v>12998.433499999999</v>
      </c>
      <c r="AN16" s="19">
        <v>54593.420700000002</v>
      </c>
      <c r="AP16" s="20" t="s">
        <v>130</v>
      </c>
      <c r="AQ16" t="s">
        <v>131</v>
      </c>
      <c r="AR16" t="s">
        <v>123</v>
      </c>
      <c r="AS16" s="10">
        <v>22</v>
      </c>
      <c r="AT16" t="s">
        <v>5</v>
      </c>
      <c r="AU16" s="10">
        <v>6353.9448000000002</v>
      </c>
      <c r="AV16" s="19">
        <v>139786.7856</v>
      </c>
      <c r="AX16" s="20" t="s">
        <v>130</v>
      </c>
      <c r="AY16" t="s">
        <v>131</v>
      </c>
      <c r="AZ16" t="s">
        <v>123</v>
      </c>
      <c r="BA16" s="10">
        <v>22</v>
      </c>
      <c r="BB16" t="s">
        <v>5</v>
      </c>
      <c r="BC16" s="10">
        <v>6353.9448000000002</v>
      </c>
      <c r="BD16" s="19">
        <v>139786.7856</v>
      </c>
    </row>
    <row r="17" spans="1:56" x14ac:dyDescent="0.35">
      <c r="A17" s="38" t="str">
        <v>NCG00021</v>
      </c>
      <c r="B17" s="31" t="str">
        <f t="shared" si="0"/>
        <v>PLASTIK SEGITIGA</v>
      </c>
      <c r="C17" s="31" t="str">
        <f t="shared" si="1"/>
        <v>NCG</v>
      </c>
      <c r="D17" s="31" t="str">
        <f t="shared" si="2"/>
        <v>pack</v>
      </c>
      <c r="E17" s="40">
        <f t="shared" si="3"/>
        <v>24000</v>
      </c>
      <c r="F17" s="48">
        <f t="shared" si="4"/>
        <v>0.3</v>
      </c>
      <c r="G17" s="48">
        <f t="shared" si="5"/>
        <v>0.1</v>
      </c>
      <c r="H17" s="48">
        <f t="shared" si="6"/>
        <v>0.19999999999999998</v>
      </c>
      <c r="I17" s="40">
        <f t="shared" si="7"/>
        <v>4800</v>
      </c>
      <c r="J17" s="31" t="str">
        <f t="shared" si="8"/>
        <v>Penurunan IU</v>
      </c>
      <c r="K17" s="42"/>
      <c r="O17" s="20">
        <v>4</v>
      </c>
      <c r="P17" t="s">
        <v>72</v>
      </c>
      <c r="Q17" t="s">
        <v>73</v>
      </c>
      <c r="R17" t="s">
        <v>67</v>
      </c>
      <c r="S17" s="10">
        <v>1</v>
      </c>
      <c r="T17" t="s">
        <v>74</v>
      </c>
      <c r="U17" s="10">
        <v>3013.7363</v>
      </c>
      <c r="V17" s="19">
        <v>3013.7363</v>
      </c>
      <c r="X17" s="20" t="s">
        <v>53</v>
      </c>
      <c r="Y17" t="s">
        <v>54</v>
      </c>
      <c r="Z17" t="s">
        <v>41</v>
      </c>
      <c r="AA17" s="10">
        <v>1</v>
      </c>
      <c r="AB17" t="s">
        <v>20</v>
      </c>
      <c r="AC17" s="10">
        <v>4810.9282000000003</v>
      </c>
      <c r="AD17" s="19">
        <v>4810.9282000000003</v>
      </c>
      <c r="AG17" s="20">
        <v>4</v>
      </c>
      <c r="AH17" t="s">
        <v>53</v>
      </c>
      <c r="AI17" t="s">
        <v>54</v>
      </c>
      <c r="AJ17" t="s">
        <v>41</v>
      </c>
      <c r="AK17" s="10">
        <v>2</v>
      </c>
      <c r="AL17" t="s">
        <v>20</v>
      </c>
      <c r="AM17" s="10">
        <v>4810.9282000000003</v>
      </c>
      <c r="AN17" s="19">
        <v>9621.8564000000006</v>
      </c>
      <c r="AP17" s="20" t="s">
        <v>132</v>
      </c>
      <c r="AQ17" t="s">
        <v>133</v>
      </c>
      <c r="AR17" t="s">
        <v>123</v>
      </c>
      <c r="AS17" s="10">
        <v>1</v>
      </c>
      <c r="AT17" t="s">
        <v>134</v>
      </c>
      <c r="AU17" s="10">
        <v>12999.2924</v>
      </c>
      <c r="AV17" s="19">
        <v>12999.2924</v>
      </c>
      <c r="AX17" s="20" t="s">
        <v>132</v>
      </c>
      <c r="AY17" t="s">
        <v>133</v>
      </c>
      <c r="AZ17" t="s">
        <v>123</v>
      </c>
      <c r="BA17" s="10">
        <v>1</v>
      </c>
      <c r="BB17" t="s">
        <v>134</v>
      </c>
      <c r="BC17" s="10">
        <v>12999.2924</v>
      </c>
      <c r="BD17" s="19">
        <v>12999.2924</v>
      </c>
    </row>
    <row r="18" spans="1:56" x14ac:dyDescent="0.35">
      <c r="A18" s="38" t="str">
        <v>NCGK0001</v>
      </c>
      <c r="B18" s="31" t="str">
        <f t="shared" si="0"/>
        <v>PLASTIK PE 2 KG 20 x 35 (Kitchen)</v>
      </c>
      <c r="C18" s="31" t="str">
        <f t="shared" si="1"/>
        <v>NCG</v>
      </c>
      <c r="D18" s="31" t="str">
        <f t="shared" si="2"/>
        <v>pack</v>
      </c>
      <c r="E18" s="40">
        <f t="shared" si="3"/>
        <v>5401.4191999999994</v>
      </c>
      <c r="F18" s="48">
        <f t="shared" si="4"/>
        <v>1</v>
      </c>
      <c r="G18" s="48">
        <f t="shared" si="5"/>
        <v>3</v>
      </c>
      <c r="H18" s="48">
        <f t="shared" si="6"/>
        <v>-2</v>
      </c>
      <c r="I18" s="40">
        <f t="shared" si="7"/>
        <v>-10802.838399999999</v>
      </c>
      <c r="J18" s="31" t="str">
        <f t="shared" si="8"/>
        <v>Kenaikan IU</v>
      </c>
      <c r="K18" s="42" t="s">
        <v>1092</v>
      </c>
      <c r="O18" s="20">
        <v>5</v>
      </c>
      <c r="P18" t="s">
        <v>357</v>
      </c>
      <c r="Q18" t="s">
        <v>358</v>
      </c>
      <c r="R18" t="s">
        <v>67</v>
      </c>
      <c r="S18" s="10">
        <v>0.08</v>
      </c>
      <c r="T18" t="s">
        <v>5</v>
      </c>
      <c r="U18" s="10">
        <v>29000</v>
      </c>
      <c r="V18" s="19">
        <v>2320</v>
      </c>
      <c r="X18" s="20" t="s">
        <v>57</v>
      </c>
      <c r="Y18" t="s">
        <v>58</v>
      </c>
      <c r="Z18" t="s">
        <v>41</v>
      </c>
      <c r="AA18">
        <v>2.8</v>
      </c>
      <c r="AB18" t="s">
        <v>5</v>
      </c>
      <c r="AC18">
        <v>7698.9157999999998</v>
      </c>
      <c r="AD18" s="19">
        <v>21556.964240000001</v>
      </c>
      <c r="AG18" s="20">
        <v>5</v>
      </c>
      <c r="AH18" t="s">
        <v>453</v>
      </c>
      <c r="AI18" t="s">
        <v>454</v>
      </c>
      <c r="AJ18" t="s">
        <v>41</v>
      </c>
      <c r="AK18" s="10">
        <v>1</v>
      </c>
      <c r="AL18" t="s">
        <v>267</v>
      </c>
      <c r="AM18" s="10">
        <v>19142.105299999999</v>
      </c>
      <c r="AN18" s="19">
        <v>19142.105299999999</v>
      </c>
      <c r="AP18" s="20" t="s">
        <v>139</v>
      </c>
      <c r="AQ18" t="s">
        <v>140</v>
      </c>
      <c r="AR18" t="s">
        <v>123</v>
      </c>
      <c r="AS18" s="10">
        <v>2</v>
      </c>
      <c r="AT18" t="s">
        <v>5</v>
      </c>
      <c r="AU18" s="10">
        <v>42000</v>
      </c>
      <c r="AV18" s="19">
        <v>84000</v>
      </c>
      <c r="AX18" s="20" t="s">
        <v>139</v>
      </c>
      <c r="AY18" t="s">
        <v>140</v>
      </c>
      <c r="AZ18" t="s">
        <v>123</v>
      </c>
      <c r="BA18" s="10">
        <v>2</v>
      </c>
      <c r="BB18" t="s">
        <v>5</v>
      </c>
      <c r="BC18" s="10">
        <v>42000</v>
      </c>
      <c r="BD18" s="19">
        <v>84000</v>
      </c>
    </row>
    <row r="19" spans="1:56" x14ac:dyDescent="0.35">
      <c r="A19" s="38" t="str">
        <v>NCGK0006</v>
      </c>
      <c r="B19" s="31" t="str">
        <f t="shared" si="0"/>
        <v>TISSUE SEE-U HANDTOWELS @ 20 PACK</v>
      </c>
      <c r="C19" s="31" t="str">
        <f t="shared" si="1"/>
        <v>NCG</v>
      </c>
      <c r="D19" s="31" t="str">
        <f t="shared" si="2"/>
        <v>pack</v>
      </c>
      <c r="E19" s="40">
        <f t="shared" si="3"/>
        <v>6353.9448000000002</v>
      </c>
      <c r="F19" s="48">
        <f t="shared" si="4"/>
        <v>18</v>
      </c>
      <c r="G19" s="48">
        <f t="shared" si="5"/>
        <v>22</v>
      </c>
      <c r="H19" s="48">
        <f t="shared" si="6"/>
        <v>-4</v>
      </c>
      <c r="I19" s="40">
        <f t="shared" si="7"/>
        <v>-25415.779200000001</v>
      </c>
      <c r="J19" s="31" t="str">
        <f t="shared" si="8"/>
        <v>Kenaikan IU</v>
      </c>
      <c r="K19" s="42" t="s">
        <v>1093</v>
      </c>
      <c r="O19" s="20">
        <v>6</v>
      </c>
      <c r="P19" t="s">
        <v>246</v>
      </c>
      <c r="Q19" t="s">
        <v>247</v>
      </c>
      <c r="R19" t="s">
        <v>67</v>
      </c>
      <c r="S19" s="10">
        <v>2</v>
      </c>
      <c r="T19" t="s">
        <v>5</v>
      </c>
      <c r="U19" s="10">
        <v>1419.2016000000001</v>
      </c>
      <c r="V19" s="19">
        <v>2838.4032000000002</v>
      </c>
      <c r="X19" s="20" t="s">
        <v>316</v>
      </c>
      <c r="Y19" t="s">
        <v>317</v>
      </c>
      <c r="Z19" t="s">
        <v>117</v>
      </c>
      <c r="AA19">
        <v>1</v>
      </c>
      <c r="AB19" t="s">
        <v>20</v>
      </c>
      <c r="AC19">
        <v>290150</v>
      </c>
      <c r="AD19" s="19">
        <v>290150</v>
      </c>
      <c r="AG19" s="20">
        <v>6</v>
      </c>
      <c r="AH19" t="s">
        <v>57</v>
      </c>
      <c r="AI19" t="s">
        <v>58</v>
      </c>
      <c r="AJ19" t="s">
        <v>41</v>
      </c>
      <c r="AK19">
        <v>2.2999999999999998</v>
      </c>
      <c r="AL19" t="s">
        <v>5</v>
      </c>
      <c r="AM19">
        <v>7697.3905000000004</v>
      </c>
      <c r="AN19" s="19">
        <v>17703.998149999999</v>
      </c>
      <c r="AP19" s="20" t="s">
        <v>145</v>
      </c>
      <c r="AQ19" t="s">
        <v>146</v>
      </c>
      <c r="AR19" t="s">
        <v>123</v>
      </c>
      <c r="AS19" s="10">
        <v>22</v>
      </c>
      <c r="AT19" t="s">
        <v>5</v>
      </c>
      <c r="AU19" s="10">
        <v>4604.1441999999997</v>
      </c>
      <c r="AV19" s="19">
        <v>101291.1724</v>
      </c>
      <c r="AX19" s="20" t="s">
        <v>145</v>
      </c>
      <c r="AY19" t="s">
        <v>146</v>
      </c>
      <c r="AZ19" t="s">
        <v>123</v>
      </c>
      <c r="BA19" s="10">
        <v>22</v>
      </c>
      <c r="BB19" t="s">
        <v>5</v>
      </c>
      <c r="BC19" s="10">
        <v>4604.1441999999997</v>
      </c>
      <c r="BD19" s="19">
        <v>101291.1724</v>
      </c>
    </row>
    <row r="20" spans="1:56" ht="15" thickBot="1" x14ac:dyDescent="0.4">
      <c r="A20" s="38" t="str">
        <v>NCGK0007</v>
      </c>
      <c r="B20" s="31" t="str">
        <f t="shared" si="0"/>
        <v>GAS BUTANE PORTABLE PURITY 230G @24 CAN</v>
      </c>
      <c r="C20" s="31" t="str">
        <f t="shared" si="1"/>
        <v>NCG</v>
      </c>
      <c r="D20" s="31" t="str">
        <f t="shared" si="2"/>
        <v>can</v>
      </c>
      <c r="E20" s="40">
        <f t="shared" si="3"/>
        <v>12999.2924</v>
      </c>
      <c r="F20" s="48">
        <f t="shared" si="4"/>
        <v>0.5</v>
      </c>
      <c r="G20" s="48">
        <f t="shared" si="5"/>
        <v>1</v>
      </c>
      <c r="H20" s="48">
        <f t="shared" si="6"/>
        <v>-0.5</v>
      </c>
      <c r="I20" s="40">
        <f t="shared" si="7"/>
        <v>-6499.6462000000001</v>
      </c>
      <c r="J20" s="31" t="str">
        <f t="shared" si="8"/>
        <v>Kenaikan IU</v>
      </c>
      <c r="K20" s="42" t="s">
        <v>1094</v>
      </c>
      <c r="O20" s="20">
        <v>7</v>
      </c>
      <c r="P20" t="s">
        <v>92</v>
      </c>
      <c r="Q20" t="s">
        <v>93</v>
      </c>
      <c r="R20" t="s">
        <v>67</v>
      </c>
      <c r="S20" s="10">
        <v>11</v>
      </c>
      <c r="T20" t="s">
        <v>94</v>
      </c>
      <c r="U20" s="10">
        <v>11813.3505</v>
      </c>
      <c r="V20" s="19">
        <v>129946.85550000001</v>
      </c>
      <c r="X20" s="20" t="s">
        <v>115</v>
      </c>
      <c r="Y20" t="s">
        <v>116</v>
      </c>
      <c r="Z20" t="s">
        <v>117</v>
      </c>
      <c r="AA20" s="10">
        <v>300</v>
      </c>
      <c r="AB20" t="s">
        <v>52</v>
      </c>
      <c r="AC20" s="10">
        <v>656.66700000000003</v>
      </c>
      <c r="AD20" s="19">
        <v>197000.1</v>
      </c>
      <c r="AG20" s="22" t="s">
        <v>223</v>
      </c>
      <c r="AH20" s="23" t="s">
        <v>223</v>
      </c>
      <c r="AI20" s="23" t="s">
        <v>223</v>
      </c>
      <c r="AJ20" s="23" t="s">
        <v>223</v>
      </c>
      <c r="AK20" s="23" t="s">
        <v>223</v>
      </c>
      <c r="AL20" s="23" t="s">
        <v>223</v>
      </c>
      <c r="AM20" s="23" t="s">
        <v>224</v>
      </c>
      <c r="AN20" s="24">
        <v>147261.38055</v>
      </c>
      <c r="AP20" s="20" t="s">
        <v>748</v>
      </c>
      <c r="AQ20" t="s">
        <v>749</v>
      </c>
      <c r="AR20" t="s">
        <v>151</v>
      </c>
      <c r="AS20">
        <v>75</v>
      </c>
      <c r="AT20" t="s">
        <v>30</v>
      </c>
      <c r="AU20">
        <v>1090.0398</v>
      </c>
      <c r="AV20" s="19">
        <v>81752.985000000001</v>
      </c>
      <c r="AX20" s="20" t="s">
        <v>748</v>
      </c>
      <c r="AY20" t="s">
        <v>749</v>
      </c>
      <c r="AZ20" t="s">
        <v>151</v>
      </c>
      <c r="BA20">
        <v>75</v>
      </c>
      <c r="BB20" t="s">
        <v>30</v>
      </c>
      <c r="BC20">
        <v>1090.0398</v>
      </c>
      <c r="BD20" s="19">
        <v>81752.985000000001</v>
      </c>
    </row>
    <row r="21" spans="1:56" x14ac:dyDescent="0.35">
      <c r="A21" s="38" t="str">
        <v>NCGK0011</v>
      </c>
      <c r="B21" s="31" t="str">
        <f t="shared" si="0"/>
        <v>HAND GLOVES NITRILE SIZE M</v>
      </c>
      <c r="C21" s="31" t="str">
        <f t="shared" si="1"/>
        <v>NCG</v>
      </c>
      <c r="D21" s="31" t="str">
        <f t="shared" si="2"/>
        <v>pack</v>
      </c>
      <c r="E21" s="40">
        <f t="shared" si="3"/>
        <v>42000</v>
      </c>
      <c r="F21" s="48">
        <f t="shared" si="4"/>
        <v>1</v>
      </c>
      <c r="G21" s="48">
        <f t="shared" si="5"/>
        <v>2</v>
      </c>
      <c r="H21" s="48">
        <f t="shared" si="6"/>
        <v>-1</v>
      </c>
      <c r="I21" s="40">
        <f t="shared" si="7"/>
        <v>-42000</v>
      </c>
      <c r="J21" s="31" t="str">
        <f t="shared" si="8"/>
        <v>Kenaikan IU</v>
      </c>
      <c r="K21" s="42" t="s">
        <v>1095</v>
      </c>
      <c r="O21" s="20">
        <v>8</v>
      </c>
      <c r="P21" t="s">
        <v>254</v>
      </c>
      <c r="Q21" t="s">
        <v>255</v>
      </c>
      <c r="R21" t="s">
        <v>67</v>
      </c>
      <c r="S21" s="10">
        <v>0.2</v>
      </c>
      <c r="T21" t="s">
        <v>5</v>
      </c>
      <c r="U21" s="10">
        <v>34500</v>
      </c>
      <c r="V21" s="19">
        <v>6900</v>
      </c>
      <c r="X21" s="20" t="s">
        <v>121</v>
      </c>
      <c r="Y21" t="s">
        <v>122</v>
      </c>
      <c r="Z21" t="s">
        <v>123</v>
      </c>
      <c r="AA21" s="10">
        <v>2</v>
      </c>
      <c r="AB21" t="s">
        <v>5</v>
      </c>
      <c r="AC21" s="10">
        <v>5249.6674000000003</v>
      </c>
      <c r="AD21" s="19">
        <v>10499.334800000001</v>
      </c>
      <c r="AP21" s="20" t="s">
        <v>2</v>
      </c>
      <c r="AQ21" t="s">
        <v>3</v>
      </c>
      <c r="AR21" t="s">
        <v>4</v>
      </c>
      <c r="AS21" s="10">
        <v>1.83</v>
      </c>
      <c r="AT21" t="s">
        <v>5</v>
      </c>
      <c r="AU21" s="10">
        <v>21000</v>
      </c>
      <c r="AV21" s="19">
        <v>38430</v>
      </c>
      <c r="AX21" s="20" t="s">
        <v>2</v>
      </c>
      <c r="AY21" t="s">
        <v>3</v>
      </c>
      <c r="AZ21" t="s">
        <v>4</v>
      </c>
      <c r="BA21" s="10">
        <v>1.83</v>
      </c>
      <c r="BB21" t="s">
        <v>5</v>
      </c>
      <c r="BC21" s="10">
        <v>21000</v>
      </c>
      <c r="BD21" s="19">
        <v>38430</v>
      </c>
    </row>
    <row r="22" spans="1:56" ht="15" thickBot="1" x14ac:dyDescent="0.4">
      <c r="A22" s="38" t="str">
        <v>NCGS0001</v>
      </c>
      <c r="B22" s="31" t="str">
        <f t="shared" si="0"/>
        <v>TISSUE COCKTAIL NAPKIN 11x11 (48 PACK)</v>
      </c>
      <c r="C22" s="31" t="str">
        <f t="shared" si="1"/>
        <v>NCG</v>
      </c>
      <c r="D22" s="31" t="str">
        <f t="shared" si="2"/>
        <v>pack</v>
      </c>
      <c r="E22" s="40">
        <f t="shared" si="3"/>
        <v>4604.1441999999997</v>
      </c>
      <c r="F22" s="48">
        <f t="shared" si="4"/>
        <v>20</v>
      </c>
      <c r="G22" s="48">
        <f t="shared" si="5"/>
        <v>22</v>
      </c>
      <c r="H22" s="48">
        <f t="shared" si="6"/>
        <v>-2</v>
      </c>
      <c r="I22" s="40">
        <f t="shared" si="7"/>
        <v>-9208.2883999999995</v>
      </c>
      <c r="J22" s="31" t="str">
        <f t="shared" si="8"/>
        <v>Kenaikan IU</v>
      </c>
      <c r="K22" s="42" t="s">
        <v>1096</v>
      </c>
      <c r="O22" s="20">
        <v>9</v>
      </c>
      <c r="P22" t="s">
        <v>361</v>
      </c>
      <c r="Q22" t="s">
        <v>362</v>
      </c>
      <c r="R22" t="s">
        <v>67</v>
      </c>
      <c r="S22" s="10">
        <v>2</v>
      </c>
      <c r="T22" t="s">
        <v>363</v>
      </c>
      <c r="U22" s="10">
        <v>60</v>
      </c>
      <c r="V22" s="19">
        <v>120</v>
      </c>
      <c r="X22" s="20" t="s">
        <v>746</v>
      </c>
      <c r="Y22" t="s">
        <v>747</v>
      </c>
      <c r="Z22" t="s">
        <v>123</v>
      </c>
      <c r="AA22" s="10">
        <v>0.3</v>
      </c>
      <c r="AB22" t="s">
        <v>5</v>
      </c>
      <c r="AC22" s="10">
        <v>24714.2857</v>
      </c>
      <c r="AD22" s="19">
        <v>7414.2857100000001</v>
      </c>
      <c r="AP22" s="20" t="s">
        <v>13</v>
      </c>
      <c r="AQ22" t="s">
        <v>14</v>
      </c>
      <c r="AR22" t="s">
        <v>4</v>
      </c>
      <c r="AS22" s="10">
        <v>0.1</v>
      </c>
      <c r="AT22" t="s">
        <v>15</v>
      </c>
      <c r="AU22" s="10">
        <v>77700</v>
      </c>
      <c r="AV22" s="19">
        <v>7770</v>
      </c>
      <c r="AX22" s="20" t="s">
        <v>13</v>
      </c>
      <c r="AY22" t="s">
        <v>14</v>
      </c>
      <c r="AZ22" t="s">
        <v>4</v>
      </c>
      <c r="BA22" s="10">
        <v>0.1</v>
      </c>
      <c r="BB22" t="s">
        <v>15</v>
      </c>
      <c r="BC22" s="10">
        <v>77700</v>
      </c>
      <c r="BD22" s="19">
        <v>7770</v>
      </c>
    </row>
    <row r="23" spans="1:56" x14ac:dyDescent="0.35">
      <c r="A23" s="38" t="str">
        <v>OTH00091</v>
      </c>
      <c r="B23" s="31" t="str">
        <f t="shared" si="0"/>
        <v>LE MINERALE GALON</v>
      </c>
      <c r="C23" s="31" t="str">
        <f t="shared" si="1"/>
        <v>OTHERS</v>
      </c>
      <c r="D23" s="31" t="str">
        <f t="shared" si="2"/>
        <v>liter</v>
      </c>
      <c r="E23" s="40">
        <f t="shared" si="3"/>
        <v>1090.0398</v>
      </c>
      <c r="F23" s="48">
        <f t="shared" si="4"/>
        <v>70</v>
      </c>
      <c r="G23" s="48">
        <f t="shared" si="5"/>
        <v>75</v>
      </c>
      <c r="H23" s="48">
        <f t="shared" si="6"/>
        <v>-5</v>
      </c>
      <c r="I23" s="40">
        <f t="shared" si="7"/>
        <v>-5450.1990000000005</v>
      </c>
      <c r="J23" s="31" t="str">
        <f t="shared" si="8"/>
        <v>Kenaikan IU</v>
      </c>
      <c r="K23" s="42" t="s">
        <v>1097</v>
      </c>
      <c r="O23" s="20">
        <v>10</v>
      </c>
      <c r="P23" t="s">
        <v>107</v>
      </c>
      <c r="Q23" t="s">
        <v>108</v>
      </c>
      <c r="R23" t="s">
        <v>67</v>
      </c>
      <c r="S23" s="10">
        <v>2</v>
      </c>
      <c r="T23" t="s">
        <v>5</v>
      </c>
      <c r="U23" s="10">
        <v>20535</v>
      </c>
      <c r="V23" s="19">
        <v>41070</v>
      </c>
      <c r="X23" s="20" t="s">
        <v>124</v>
      </c>
      <c r="Y23" t="s">
        <v>125</v>
      </c>
      <c r="Z23" t="s">
        <v>123</v>
      </c>
      <c r="AA23" s="10">
        <v>1</v>
      </c>
      <c r="AB23" t="s">
        <v>5</v>
      </c>
      <c r="AC23" s="10">
        <v>5401.4191999999994</v>
      </c>
      <c r="AD23" s="19">
        <v>5401.4192000000003</v>
      </c>
      <c r="AG23" s="84" t="s">
        <v>0</v>
      </c>
      <c r="AH23" s="85"/>
      <c r="AI23" s="85"/>
      <c r="AJ23" s="85"/>
      <c r="AK23" s="85"/>
      <c r="AL23" s="16"/>
      <c r="AM23" s="16"/>
      <c r="AN23" s="17"/>
      <c r="AP23" s="20" t="s">
        <v>33</v>
      </c>
      <c r="AQ23" t="s">
        <v>34</v>
      </c>
      <c r="AR23" t="s">
        <v>4</v>
      </c>
      <c r="AS23" s="10">
        <v>4.2</v>
      </c>
      <c r="AT23" t="s">
        <v>30</v>
      </c>
      <c r="AU23" s="10">
        <v>12998.433499999999</v>
      </c>
      <c r="AV23" s="19">
        <v>54593.420700000002</v>
      </c>
      <c r="AX23" s="20" t="s">
        <v>33</v>
      </c>
      <c r="AY23" t="s">
        <v>34</v>
      </c>
      <c r="AZ23" t="s">
        <v>4</v>
      </c>
      <c r="BA23" s="10">
        <v>4.2</v>
      </c>
      <c r="BB23" t="s">
        <v>30</v>
      </c>
      <c r="BC23" s="10">
        <v>12998.433499999999</v>
      </c>
      <c r="BD23" s="19">
        <v>54593.420700000002</v>
      </c>
    </row>
    <row r="24" spans="1:56" x14ac:dyDescent="0.35">
      <c r="A24" s="38" t="str">
        <v>CECM00013</v>
      </c>
      <c r="B24" s="31" t="str">
        <f t="shared" si="0"/>
        <v>DAIA 800 GR</v>
      </c>
      <c r="C24" s="31" t="str">
        <f t="shared" si="1"/>
        <v>CLEANING CHEMICAL</v>
      </c>
      <c r="D24" s="31" t="str">
        <f t="shared" si="2"/>
        <v>pack</v>
      </c>
      <c r="E24" s="40">
        <f t="shared" si="3"/>
        <v>21000</v>
      </c>
      <c r="F24" s="48">
        <f t="shared" si="4"/>
        <v>0.7</v>
      </c>
      <c r="G24" s="48">
        <f t="shared" si="5"/>
        <v>1.83</v>
      </c>
      <c r="H24" s="48">
        <f t="shared" si="6"/>
        <v>-1.1300000000000001</v>
      </c>
      <c r="I24" s="40">
        <f t="shared" si="7"/>
        <v>-23730.000000000004</v>
      </c>
      <c r="J24" s="31" t="str">
        <f t="shared" si="8"/>
        <v>Kenaikan IU</v>
      </c>
      <c r="K24" s="42" t="s">
        <v>1098</v>
      </c>
      <c r="O24" s="20">
        <v>11</v>
      </c>
      <c r="P24" t="s">
        <v>630</v>
      </c>
      <c r="Q24" t="s">
        <v>631</v>
      </c>
      <c r="R24" t="s">
        <v>67</v>
      </c>
      <c r="S24">
        <v>1</v>
      </c>
      <c r="T24" t="s">
        <v>20</v>
      </c>
      <c r="U24">
        <v>1762</v>
      </c>
      <c r="V24" s="19">
        <v>1762</v>
      </c>
      <c r="X24" s="20" t="s">
        <v>130</v>
      </c>
      <c r="Y24" t="s">
        <v>131</v>
      </c>
      <c r="Z24" t="s">
        <v>123</v>
      </c>
      <c r="AA24" s="10">
        <v>18</v>
      </c>
      <c r="AB24" t="s">
        <v>5</v>
      </c>
      <c r="AC24" s="10">
        <v>6355.2277000000004</v>
      </c>
      <c r="AD24" s="19">
        <v>114394.0986</v>
      </c>
      <c r="AG24" s="82" t="s">
        <v>1</v>
      </c>
      <c r="AH24" s="87"/>
      <c r="AI24" s="87"/>
      <c r="AJ24" s="87"/>
      <c r="AK24" s="87"/>
      <c r="AN24" s="19"/>
      <c r="AP24" s="20" t="s">
        <v>53</v>
      </c>
      <c r="AQ24" t="s">
        <v>54</v>
      </c>
      <c r="AR24" t="s">
        <v>41</v>
      </c>
      <c r="AS24" s="10">
        <v>2</v>
      </c>
      <c r="AT24" t="s">
        <v>20</v>
      </c>
      <c r="AU24" s="10">
        <v>4810.9282000000003</v>
      </c>
      <c r="AV24" s="19">
        <v>9621.8564000000006</v>
      </c>
      <c r="AX24" s="20" t="s">
        <v>53</v>
      </c>
      <c r="AY24" t="s">
        <v>54</v>
      </c>
      <c r="AZ24" t="s">
        <v>41</v>
      </c>
      <c r="BA24" s="10">
        <v>2</v>
      </c>
      <c r="BB24" t="s">
        <v>20</v>
      </c>
      <c r="BC24" s="10">
        <v>4810.9282000000003</v>
      </c>
      <c r="BD24" s="19">
        <v>9621.8564000000006</v>
      </c>
    </row>
    <row r="25" spans="1:56" ht="15" thickBot="1" x14ac:dyDescent="0.4">
      <c r="A25" s="38" t="str">
        <v>CECM0008</v>
      </c>
      <c r="B25" s="31" t="str">
        <f t="shared" si="0"/>
        <v>XYZ ANTI BACTERIAL HANDSOAP 5 L</v>
      </c>
      <c r="C25" s="31" t="str">
        <f t="shared" si="1"/>
        <v>CLEANING CHEMICAL</v>
      </c>
      <c r="D25" s="31" t="str">
        <f t="shared" si="2"/>
        <v>jerrycan</v>
      </c>
      <c r="E25" s="40">
        <f t="shared" si="3"/>
        <v>77700</v>
      </c>
      <c r="F25" s="48">
        <f t="shared" si="4"/>
        <v>0.1</v>
      </c>
      <c r="G25" s="48">
        <f t="shared" si="5"/>
        <v>0.1</v>
      </c>
      <c r="H25" s="48">
        <f t="shared" si="6"/>
        <v>0</v>
      </c>
      <c r="I25" s="40">
        <f t="shared" si="7"/>
        <v>0</v>
      </c>
      <c r="J25" s="31" t="str">
        <f t="shared" si="8"/>
        <v>Tidak Ada Perubahan</v>
      </c>
      <c r="K25" s="42"/>
      <c r="O25" s="22" t="s">
        <v>223</v>
      </c>
      <c r="P25" s="23" t="s">
        <v>223</v>
      </c>
      <c r="Q25" s="23" t="s">
        <v>223</v>
      </c>
      <c r="R25" s="23" t="s">
        <v>223</v>
      </c>
      <c r="S25" s="23" t="s">
        <v>223</v>
      </c>
      <c r="T25" s="23" t="s">
        <v>223</v>
      </c>
      <c r="U25" s="23" t="s">
        <v>224</v>
      </c>
      <c r="V25" s="24">
        <v>203104.991458</v>
      </c>
      <c r="X25" s="20" t="s">
        <v>132</v>
      </c>
      <c r="Y25" t="s">
        <v>133</v>
      </c>
      <c r="Z25" t="s">
        <v>123</v>
      </c>
      <c r="AA25" s="10">
        <v>0.5</v>
      </c>
      <c r="AB25" t="s">
        <v>134</v>
      </c>
      <c r="AC25" s="10">
        <v>12999.2924</v>
      </c>
      <c r="AD25" s="19">
        <v>6499.6462000000001</v>
      </c>
      <c r="AG25" s="20"/>
      <c r="AN25" s="19"/>
      <c r="AP25" s="20" t="s">
        <v>453</v>
      </c>
      <c r="AQ25" t="s">
        <v>454</v>
      </c>
      <c r="AR25" t="s">
        <v>41</v>
      </c>
      <c r="AS25" s="10">
        <v>1</v>
      </c>
      <c r="AT25" t="s">
        <v>267</v>
      </c>
      <c r="AU25" s="10">
        <v>19142.105299999999</v>
      </c>
      <c r="AV25" s="19">
        <v>19142.105299999999</v>
      </c>
      <c r="AX25" s="20" t="s">
        <v>453</v>
      </c>
      <c r="AY25" t="s">
        <v>454</v>
      </c>
      <c r="AZ25" t="s">
        <v>41</v>
      </c>
      <c r="BA25" s="10">
        <v>1</v>
      </c>
      <c r="BB25" t="s">
        <v>267</v>
      </c>
      <c r="BC25" s="10">
        <v>19142.105299999999</v>
      </c>
      <c r="BD25" s="19">
        <v>19142.105299999999</v>
      </c>
    </row>
    <row r="26" spans="1:56" ht="15" thickBot="1" x14ac:dyDescent="0.4">
      <c r="A26" s="38" t="str">
        <v>CECM0018</v>
      </c>
      <c r="B26" s="31" t="str">
        <f t="shared" si="0"/>
        <v>XYZ GENERAL CLEANER  (CUCI PIRING LIME)</v>
      </c>
      <c r="C26" s="31" t="str">
        <f t="shared" si="1"/>
        <v>CLEANING CHEMICAL</v>
      </c>
      <c r="D26" s="31" t="str">
        <f t="shared" si="2"/>
        <v>liter</v>
      </c>
      <c r="E26" s="40">
        <f t="shared" si="3"/>
        <v>12998.433499999999</v>
      </c>
      <c r="F26" s="48">
        <f t="shared" si="4"/>
        <v>0.5</v>
      </c>
      <c r="G26" s="48">
        <f t="shared" si="5"/>
        <v>4.2</v>
      </c>
      <c r="H26" s="48">
        <f t="shared" si="6"/>
        <v>-3.7</v>
      </c>
      <c r="I26" s="40">
        <f t="shared" si="7"/>
        <v>-48094.203950000003</v>
      </c>
      <c r="J26" s="31" t="str">
        <f t="shared" si="8"/>
        <v>Kenaikan IU</v>
      </c>
      <c r="K26" s="42" t="s">
        <v>1089</v>
      </c>
      <c r="X26" s="20" t="s">
        <v>139</v>
      </c>
      <c r="Y26" t="s">
        <v>140</v>
      </c>
      <c r="Z26" t="s">
        <v>123</v>
      </c>
      <c r="AA26" s="10">
        <v>1</v>
      </c>
      <c r="AB26" t="s">
        <v>5</v>
      </c>
      <c r="AC26" s="10">
        <v>42481.9277</v>
      </c>
      <c r="AD26" s="19">
        <v>42481.9277</v>
      </c>
      <c r="AG26" s="82" t="s">
        <v>10</v>
      </c>
      <c r="AH26" s="87" t="s">
        <v>11</v>
      </c>
      <c r="AI26" t="s">
        <v>750</v>
      </c>
      <c r="AN26" s="19"/>
      <c r="AP26" s="22" t="s">
        <v>57</v>
      </c>
      <c r="AQ26" s="23" t="s">
        <v>58</v>
      </c>
      <c r="AR26" s="23" t="s">
        <v>41</v>
      </c>
      <c r="AS26" s="23">
        <v>2.2999999999999998</v>
      </c>
      <c r="AT26" s="23" t="s">
        <v>5</v>
      </c>
      <c r="AU26" s="23">
        <v>7697.3905000000004</v>
      </c>
      <c r="AV26" s="24">
        <v>17703.998149999999</v>
      </c>
      <c r="AX26" s="22" t="s">
        <v>57</v>
      </c>
      <c r="AY26" s="23" t="s">
        <v>58</v>
      </c>
      <c r="AZ26" s="23" t="s">
        <v>41</v>
      </c>
      <c r="BA26" s="23">
        <v>2.2999999999999998</v>
      </c>
      <c r="BB26" s="23" t="s">
        <v>5</v>
      </c>
      <c r="BC26" s="23">
        <v>7697.3905000000004</v>
      </c>
      <c r="BD26" s="24">
        <v>17703.998149999999</v>
      </c>
    </row>
    <row r="27" spans="1:56" ht="15" thickBot="1" x14ac:dyDescent="0.4">
      <c r="A27" s="38" t="str">
        <v>CETS0006</v>
      </c>
      <c r="B27" s="31" t="str">
        <f t="shared" si="0"/>
        <v>SPONGE BUSA</v>
      </c>
      <c r="C27" s="31" t="str">
        <f t="shared" si="1"/>
        <v>CLEANING TOOLS AND SUPPLIES</v>
      </c>
      <c r="D27" s="31" t="str">
        <f t="shared" si="2"/>
        <v>pcs</v>
      </c>
      <c r="E27" s="40">
        <f t="shared" si="3"/>
        <v>4810.9282000000003</v>
      </c>
      <c r="F27" s="48">
        <f t="shared" si="4"/>
        <v>1</v>
      </c>
      <c r="G27" s="48">
        <f t="shared" si="5"/>
        <v>2</v>
      </c>
      <c r="H27" s="48">
        <f t="shared" si="6"/>
        <v>-1</v>
      </c>
      <c r="I27" s="40">
        <f t="shared" si="7"/>
        <v>-4810.9282000000003</v>
      </c>
      <c r="J27" s="31" t="str">
        <f t="shared" si="8"/>
        <v>Kenaikan IU</v>
      </c>
      <c r="K27" s="42" t="s">
        <v>1099</v>
      </c>
      <c r="X27" s="20" t="s">
        <v>141</v>
      </c>
      <c r="Y27" t="s">
        <v>142</v>
      </c>
      <c r="Z27" t="s">
        <v>123</v>
      </c>
      <c r="AA27" s="10">
        <v>1.3</v>
      </c>
      <c r="AB27" t="s">
        <v>5</v>
      </c>
      <c r="AC27" s="10">
        <v>41823.576200000003</v>
      </c>
      <c r="AD27" s="19">
        <v>54370.649060000003</v>
      </c>
      <c r="AG27" s="82" t="s">
        <v>16</v>
      </c>
      <c r="AH27" s="87" t="s">
        <v>11</v>
      </c>
      <c r="AI27" t="s">
        <v>17</v>
      </c>
      <c r="AN27" s="19"/>
      <c r="AX27" s="25" t="s">
        <v>68</v>
      </c>
      <c r="AY27" s="16" t="s">
        <v>69</v>
      </c>
      <c r="AZ27" s="16" t="s">
        <v>67</v>
      </c>
      <c r="BA27" s="26">
        <v>0.2</v>
      </c>
      <c r="BB27" s="16" t="s">
        <v>5</v>
      </c>
      <c r="BC27" s="26">
        <v>17319.482288822121</v>
      </c>
      <c r="BD27" s="17">
        <v>3463.8964580000002</v>
      </c>
    </row>
    <row r="28" spans="1:56" x14ac:dyDescent="0.35">
      <c r="A28" s="38" t="str">
        <v>CETS0009</v>
      </c>
      <c r="B28" s="31" t="str">
        <f t="shared" si="0"/>
        <v>REFIL KAIN PEL/REFIL MOP PEL OBOR</v>
      </c>
      <c r="C28" s="31" t="str">
        <f t="shared" si="1"/>
        <v>CLEANING TOOLS AND SUPPLIES</v>
      </c>
      <c r="D28" s="31" t="str">
        <f t="shared" si="2"/>
        <v>unit</v>
      </c>
      <c r="E28" s="40">
        <f t="shared" si="3"/>
        <v>19142.105299999999</v>
      </c>
      <c r="F28" s="48" t="str">
        <f t="shared" si="4"/>
        <v>0</v>
      </c>
      <c r="G28" s="48">
        <f t="shared" si="5"/>
        <v>1</v>
      </c>
      <c r="H28" s="48">
        <f t="shared" si="6"/>
        <v>-1</v>
      </c>
      <c r="I28" s="40">
        <f t="shared" si="7"/>
        <v>-19142.105299999999</v>
      </c>
      <c r="J28" s="31" t="str">
        <f t="shared" si="8"/>
        <v>Kenaikan IU</v>
      </c>
      <c r="K28" s="42" t="s">
        <v>1100</v>
      </c>
      <c r="O28" s="84" t="s">
        <v>0</v>
      </c>
      <c r="P28" s="85"/>
      <c r="Q28" s="85"/>
      <c r="R28" s="85"/>
      <c r="S28" s="85"/>
      <c r="T28" s="16"/>
      <c r="U28" s="16"/>
      <c r="V28" s="17"/>
      <c r="X28" s="20" t="s">
        <v>145</v>
      </c>
      <c r="Y28" t="s">
        <v>146</v>
      </c>
      <c r="Z28" t="s">
        <v>123</v>
      </c>
      <c r="AA28" s="10">
        <v>20</v>
      </c>
      <c r="AB28" t="s">
        <v>5</v>
      </c>
      <c r="AC28" s="10">
        <v>4604.1441999999997</v>
      </c>
      <c r="AD28" s="19">
        <v>92082.884000000005</v>
      </c>
      <c r="AG28" s="82" t="s">
        <v>21</v>
      </c>
      <c r="AH28" s="87" t="s">
        <v>11</v>
      </c>
      <c r="AI28" t="s">
        <v>739</v>
      </c>
      <c r="AN28" s="19"/>
      <c r="AX28" s="20" t="s">
        <v>230</v>
      </c>
      <c r="AY28" t="s">
        <v>231</v>
      </c>
      <c r="AZ28" t="s">
        <v>67</v>
      </c>
      <c r="BA28" s="10">
        <v>1</v>
      </c>
      <c r="BB28" t="s">
        <v>5</v>
      </c>
      <c r="BC28" s="10">
        <v>9000</v>
      </c>
      <c r="BD28" s="19">
        <v>9000</v>
      </c>
    </row>
    <row r="29" spans="1:56" x14ac:dyDescent="0.35">
      <c r="A29" s="38" t="str">
        <v>CETS0025</v>
      </c>
      <c r="B29" s="31" t="str">
        <f t="shared" si="0"/>
        <v>PLASTIK SAMPAH 60 x 100 (10 LEMBAR)</v>
      </c>
      <c r="C29" s="31" t="str">
        <f t="shared" si="1"/>
        <v>CLEANING TOOLS AND SUPPLIES</v>
      </c>
      <c r="D29" s="31" t="str">
        <f t="shared" si="2"/>
        <v>pack</v>
      </c>
      <c r="E29" s="40">
        <f t="shared" si="3"/>
        <v>7697.3905000000004</v>
      </c>
      <c r="F29" s="48">
        <f t="shared" si="4"/>
        <v>2.8</v>
      </c>
      <c r="G29" s="48">
        <f t="shared" si="5"/>
        <v>2.2999999999999998</v>
      </c>
      <c r="H29" s="48">
        <f t="shared" si="6"/>
        <v>0.5</v>
      </c>
      <c r="I29" s="40">
        <f t="shared" si="7"/>
        <v>3848.6952500000002</v>
      </c>
      <c r="J29" s="31" t="str">
        <f t="shared" si="8"/>
        <v>Penurunan IU</v>
      </c>
      <c r="K29" s="42"/>
      <c r="O29" s="82" t="s">
        <v>1</v>
      </c>
      <c r="P29" s="87"/>
      <c r="Q29" s="87"/>
      <c r="R29" s="87"/>
      <c r="S29" s="87"/>
      <c r="V29" s="19"/>
      <c r="X29" s="20" t="s">
        <v>748</v>
      </c>
      <c r="Y29" t="s">
        <v>749</v>
      </c>
      <c r="Z29" t="s">
        <v>151</v>
      </c>
      <c r="AA29" s="10">
        <v>70</v>
      </c>
      <c r="AB29" t="s">
        <v>30</v>
      </c>
      <c r="AC29" s="10">
        <v>1090.0038999999999</v>
      </c>
      <c r="AD29" s="19">
        <v>76300.273000000001</v>
      </c>
      <c r="AG29" s="82" t="s">
        <v>26</v>
      </c>
      <c r="AH29" s="87" t="s">
        <v>11</v>
      </c>
      <c r="AI29" t="s">
        <v>751</v>
      </c>
      <c r="AN29" s="19"/>
      <c r="AX29" s="20" t="s">
        <v>388</v>
      </c>
      <c r="AY29" t="s">
        <v>389</v>
      </c>
      <c r="AZ29" t="s">
        <v>67</v>
      </c>
      <c r="BA29" s="10">
        <v>1</v>
      </c>
      <c r="BB29" t="s">
        <v>20</v>
      </c>
      <c r="BC29" s="10">
        <v>2670.099999999999</v>
      </c>
      <c r="BD29" s="19">
        <v>2670.1</v>
      </c>
    </row>
    <row r="30" spans="1:56" x14ac:dyDescent="0.35">
      <c r="A30" s="38" t="str">
        <v>STA00009</v>
      </c>
      <c r="B30" s="31" t="str">
        <f t="shared" si="0"/>
        <v>AMPLOP PUTIH 104</v>
      </c>
      <c r="C30" s="31" t="str">
        <f t="shared" si="1"/>
        <v>STATIONARY AND OFFICE SUPPLIES</v>
      </c>
      <c r="D30" s="31" t="str">
        <f t="shared" si="2"/>
        <v>pack</v>
      </c>
      <c r="E30" s="40">
        <f t="shared" si="3"/>
        <v>17319.482288822121</v>
      </c>
      <c r="F30" s="48">
        <f t="shared" si="4"/>
        <v>0.2</v>
      </c>
      <c r="G30" s="48" t="str">
        <f t="shared" si="5"/>
        <v>0</v>
      </c>
      <c r="H30" s="48">
        <f t="shared" si="6"/>
        <v>0.2</v>
      </c>
      <c r="I30" s="40">
        <f t="shared" si="7"/>
        <v>3463.8964577644242</v>
      </c>
      <c r="J30" s="31" t="str">
        <f t="shared" si="8"/>
        <v>Penurunan IU</v>
      </c>
      <c r="K30" s="42"/>
      <c r="O30" s="20"/>
      <c r="V30" s="19"/>
      <c r="X30" s="20" t="s">
        <v>752</v>
      </c>
      <c r="Y30" t="s">
        <v>753</v>
      </c>
      <c r="Z30" t="s">
        <v>151</v>
      </c>
      <c r="AA30" s="10">
        <v>1</v>
      </c>
      <c r="AB30" t="s">
        <v>20</v>
      </c>
      <c r="AC30" s="10">
        <v>4741.67</v>
      </c>
      <c r="AD30" s="19">
        <v>4741.67</v>
      </c>
      <c r="AG30" s="82" t="s">
        <v>31</v>
      </c>
      <c r="AH30" s="87" t="s">
        <v>11</v>
      </c>
      <c r="AI30" t="s">
        <v>186</v>
      </c>
      <c r="AN30" s="19"/>
      <c r="AX30" s="20" t="s">
        <v>72</v>
      </c>
      <c r="AY30" t="s">
        <v>73</v>
      </c>
      <c r="AZ30" t="s">
        <v>67</v>
      </c>
      <c r="BA30" s="10">
        <v>1</v>
      </c>
      <c r="BB30" t="s">
        <v>74</v>
      </c>
      <c r="BC30" s="10">
        <v>3013.7363</v>
      </c>
      <c r="BD30" s="19">
        <v>3013.7363</v>
      </c>
    </row>
    <row r="31" spans="1:56" ht="15" thickBot="1" x14ac:dyDescent="0.4">
      <c r="A31" s="38" t="str">
        <v>STA00020</v>
      </c>
      <c r="B31" s="31" t="str">
        <f t="shared" si="0"/>
        <v>BATERAI AA</v>
      </c>
      <c r="C31" s="31" t="str">
        <f t="shared" si="1"/>
        <v>STATIONARY AND OFFICE SUPPLIES</v>
      </c>
      <c r="D31" s="31" t="str">
        <f t="shared" si="2"/>
        <v>pack</v>
      </c>
      <c r="E31" s="40">
        <f t="shared" si="3"/>
        <v>9000</v>
      </c>
      <c r="F31" s="48">
        <f t="shared" si="4"/>
        <v>1</v>
      </c>
      <c r="G31" s="48" t="str">
        <f t="shared" si="5"/>
        <v>0</v>
      </c>
      <c r="H31" s="48">
        <f t="shared" si="6"/>
        <v>1</v>
      </c>
      <c r="I31" s="40">
        <f t="shared" si="7"/>
        <v>9000</v>
      </c>
      <c r="J31" s="31" t="str">
        <f t="shared" si="8"/>
        <v>Penurunan IU</v>
      </c>
      <c r="K31" s="42"/>
      <c r="O31" s="82" t="s">
        <v>10</v>
      </c>
      <c r="P31" s="87" t="s">
        <v>11</v>
      </c>
      <c r="Q31" t="s">
        <v>754</v>
      </c>
      <c r="V31" s="19"/>
      <c r="X31" s="22" t="s">
        <v>276</v>
      </c>
      <c r="Y31" s="23" t="s">
        <v>277</v>
      </c>
      <c r="Z31" s="23" t="s">
        <v>151</v>
      </c>
      <c r="AA31" s="23">
        <v>3</v>
      </c>
      <c r="AB31" s="23" t="s">
        <v>52</v>
      </c>
      <c r="AC31" s="23">
        <v>1291.2</v>
      </c>
      <c r="AD31" s="24">
        <v>3873.6</v>
      </c>
      <c r="AG31" s="82" t="s">
        <v>35</v>
      </c>
      <c r="AH31" s="87" t="s">
        <v>11</v>
      </c>
      <c r="AI31" t="s">
        <v>755</v>
      </c>
      <c r="AN31" s="19"/>
      <c r="AX31" s="20" t="s">
        <v>357</v>
      </c>
      <c r="AY31" t="s">
        <v>358</v>
      </c>
      <c r="AZ31" t="s">
        <v>67</v>
      </c>
      <c r="BA31" s="10">
        <v>0.08</v>
      </c>
      <c r="BB31" t="s">
        <v>5</v>
      </c>
      <c r="BC31" s="10">
        <v>29000</v>
      </c>
      <c r="BD31" s="19">
        <v>2320</v>
      </c>
    </row>
    <row r="32" spans="1:56" x14ac:dyDescent="0.35">
      <c r="A32" s="38" t="str">
        <v>STA00027</v>
      </c>
      <c r="B32" s="31" t="str">
        <f t="shared" si="0"/>
        <v>BALLPOINT</v>
      </c>
      <c r="C32" s="31" t="str">
        <f t="shared" si="1"/>
        <v>STATIONARY AND OFFICE SUPPLIES</v>
      </c>
      <c r="D32" s="31" t="str">
        <f t="shared" si="2"/>
        <v>pcs</v>
      </c>
      <c r="E32" s="40">
        <f t="shared" si="3"/>
        <v>2670.099999999999</v>
      </c>
      <c r="F32" s="48">
        <f t="shared" si="4"/>
        <v>1</v>
      </c>
      <c r="G32" s="48" t="str">
        <f t="shared" si="5"/>
        <v>0</v>
      </c>
      <c r="H32" s="48">
        <f t="shared" si="6"/>
        <v>1</v>
      </c>
      <c r="I32" s="40">
        <f t="shared" si="7"/>
        <v>2670.099999999999</v>
      </c>
      <c r="J32" s="31" t="str">
        <f t="shared" si="8"/>
        <v>Penurunan IU</v>
      </c>
      <c r="K32" s="42"/>
      <c r="O32" s="82" t="s">
        <v>16</v>
      </c>
      <c r="P32" s="87" t="s">
        <v>11</v>
      </c>
      <c r="Q32" t="s">
        <v>211</v>
      </c>
      <c r="V32" s="19"/>
      <c r="AG32" s="20"/>
      <c r="AN32" s="19"/>
      <c r="AX32" s="20" t="s">
        <v>246</v>
      </c>
      <c r="AY32" t="s">
        <v>247</v>
      </c>
      <c r="AZ32" t="s">
        <v>67</v>
      </c>
      <c r="BA32" s="10">
        <v>2</v>
      </c>
      <c r="BB32" t="s">
        <v>5</v>
      </c>
      <c r="BC32" s="10">
        <v>1419.2016000000001</v>
      </c>
      <c r="BD32" s="19">
        <v>2838.4032000000002</v>
      </c>
    </row>
    <row r="33" spans="1:56" x14ac:dyDescent="0.35">
      <c r="A33" s="38" t="str">
        <v>STA00096</v>
      </c>
      <c r="B33" s="31" t="str">
        <f t="shared" si="0"/>
        <v>HANSAPLAS</v>
      </c>
      <c r="C33" s="31" t="str">
        <f t="shared" si="1"/>
        <v>STATIONARY AND OFFICE SUPPLIES</v>
      </c>
      <c r="D33" s="31" t="str">
        <f t="shared" si="2"/>
        <v>pack</v>
      </c>
      <c r="E33" s="40">
        <f t="shared" si="3"/>
        <v>34500</v>
      </c>
      <c r="F33" s="48">
        <f t="shared" si="4"/>
        <v>0.2</v>
      </c>
      <c r="G33" s="48" t="str">
        <f t="shared" si="5"/>
        <v>0</v>
      </c>
      <c r="H33" s="48">
        <f t="shared" si="6"/>
        <v>0.2</v>
      </c>
      <c r="I33" s="40">
        <f t="shared" si="7"/>
        <v>6900</v>
      </c>
      <c r="J33" s="31" t="str">
        <f t="shared" si="8"/>
        <v>Penurunan IU</v>
      </c>
      <c r="K33" s="42"/>
      <c r="O33" s="82" t="s">
        <v>21</v>
      </c>
      <c r="P33" s="87" t="s">
        <v>11</v>
      </c>
      <c r="Q33" t="s">
        <v>739</v>
      </c>
      <c r="V33" s="19"/>
      <c r="AG33" s="20" t="s">
        <v>42</v>
      </c>
      <c r="AH33" t="s">
        <v>43</v>
      </c>
      <c r="AI33" t="s">
        <v>44</v>
      </c>
      <c r="AJ33" t="s">
        <v>45</v>
      </c>
      <c r="AK33" t="s">
        <v>46</v>
      </c>
      <c r="AL33" t="s">
        <v>47</v>
      </c>
      <c r="AM33" t="s">
        <v>48</v>
      </c>
      <c r="AN33" s="19" t="s">
        <v>49</v>
      </c>
      <c r="AX33" s="20" t="s">
        <v>92</v>
      </c>
      <c r="AY33" t="s">
        <v>93</v>
      </c>
      <c r="AZ33" t="s">
        <v>67</v>
      </c>
      <c r="BA33" s="10">
        <v>11</v>
      </c>
      <c r="BB33" t="s">
        <v>94</v>
      </c>
      <c r="BC33" s="10">
        <v>11813.3505</v>
      </c>
      <c r="BD33" s="19">
        <v>129946.85550000001</v>
      </c>
    </row>
    <row r="34" spans="1:56" x14ac:dyDescent="0.35">
      <c r="A34" s="38" t="str">
        <v>STA00098</v>
      </c>
      <c r="B34" s="31" t="str">
        <f t="shared" si="0"/>
        <v>KAPAS</v>
      </c>
      <c r="C34" s="31" t="str">
        <f t="shared" si="1"/>
        <v>STATIONARY AND OFFICE SUPPLIES</v>
      </c>
      <c r="D34" s="31" t="str">
        <f t="shared" si="2"/>
        <v>gr</v>
      </c>
      <c r="E34" s="40">
        <f t="shared" si="3"/>
        <v>60</v>
      </c>
      <c r="F34" s="48">
        <f t="shared" si="4"/>
        <v>2</v>
      </c>
      <c r="G34" s="48" t="str">
        <f t="shared" si="5"/>
        <v>0</v>
      </c>
      <c r="H34" s="48">
        <f t="shared" si="6"/>
        <v>2</v>
      </c>
      <c r="I34" s="40">
        <f t="shared" si="7"/>
        <v>120</v>
      </c>
      <c r="J34" s="31" t="str">
        <f t="shared" si="8"/>
        <v>Penurunan IU</v>
      </c>
      <c r="K34" s="42"/>
      <c r="O34" s="82" t="s">
        <v>26</v>
      </c>
      <c r="P34" s="87" t="s">
        <v>11</v>
      </c>
      <c r="Q34" t="s">
        <v>756</v>
      </c>
      <c r="V34" s="19"/>
      <c r="AG34" s="20">
        <v>1</v>
      </c>
      <c r="AH34" t="s">
        <v>115</v>
      </c>
      <c r="AI34" t="s">
        <v>116</v>
      </c>
      <c r="AJ34" t="s">
        <v>117</v>
      </c>
      <c r="AK34" s="10">
        <v>700</v>
      </c>
      <c r="AL34" t="s">
        <v>52</v>
      </c>
      <c r="AM34" s="10">
        <v>656.66700000000003</v>
      </c>
      <c r="AN34" s="19">
        <v>459666.9</v>
      </c>
      <c r="AX34" s="20" t="s">
        <v>254</v>
      </c>
      <c r="AY34" t="s">
        <v>255</v>
      </c>
      <c r="AZ34" t="s">
        <v>67</v>
      </c>
      <c r="BA34" s="10">
        <v>0.2</v>
      </c>
      <c r="BB34" t="s">
        <v>5</v>
      </c>
      <c r="BC34" s="10">
        <v>34500</v>
      </c>
      <c r="BD34" s="19">
        <v>6900</v>
      </c>
    </row>
    <row r="35" spans="1:56" x14ac:dyDescent="0.35">
      <c r="A35" s="38" t="str">
        <v>STA00114</v>
      </c>
      <c r="B35" s="31" t="str">
        <f t="shared" si="0"/>
        <v>LABEL HARGA</v>
      </c>
      <c r="C35" s="31" t="str">
        <f t="shared" si="1"/>
        <v>STATIONARY AND OFFICE SUPPLIES</v>
      </c>
      <c r="D35" s="31" t="str">
        <f t="shared" si="2"/>
        <v>pcs</v>
      </c>
      <c r="E35" s="40">
        <f t="shared" si="3"/>
        <v>1762</v>
      </c>
      <c r="F35" s="48">
        <f t="shared" si="4"/>
        <v>1</v>
      </c>
      <c r="G35" s="48" t="str">
        <f t="shared" si="5"/>
        <v>0</v>
      </c>
      <c r="H35" s="48">
        <f t="shared" si="6"/>
        <v>1</v>
      </c>
      <c r="I35" s="40">
        <f t="shared" si="7"/>
        <v>1762</v>
      </c>
      <c r="J35" s="31" t="str">
        <f t="shared" si="8"/>
        <v>Penurunan IU</v>
      </c>
      <c r="K35" s="42"/>
      <c r="O35" s="82" t="s">
        <v>31</v>
      </c>
      <c r="P35" s="87" t="s">
        <v>11</v>
      </c>
      <c r="Q35" t="s">
        <v>32</v>
      </c>
      <c r="V35" s="19"/>
      <c r="AG35" s="20">
        <v>2</v>
      </c>
      <c r="AH35" t="s">
        <v>121</v>
      </c>
      <c r="AI35" t="s">
        <v>122</v>
      </c>
      <c r="AJ35" t="s">
        <v>123</v>
      </c>
      <c r="AK35" s="10">
        <v>2.2999999999999998</v>
      </c>
      <c r="AL35" t="s">
        <v>5</v>
      </c>
      <c r="AM35" s="10">
        <v>5249.6674000000003</v>
      </c>
      <c r="AN35" s="19">
        <v>12074.23502</v>
      </c>
      <c r="AX35" s="20" t="s">
        <v>361</v>
      </c>
      <c r="AY35" t="s">
        <v>362</v>
      </c>
      <c r="AZ35" t="s">
        <v>67</v>
      </c>
      <c r="BA35" s="10">
        <v>2</v>
      </c>
      <c r="BB35" t="s">
        <v>363</v>
      </c>
      <c r="BC35" s="10">
        <v>60</v>
      </c>
      <c r="BD35" s="19">
        <v>120</v>
      </c>
    </row>
    <row r="36" spans="1:56" x14ac:dyDescent="0.35">
      <c r="A36" s="38" t="str">
        <v>MKT00035</v>
      </c>
      <c r="B36" s="31" t="str">
        <f t="shared" si="0"/>
        <v>LIGHT BOX</v>
      </c>
      <c r="C36" s="31" t="str">
        <f t="shared" si="1"/>
        <v>MARKETING</v>
      </c>
      <c r="D36" s="31" t="str">
        <f t="shared" si="2"/>
        <v>pcs</v>
      </c>
      <c r="E36" s="40">
        <f t="shared" si="3"/>
        <v>290150</v>
      </c>
      <c r="F36" s="48">
        <f t="shared" si="4"/>
        <v>1</v>
      </c>
      <c r="G36" s="48" t="str">
        <f t="shared" si="5"/>
        <v>0</v>
      </c>
      <c r="H36" s="48">
        <f t="shared" si="6"/>
        <v>1</v>
      </c>
      <c r="I36" s="40">
        <f t="shared" si="7"/>
        <v>290150</v>
      </c>
      <c r="J36" s="31" t="str">
        <f t="shared" si="8"/>
        <v>Penurunan IU</v>
      </c>
      <c r="K36" s="42"/>
      <c r="O36" s="82" t="s">
        <v>35</v>
      </c>
      <c r="P36" s="87" t="s">
        <v>11</v>
      </c>
      <c r="Q36" t="s">
        <v>757</v>
      </c>
      <c r="V36" s="19"/>
      <c r="AG36" s="20">
        <v>3</v>
      </c>
      <c r="AH36" t="s">
        <v>746</v>
      </c>
      <c r="AI36" t="s">
        <v>747</v>
      </c>
      <c r="AJ36" t="s">
        <v>123</v>
      </c>
      <c r="AK36" s="10">
        <v>0.1</v>
      </c>
      <c r="AL36" t="s">
        <v>5</v>
      </c>
      <c r="AM36" s="10">
        <v>24000</v>
      </c>
      <c r="AN36" s="19">
        <v>2400</v>
      </c>
      <c r="AX36" s="20" t="s">
        <v>107</v>
      </c>
      <c r="AY36" t="s">
        <v>108</v>
      </c>
      <c r="AZ36" t="s">
        <v>67</v>
      </c>
      <c r="BA36" s="10">
        <v>2</v>
      </c>
      <c r="BB36" t="s">
        <v>5</v>
      </c>
      <c r="BC36" s="10">
        <v>20535</v>
      </c>
      <c r="BD36" s="19">
        <v>41070</v>
      </c>
    </row>
    <row r="37" spans="1:56" x14ac:dyDescent="0.35">
      <c r="A37" s="38" t="str">
        <v>NCGK0012</v>
      </c>
      <c r="B37" s="31" t="str">
        <f t="shared" si="0"/>
        <v>HAND GLOVES NITRILE SIZE L</v>
      </c>
      <c r="C37" s="31" t="str">
        <f t="shared" si="1"/>
        <v>NCG</v>
      </c>
      <c r="D37" s="31" t="str">
        <f t="shared" si="2"/>
        <v>pack</v>
      </c>
      <c r="E37" s="40">
        <f t="shared" si="3"/>
        <v>41823.576200000003</v>
      </c>
      <c r="F37" s="48">
        <f t="shared" si="4"/>
        <v>1.3</v>
      </c>
      <c r="G37" s="48" t="str">
        <f t="shared" si="5"/>
        <v>0</v>
      </c>
      <c r="H37" s="48">
        <f t="shared" si="6"/>
        <v>1.3</v>
      </c>
      <c r="I37" s="40">
        <f t="shared" si="7"/>
        <v>54370.649060000003</v>
      </c>
      <c r="J37" s="31" t="str">
        <f t="shared" si="8"/>
        <v>Penurunan IU</v>
      </c>
      <c r="K37" s="42"/>
      <c r="O37" s="20"/>
      <c r="V37" s="19"/>
      <c r="AG37" s="20">
        <v>4</v>
      </c>
      <c r="AH37" t="s">
        <v>124</v>
      </c>
      <c r="AI37" t="s">
        <v>125</v>
      </c>
      <c r="AJ37" t="s">
        <v>123</v>
      </c>
      <c r="AK37" s="10">
        <v>3</v>
      </c>
      <c r="AL37" t="s">
        <v>5</v>
      </c>
      <c r="AM37" s="10">
        <v>5401.4191999999994</v>
      </c>
      <c r="AN37" s="19">
        <v>16204.257600000001</v>
      </c>
      <c r="AX37" s="20" t="s">
        <v>630</v>
      </c>
      <c r="AY37" t="s">
        <v>631</v>
      </c>
      <c r="AZ37" t="s">
        <v>67</v>
      </c>
      <c r="BA37">
        <v>1</v>
      </c>
      <c r="BB37" t="s">
        <v>20</v>
      </c>
      <c r="BC37">
        <v>1762</v>
      </c>
      <c r="BD37" s="19">
        <v>1762</v>
      </c>
    </row>
    <row r="38" spans="1:56" x14ac:dyDescent="0.35">
      <c r="A38" s="38" t="str">
        <v>OTH00124</v>
      </c>
      <c r="B38" s="31" t="str">
        <f t="shared" si="0"/>
        <v>SARUNG TANGAN KAIN</v>
      </c>
      <c r="C38" s="31" t="str">
        <f t="shared" si="1"/>
        <v>OTHERS</v>
      </c>
      <c r="D38" s="31" t="str">
        <f t="shared" si="2"/>
        <v>pcs</v>
      </c>
      <c r="E38" s="40">
        <f t="shared" si="3"/>
        <v>4741.67</v>
      </c>
      <c r="F38" s="48">
        <f t="shared" si="4"/>
        <v>1</v>
      </c>
      <c r="G38" s="48" t="str">
        <f t="shared" si="5"/>
        <v>0</v>
      </c>
      <c r="H38" s="48">
        <f t="shared" si="6"/>
        <v>1</v>
      </c>
      <c r="I38" s="40">
        <f t="shared" si="7"/>
        <v>4741.67</v>
      </c>
      <c r="J38" s="31" t="str">
        <f t="shared" si="8"/>
        <v>Penurunan IU</v>
      </c>
      <c r="K38" s="42"/>
      <c r="O38" s="20" t="s">
        <v>42</v>
      </c>
      <c r="P38" t="s">
        <v>43</v>
      </c>
      <c r="Q38" t="s">
        <v>44</v>
      </c>
      <c r="R38" t="s">
        <v>45</v>
      </c>
      <c r="S38" t="s">
        <v>46</v>
      </c>
      <c r="T38" t="s">
        <v>47</v>
      </c>
      <c r="U38" t="s">
        <v>48</v>
      </c>
      <c r="V38" s="19" t="s">
        <v>49</v>
      </c>
      <c r="AG38" s="20">
        <v>5</v>
      </c>
      <c r="AH38" t="s">
        <v>130</v>
      </c>
      <c r="AI38" t="s">
        <v>131</v>
      </c>
      <c r="AJ38" t="s">
        <v>123</v>
      </c>
      <c r="AK38" s="10">
        <v>22</v>
      </c>
      <c r="AL38" t="s">
        <v>5</v>
      </c>
      <c r="AM38" s="10">
        <v>6353.9448000000002</v>
      </c>
      <c r="AN38" s="19">
        <v>139786.7856</v>
      </c>
      <c r="AX38" s="20" t="s">
        <v>2</v>
      </c>
      <c r="AY38" t="s">
        <v>3</v>
      </c>
      <c r="AZ38" t="s">
        <v>4</v>
      </c>
      <c r="BA38" s="10">
        <v>0.7</v>
      </c>
      <c r="BB38" t="s">
        <v>5</v>
      </c>
      <c r="BC38" s="10">
        <v>21000</v>
      </c>
      <c r="BD38" s="19">
        <v>14700</v>
      </c>
    </row>
    <row r="39" spans="1:56" ht="15" thickBot="1" x14ac:dyDescent="0.4">
      <c r="A39" s="43" t="str">
        <v>OTH00208</v>
      </c>
      <c r="B39" s="32" t="str">
        <f t="shared" si="0"/>
        <v>STICKER PIPI MERAH PUTIH</v>
      </c>
      <c r="C39" s="32" t="str">
        <f t="shared" si="1"/>
        <v>OTHERS</v>
      </c>
      <c r="D39" s="32" t="str">
        <f t="shared" si="2"/>
        <v>lembar</v>
      </c>
      <c r="E39" s="52">
        <f t="shared" si="3"/>
        <v>1291.2</v>
      </c>
      <c r="F39" s="51">
        <f t="shared" si="4"/>
        <v>3</v>
      </c>
      <c r="G39" s="51" t="str">
        <f t="shared" si="5"/>
        <v>0</v>
      </c>
      <c r="H39" s="51">
        <f t="shared" si="6"/>
        <v>3</v>
      </c>
      <c r="I39" s="52">
        <f t="shared" si="7"/>
        <v>3873.6000000000004</v>
      </c>
      <c r="J39" s="32" t="str">
        <f t="shared" si="8"/>
        <v>Penurunan IU</v>
      </c>
      <c r="K39" s="46"/>
      <c r="O39" s="20">
        <v>1</v>
      </c>
      <c r="P39" t="s">
        <v>2</v>
      </c>
      <c r="Q39" t="s">
        <v>3</v>
      </c>
      <c r="R39" t="s">
        <v>4</v>
      </c>
      <c r="S39" s="10">
        <v>0.7</v>
      </c>
      <c r="T39" t="s">
        <v>5</v>
      </c>
      <c r="U39" s="10">
        <v>21000</v>
      </c>
      <c r="V39" s="19">
        <v>14700</v>
      </c>
      <c r="AG39" s="20">
        <v>6</v>
      </c>
      <c r="AH39" t="s">
        <v>132</v>
      </c>
      <c r="AI39" t="s">
        <v>133</v>
      </c>
      <c r="AJ39" t="s">
        <v>123</v>
      </c>
      <c r="AK39" s="10">
        <v>1</v>
      </c>
      <c r="AL39" t="s">
        <v>134</v>
      </c>
      <c r="AM39" s="10">
        <v>12999.2924</v>
      </c>
      <c r="AN39" s="19">
        <v>12999.2924</v>
      </c>
      <c r="AX39" s="20" t="s">
        <v>13</v>
      </c>
      <c r="AY39" t="s">
        <v>14</v>
      </c>
      <c r="AZ39" t="s">
        <v>4</v>
      </c>
      <c r="BA39" s="10">
        <v>0.1</v>
      </c>
      <c r="BB39" t="s">
        <v>15</v>
      </c>
      <c r="BC39" s="10">
        <v>77700</v>
      </c>
      <c r="BD39" s="19">
        <v>7770</v>
      </c>
    </row>
    <row r="40" spans="1:56" ht="15" thickTop="1" x14ac:dyDescent="0.35">
      <c r="O40" s="20">
        <v>2</v>
      </c>
      <c r="P40" t="s">
        <v>13</v>
      </c>
      <c r="Q40" t="s">
        <v>14</v>
      </c>
      <c r="R40" t="s">
        <v>4</v>
      </c>
      <c r="S40" s="10">
        <v>0.1</v>
      </c>
      <c r="T40" t="s">
        <v>15</v>
      </c>
      <c r="U40" s="10">
        <v>77700</v>
      </c>
      <c r="V40" s="19">
        <v>7770</v>
      </c>
      <c r="AG40" s="20">
        <v>7</v>
      </c>
      <c r="AH40" t="s">
        <v>139</v>
      </c>
      <c r="AI40" t="s">
        <v>140</v>
      </c>
      <c r="AJ40" t="s">
        <v>123</v>
      </c>
      <c r="AK40" s="10">
        <v>2</v>
      </c>
      <c r="AL40" t="s">
        <v>5</v>
      </c>
      <c r="AM40" s="10">
        <v>42000</v>
      </c>
      <c r="AN40" s="19">
        <v>84000</v>
      </c>
      <c r="AX40" s="20" t="s">
        <v>33</v>
      </c>
      <c r="AY40" t="s">
        <v>34</v>
      </c>
      <c r="AZ40" t="s">
        <v>4</v>
      </c>
      <c r="BA40" s="10">
        <v>0.5</v>
      </c>
      <c r="BB40" t="s">
        <v>30</v>
      </c>
      <c r="BC40" s="10">
        <v>12998.433500000001</v>
      </c>
      <c r="BD40" s="19">
        <v>6499.2167499999996</v>
      </c>
    </row>
    <row r="41" spans="1:56" x14ac:dyDescent="0.35">
      <c r="O41" s="20">
        <v>3</v>
      </c>
      <c r="P41" t="s">
        <v>33</v>
      </c>
      <c r="Q41" t="s">
        <v>34</v>
      </c>
      <c r="R41" t="s">
        <v>4</v>
      </c>
      <c r="S41" s="10">
        <v>0.5</v>
      </c>
      <c r="T41" t="s">
        <v>30</v>
      </c>
      <c r="U41" s="10">
        <v>12998.433500000001</v>
      </c>
      <c r="V41" s="19">
        <v>6499.2167499999996</v>
      </c>
      <c r="AG41" s="20">
        <v>8</v>
      </c>
      <c r="AH41" t="s">
        <v>145</v>
      </c>
      <c r="AI41" t="s">
        <v>146</v>
      </c>
      <c r="AJ41" t="s">
        <v>123</v>
      </c>
      <c r="AK41" s="10">
        <v>22</v>
      </c>
      <c r="AL41" t="s">
        <v>5</v>
      </c>
      <c r="AM41" s="10">
        <v>4604.1441999999997</v>
      </c>
      <c r="AN41" s="19">
        <v>101291.1724</v>
      </c>
      <c r="AX41" s="20" t="s">
        <v>53</v>
      </c>
      <c r="AY41" t="s">
        <v>54</v>
      </c>
      <c r="AZ41" t="s">
        <v>41</v>
      </c>
      <c r="BA41" s="10">
        <v>1</v>
      </c>
      <c r="BB41" t="s">
        <v>20</v>
      </c>
      <c r="BC41" s="10">
        <v>4810.9282000000003</v>
      </c>
      <c r="BD41" s="19">
        <v>4810.9282000000003</v>
      </c>
    </row>
    <row r="42" spans="1:56" x14ac:dyDescent="0.35">
      <c r="O42" s="20">
        <v>4</v>
      </c>
      <c r="P42" t="s">
        <v>53</v>
      </c>
      <c r="Q42" t="s">
        <v>54</v>
      </c>
      <c r="R42" t="s">
        <v>41</v>
      </c>
      <c r="S42" s="10">
        <v>1</v>
      </c>
      <c r="T42" t="s">
        <v>20</v>
      </c>
      <c r="U42" s="10">
        <v>4810.9282000000003</v>
      </c>
      <c r="V42" s="19">
        <v>4810.9282000000003</v>
      </c>
      <c r="AG42" s="20">
        <v>9</v>
      </c>
      <c r="AH42" t="s">
        <v>748</v>
      </c>
      <c r="AI42" t="s">
        <v>749</v>
      </c>
      <c r="AJ42" t="s">
        <v>151</v>
      </c>
      <c r="AK42">
        <v>75</v>
      </c>
      <c r="AL42" t="s">
        <v>30</v>
      </c>
      <c r="AM42">
        <v>1090.0398</v>
      </c>
      <c r="AN42" s="19">
        <v>81752.985000000001</v>
      </c>
      <c r="AX42" s="20" t="s">
        <v>57</v>
      </c>
      <c r="AY42" t="s">
        <v>58</v>
      </c>
      <c r="AZ42" t="s">
        <v>41</v>
      </c>
      <c r="BA42">
        <v>2.8</v>
      </c>
      <c r="BB42" t="s">
        <v>5</v>
      </c>
      <c r="BC42">
        <v>7698.9157999999998</v>
      </c>
      <c r="BD42" s="19">
        <v>21556.964240000001</v>
      </c>
    </row>
    <row r="43" spans="1:56" ht="15" thickBot="1" x14ac:dyDescent="0.4">
      <c r="O43" s="20">
        <v>5</v>
      </c>
      <c r="P43" t="s">
        <v>57</v>
      </c>
      <c r="Q43" t="s">
        <v>58</v>
      </c>
      <c r="R43" t="s">
        <v>41</v>
      </c>
      <c r="S43">
        <v>2.8</v>
      </c>
      <c r="T43" t="s">
        <v>5</v>
      </c>
      <c r="U43">
        <v>7698.9157999999998</v>
      </c>
      <c r="V43" s="19">
        <v>21556.964240000001</v>
      </c>
      <c r="AG43" s="22" t="s">
        <v>223</v>
      </c>
      <c r="AH43" s="23" t="s">
        <v>223</v>
      </c>
      <c r="AI43" s="23" t="s">
        <v>223</v>
      </c>
      <c r="AJ43" s="23" t="s">
        <v>223</v>
      </c>
      <c r="AK43" s="23" t="s">
        <v>223</v>
      </c>
      <c r="AL43" s="23" t="s">
        <v>223</v>
      </c>
      <c r="AM43" s="23" t="s">
        <v>224</v>
      </c>
      <c r="AN43" s="24">
        <v>910175.62802000018</v>
      </c>
      <c r="AX43" s="20" t="s">
        <v>316</v>
      </c>
      <c r="AY43" t="s">
        <v>317</v>
      </c>
      <c r="AZ43" t="s">
        <v>117</v>
      </c>
      <c r="BA43">
        <v>1</v>
      </c>
      <c r="BB43" t="s">
        <v>20</v>
      </c>
      <c r="BC43">
        <v>290150</v>
      </c>
      <c r="BD43" s="19">
        <v>290150</v>
      </c>
    </row>
    <row r="44" spans="1:56" x14ac:dyDescent="0.35">
      <c r="O44" s="20" t="s">
        <v>223</v>
      </c>
      <c r="P44" t="s">
        <v>223</v>
      </c>
      <c r="Q44" t="s">
        <v>223</v>
      </c>
      <c r="R44" t="s">
        <v>223</v>
      </c>
      <c r="S44" t="s">
        <v>223</v>
      </c>
      <c r="T44" t="s">
        <v>223</v>
      </c>
      <c r="U44" t="s">
        <v>224</v>
      </c>
      <c r="V44" s="19">
        <v>55337.109190000003</v>
      </c>
      <c r="AX44" s="20" t="s">
        <v>115</v>
      </c>
      <c r="AY44" t="s">
        <v>116</v>
      </c>
      <c r="AZ44" t="s">
        <v>117</v>
      </c>
      <c r="BA44" s="10">
        <v>300</v>
      </c>
      <c r="BB44" t="s">
        <v>52</v>
      </c>
      <c r="BC44" s="10">
        <v>656.66700000000003</v>
      </c>
      <c r="BD44" s="19">
        <v>197000.1</v>
      </c>
    </row>
    <row r="45" spans="1:56" ht="15" thickBot="1" x14ac:dyDescent="0.4">
      <c r="O45" s="22"/>
      <c r="P45" s="23"/>
      <c r="Q45" s="23"/>
      <c r="R45" s="23"/>
      <c r="S45" s="23"/>
      <c r="T45" s="23"/>
      <c r="U45" s="23"/>
      <c r="V45" s="24"/>
      <c r="AX45" s="20" t="s">
        <v>121</v>
      </c>
      <c r="AY45" t="s">
        <v>122</v>
      </c>
      <c r="AZ45" t="s">
        <v>123</v>
      </c>
      <c r="BA45" s="10">
        <v>2</v>
      </c>
      <c r="BB45" t="s">
        <v>5</v>
      </c>
      <c r="BC45" s="10">
        <v>5249.6674000000003</v>
      </c>
      <c r="BD45" s="19">
        <v>10499.334800000001</v>
      </c>
    </row>
    <row r="46" spans="1:56" x14ac:dyDescent="0.35">
      <c r="AG46" s="87" t="s">
        <v>0</v>
      </c>
      <c r="AH46" s="87"/>
      <c r="AI46" s="87"/>
      <c r="AJ46" s="87"/>
      <c r="AK46" s="87"/>
      <c r="AX46" s="20" t="s">
        <v>746</v>
      </c>
      <c r="AY46" t="s">
        <v>747</v>
      </c>
      <c r="AZ46" t="s">
        <v>123</v>
      </c>
      <c r="BA46" s="10">
        <v>0.3</v>
      </c>
      <c r="BB46" t="s">
        <v>5</v>
      </c>
      <c r="BC46" s="10">
        <v>24714.2857</v>
      </c>
      <c r="BD46" s="19">
        <v>7414.2857100000001</v>
      </c>
    </row>
    <row r="47" spans="1:56" ht="15" thickBot="1" x14ac:dyDescent="0.4">
      <c r="AG47" s="87" t="s">
        <v>1</v>
      </c>
      <c r="AH47" s="87"/>
      <c r="AI47" s="87"/>
      <c r="AJ47" s="87"/>
      <c r="AK47" s="87"/>
      <c r="AX47" s="20" t="s">
        <v>124</v>
      </c>
      <c r="AY47" t="s">
        <v>125</v>
      </c>
      <c r="AZ47" t="s">
        <v>123</v>
      </c>
      <c r="BA47" s="10">
        <v>1</v>
      </c>
      <c r="BB47" t="s">
        <v>5</v>
      </c>
      <c r="BC47" s="10">
        <v>5401.4191999999994</v>
      </c>
      <c r="BD47" s="19">
        <v>5401.4192000000003</v>
      </c>
    </row>
    <row r="48" spans="1:56" x14ac:dyDescent="0.35">
      <c r="O48" s="84" t="s">
        <v>0</v>
      </c>
      <c r="P48" s="85"/>
      <c r="Q48" s="85"/>
      <c r="R48" s="85"/>
      <c r="S48" s="85"/>
      <c r="T48" s="16"/>
      <c r="U48" s="16"/>
      <c r="V48" s="17"/>
      <c r="AX48" s="20" t="s">
        <v>130</v>
      </c>
      <c r="AY48" t="s">
        <v>131</v>
      </c>
      <c r="AZ48" t="s">
        <v>123</v>
      </c>
      <c r="BA48" s="10">
        <v>18</v>
      </c>
      <c r="BB48" t="s">
        <v>5</v>
      </c>
      <c r="BC48" s="10">
        <v>6355.2277000000004</v>
      </c>
      <c r="BD48" s="19">
        <v>114394.0986</v>
      </c>
    </row>
    <row r="49" spans="15:56" x14ac:dyDescent="0.35">
      <c r="O49" s="82" t="s">
        <v>1</v>
      </c>
      <c r="P49" s="87"/>
      <c r="Q49" s="87"/>
      <c r="R49" s="87"/>
      <c r="S49" s="87"/>
      <c r="V49" s="19"/>
      <c r="AG49" s="87" t="s">
        <v>10</v>
      </c>
      <c r="AH49" s="87" t="s">
        <v>11</v>
      </c>
      <c r="AI49" t="s">
        <v>758</v>
      </c>
      <c r="AX49" s="20" t="s">
        <v>132</v>
      </c>
      <c r="AY49" t="s">
        <v>133</v>
      </c>
      <c r="AZ49" t="s">
        <v>123</v>
      </c>
      <c r="BA49" s="10">
        <v>0.5</v>
      </c>
      <c r="BB49" t="s">
        <v>134</v>
      </c>
      <c r="BC49" s="10">
        <v>12999.2924</v>
      </c>
      <c r="BD49" s="19">
        <v>6499.6462000000001</v>
      </c>
    </row>
    <row r="50" spans="15:56" x14ac:dyDescent="0.35">
      <c r="O50" s="20"/>
      <c r="V50" s="19"/>
      <c r="AG50" s="87" t="s">
        <v>16</v>
      </c>
      <c r="AH50" s="87" t="s">
        <v>11</v>
      </c>
      <c r="AI50" t="s">
        <v>17</v>
      </c>
      <c r="AX50" s="20" t="s">
        <v>139</v>
      </c>
      <c r="AY50" t="s">
        <v>140</v>
      </c>
      <c r="AZ50" t="s">
        <v>123</v>
      </c>
      <c r="BA50" s="10">
        <v>1</v>
      </c>
      <c r="BB50" t="s">
        <v>5</v>
      </c>
      <c r="BC50" s="10">
        <v>42481.9277</v>
      </c>
      <c r="BD50" s="19">
        <v>42481.9277</v>
      </c>
    </row>
    <row r="51" spans="15:56" x14ac:dyDescent="0.35">
      <c r="O51" s="82" t="s">
        <v>10</v>
      </c>
      <c r="P51" s="87" t="s">
        <v>11</v>
      </c>
      <c r="Q51" t="s">
        <v>759</v>
      </c>
      <c r="V51" s="19"/>
      <c r="AG51" s="87" t="s">
        <v>21</v>
      </c>
      <c r="AH51" s="87" t="s">
        <v>11</v>
      </c>
      <c r="AI51" t="s">
        <v>739</v>
      </c>
      <c r="AX51" s="20" t="s">
        <v>141</v>
      </c>
      <c r="AY51" t="s">
        <v>142</v>
      </c>
      <c r="AZ51" t="s">
        <v>123</v>
      </c>
      <c r="BA51" s="10">
        <v>1.3</v>
      </c>
      <c r="BB51" t="s">
        <v>5</v>
      </c>
      <c r="BC51" s="10">
        <v>41823.576200000003</v>
      </c>
      <c r="BD51" s="19">
        <v>54370.649060000003</v>
      </c>
    </row>
    <row r="52" spans="15:56" x14ac:dyDescent="0.35">
      <c r="O52" s="82" t="s">
        <v>16</v>
      </c>
      <c r="P52" s="87" t="s">
        <v>11</v>
      </c>
      <c r="Q52" t="s">
        <v>211</v>
      </c>
      <c r="V52" s="19"/>
      <c r="AG52" s="87" t="s">
        <v>26</v>
      </c>
      <c r="AH52" s="87" t="s">
        <v>11</v>
      </c>
      <c r="AI52" t="s">
        <v>760</v>
      </c>
      <c r="AX52" s="20" t="s">
        <v>145</v>
      </c>
      <c r="AY52" t="s">
        <v>146</v>
      </c>
      <c r="AZ52" t="s">
        <v>123</v>
      </c>
      <c r="BA52" s="10">
        <v>20</v>
      </c>
      <c r="BB52" t="s">
        <v>5</v>
      </c>
      <c r="BC52" s="10">
        <v>4604.1441999999997</v>
      </c>
      <c r="BD52" s="19">
        <v>92082.884000000005</v>
      </c>
    </row>
    <row r="53" spans="15:56" x14ac:dyDescent="0.35">
      <c r="O53" s="82" t="s">
        <v>21</v>
      </c>
      <c r="P53" s="87" t="s">
        <v>11</v>
      </c>
      <c r="Q53" t="s">
        <v>739</v>
      </c>
      <c r="V53" s="19"/>
      <c r="AG53" s="87" t="s">
        <v>31</v>
      </c>
      <c r="AH53" s="87" t="s">
        <v>11</v>
      </c>
      <c r="AI53" t="s">
        <v>109</v>
      </c>
      <c r="AX53" s="20" t="s">
        <v>748</v>
      </c>
      <c r="AY53" t="s">
        <v>749</v>
      </c>
      <c r="AZ53" t="s">
        <v>151</v>
      </c>
      <c r="BA53" s="10">
        <v>70</v>
      </c>
      <c r="BB53" t="s">
        <v>30</v>
      </c>
      <c r="BC53" s="10">
        <v>1090.0038999999999</v>
      </c>
      <c r="BD53" s="19">
        <v>76300.273000000001</v>
      </c>
    </row>
    <row r="54" spans="15:56" x14ac:dyDescent="0.35">
      <c r="O54" s="82" t="s">
        <v>26</v>
      </c>
      <c r="P54" s="87" t="s">
        <v>11</v>
      </c>
      <c r="Q54" t="s">
        <v>761</v>
      </c>
      <c r="V54" s="19"/>
      <c r="AG54" s="87" t="s">
        <v>35</v>
      </c>
      <c r="AH54" s="87" t="s">
        <v>11</v>
      </c>
      <c r="AI54" t="s">
        <v>762</v>
      </c>
      <c r="AX54" s="20" t="s">
        <v>752</v>
      </c>
      <c r="AY54" t="s">
        <v>753</v>
      </c>
      <c r="AZ54" t="s">
        <v>151</v>
      </c>
      <c r="BA54" s="10">
        <v>1</v>
      </c>
      <c r="BB54" t="s">
        <v>20</v>
      </c>
      <c r="BC54" s="10">
        <v>4741.67</v>
      </c>
      <c r="BD54" s="19">
        <v>4741.67</v>
      </c>
    </row>
    <row r="55" spans="15:56" ht="15" thickBot="1" x14ac:dyDescent="0.4">
      <c r="O55" s="82" t="s">
        <v>31</v>
      </c>
      <c r="P55" s="87" t="s">
        <v>11</v>
      </c>
      <c r="Q55" t="s">
        <v>186</v>
      </c>
      <c r="V55" s="19"/>
      <c r="AX55" s="22" t="s">
        <v>276</v>
      </c>
      <c r="AY55" s="23" t="s">
        <v>277</v>
      </c>
      <c r="AZ55" s="23" t="s">
        <v>151</v>
      </c>
      <c r="BA55" s="23">
        <v>3</v>
      </c>
      <c r="BB55" s="23" t="s">
        <v>52</v>
      </c>
      <c r="BC55" s="23">
        <v>1291.2</v>
      </c>
      <c r="BD55" s="24">
        <v>3873.6</v>
      </c>
    </row>
    <row r="56" spans="15:56" x14ac:dyDescent="0.35">
      <c r="O56" s="82" t="s">
        <v>35</v>
      </c>
      <c r="P56" s="87" t="s">
        <v>11</v>
      </c>
      <c r="Q56" t="s">
        <v>763</v>
      </c>
      <c r="V56" s="19"/>
      <c r="AG56" t="s">
        <v>42</v>
      </c>
      <c r="AH56" t="s">
        <v>43</v>
      </c>
      <c r="AI56" t="s">
        <v>44</v>
      </c>
      <c r="AJ56" t="s">
        <v>45</v>
      </c>
      <c r="AK56" t="s">
        <v>46</v>
      </c>
      <c r="AL56" t="s">
        <v>47</v>
      </c>
      <c r="AM56" t="s">
        <v>48</v>
      </c>
      <c r="AN56" t="s">
        <v>49</v>
      </c>
    </row>
    <row r="57" spans="15:56" x14ac:dyDescent="0.35">
      <c r="O57" s="20"/>
      <c r="V57" s="19"/>
      <c r="AG57">
        <v>1</v>
      </c>
      <c r="AH57" t="s">
        <v>70</v>
      </c>
      <c r="AI57" t="s">
        <v>71</v>
      </c>
      <c r="AJ57" t="s">
        <v>67</v>
      </c>
      <c r="AK57" s="10">
        <v>2</v>
      </c>
      <c r="AL57" t="s">
        <v>5</v>
      </c>
      <c r="AM57" s="10">
        <v>9000</v>
      </c>
      <c r="AN57">
        <v>18000</v>
      </c>
    </row>
    <row r="58" spans="15:56" x14ac:dyDescent="0.35">
      <c r="O58" s="20" t="s">
        <v>42</v>
      </c>
      <c r="P58" t="s">
        <v>43</v>
      </c>
      <c r="Q58" t="s">
        <v>44</v>
      </c>
      <c r="R58" t="s">
        <v>45</v>
      </c>
      <c r="S58" t="s">
        <v>46</v>
      </c>
      <c r="T58" t="s">
        <v>47</v>
      </c>
      <c r="U58" t="s">
        <v>48</v>
      </c>
      <c r="V58" s="19" t="s">
        <v>49</v>
      </c>
      <c r="AG58">
        <v>2</v>
      </c>
      <c r="AH58" t="s">
        <v>72</v>
      </c>
      <c r="AI58" t="s">
        <v>73</v>
      </c>
      <c r="AJ58" t="s">
        <v>67</v>
      </c>
      <c r="AK58" s="10">
        <v>1</v>
      </c>
      <c r="AL58" t="s">
        <v>74</v>
      </c>
      <c r="AM58" s="10">
        <v>3013.7363</v>
      </c>
      <c r="AN58">
        <v>3013.7363</v>
      </c>
    </row>
    <row r="59" spans="15:56" x14ac:dyDescent="0.35">
      <c r="O59" s="20">
        <v>1</v>
      </c>
      <c r="P59" t="s">
        <v>316</v>
      </c>
      <c r="Q59" t="s">
        <v>317</v>
      </c>
      <c r="R59" t="s">
        <v>117</v>
      </c>
      <c r="S59">
        <v>1</v>
      </c>
      <c r="T59" t="s">
        <v>20</v>
      </c>
      <c r="U59">
        <v>290150</v>
      </c>
      <c r="V59" s="19">
        <v>290150</v>
      </c>
      <c r="AG59">
        <v>3</v>
      </c>
      <c r="AH59" t="s">
        <v>79</v>
      </c>
      <c r="AI59" t="s">
        <v>80</v>
      </c>
      <c r="AJ59" t="s">
        <v>67</v>
      </c>
      <c r="AK59" s="10">
        <v>1</v>
      </c>
      <c r="AL59" t="s">
        <v>20</v>
      </c>
      <c r="AM59" s="10">
        <v>15000</v>
      </c>
      <c r="AN59">
        <v>15000</v>
      </c>
    </row>
    <row r="60" spans="15:56" ht="15" thickBot="1" x14ac:dyDescent="0.4">
      <c r="O60" s="22" t="s">
        <v>223</v>
      </c>
      <c r="P60" s="23" t="s">
        <v>223</v>
      </c>
      <c r="Q60" s="23" t="s">
        <v>223</v>
      </c>
      <c r="R60" s="23" t="s">
        <v>223</v>
      </c>
      <c r="S60" s="23" t="s">
        <v>223</v>
      </c>
      <c r="T60" s="23" t="s">
        <v>223</v>
      </c>
      <c r="U60" s="23" t="s">
        <v>224</v>
      </c>
      <c r="V60" s="24">
        <v>290150</v>
      </c>
      <c r="AG60">
        <v>4</v>
      </c>
      <c r="AH60" t="s">
        <v>393</v>
      </c>
      <c r="AI60" t="s">
        <v>394</v>
      </c>
      <c r="AJ60" t="s">
        <v>67</v>
      </c>
      <c r="AK60" s="10">
        <v>1</v>
      </c>
      <c r="AL60" t="s">
        <v>20</v>
      </c>
      <c r="AM60" s="10">
        <v>12500</v>
      </c>
      <c r="AN60">
        <v>12500</v>
      </c>
    </row>
    <row r="61" spans="15:56" x14ac:dyDescent="0.35">
      <c r="AG61">
        <v>5</v>
      </c>
      <c r="AH61" t="s">
        <v>357</v>
      </c>
      <c r="AI61" t="s">
        <v>358</v>
      </c>
      <c r="AJ61" t="s">
        <v>67</v>
      </c>
      <c r="AK61" s="10">
        <v>0.1</v>
      </c>
      <c r="AL61" t="s">
        <v>5</v>
      </c>
      <c r="AM61" s="10">
        <v>29000</v>
      </c>
      <c r="AN61">
        <v>2900</v>
      </c>
    </row>
    <row r="62" spans="15:56" ht="15" thickBot="1" x14ac:dyDescent="0.4">
      <c r="AG62">
        <v>6</v>
      </c>
      <c r="AH62" t="s">
        <v>246</v>
      </c>
      <c r="AI62" t="s">
        <v>247</v>
      </c>
      <c r="AJ62" t="s">
        <v>67</v>
      </c>
      <c r="AK62" s="10">
        <v>1</v>
      </c>
      <c r="AL62" t="s">
        <v>5</v>
      </c>
      <c r="AM62" s="10">
        <v>1419.2016000000001</v>
      </c>
      <c r="AN62">
        <v>1419.2016000000001</v>
      </c>
    </row>
    <row r="63" spans="15:56" x14ac:dyDescent="0.35">
      <c r="O63" s="84" t="s">
        <v>0</v>
      </c>
      <c r="P63" s="85"/>
      <c r="Q63" s="85"/>
      <c r="R63" s="85"/>
      <c r="S63" s="85"/>
      <c r="T63" s="16"/>
      <c r="U63" s="16"/>
      <c r="V63" s="17"/>
      <c r="AG63">
        <v>7</v>
      </c>
      <c r="AH63" t="s">
        <v>92</v>
      </c>
      <c r="AI63" t="s">
        <v>93</v>
      </c>
      <c r="AJ63" t="s">
        <v>67</v>
      </c>
      <c r="AK63" s="10">
        <v>11</v>
      </c>
      <c r="AL63" t="s">
        <v>94</v>
      </c>
      <c r="AM63" s="10">
        <v>11852.6167</v>
      </c>
      <c r="AN63">
        <v>130378.7837</v>
      </c>
    </row>
    <row r="64" spans="15:56" x14ac:dyDescent="0.35">
      <c r="O64" s="82" t="s">
        <v>1</v>
      </c>
      <c r="P64" s="87"/>
      <c r="Q64" s="87"/>
      <c r="R64" s="87"/>
      <c r="S64" s="87"/>
      <c r="V64" s="19"/>
      <c r="AG64">
        <v>8</v>
      </c>
      <c r="AH64" t="s">
        <v>107</v>
      </c>
      <c r="AI64" t="s">
        <v>108</v>
      </c>
      <c r="AJ64" t="s">
        <v>67</v>
      </c>
      <c r="AK64" s="10">
        <v>0.5</v>
      </c>
      <c r="AL64" t="s">
        <v>5</v>
      </c>
      <c r="AM64" s="10">
        <v>16250</v>
      </c>
      <c r="AN64">
        <v>8125</v>
      </c>
    </row>
    <row r="65" spans="15:40" x14ac:dyDescent="0.35">
      <c r="O65" s="20"/>
      <c r="V65" s="19"/>
      <c r="AG65">
        <v>9</v>
      </c>
      <c r="AH65" t="s">
        <v>744</v>
      </c>
      <c r="AI65" t="s">
        <v>745</v>
      </c>
      <c r="AJ65" t="s">
        <v>67</v>
      </c>
      <c r="AK65">
        <v>2</v>
      </c>
      <c r="AL65" t="s">
        <v>52</v>
      </c>
      <c r="AM65">
        <v>11227.2727</v>
      </c>
      <c r="AN65">
        <v>22454.545399999999</v>
      </c>
    </row>
    <row r="66" spans="15:40" x14ac:dyDescent="0.35">
      <c r="O66" s="82" t="s">
        <v>10</v>
      </c>
      <c r="P66" s="87" t="s">
        <v>11</v>
      </c>
      <c r="Q66" t="s">
        <v>764</v>
      </c>
      <c r="V66" s="19"/>
      <c r="AG66" t="s">
        <v>223</v>
      </c>
      <c r="AH66" t="s">
        <v>223</v>
      </c>
      <c r="AI66" t="s">
        <v>223</v>
      </c>
      <c r="AJ66" t="s">
        <v>223</v>
      </c>
      <c r="AK66" t="s">
        <v>223</v>
      </c>
      <c r="AL66" t="s">
        <v>223</v>
      </c>
      <c r="AM66" t="s">
        <v>224</v>
      </c>
      <c r="AN66">
        <v>213791.26699999999</v>
      </c>
    </row>
    <row r="67" spans="15:40" x14ac:dyDescent="0.35">
      <c r="O67" s="82" t="s">
        <v>16</v>
      </c>
      <c r="P67" s="87" t="s">
        <v>11</v>
      </c>
      <c r="Q67" t="s">
        <v>211</v>
      </c>
      <c r="V67" s="19"/>
    </row>
    <row r="68" spans="15:40" x14ac:dyDescent="0.35">
      <c r="O68" s="82" t="s">
        <v>21</v>
      </c>
      <c r="P68" s="87" t="s">
        <v>11</v>
      </c>
      <c r="Q68" t="s">
        <v>739</v>
      </c>
      <c r="V68" s="19"/>
    </row>
    <row r="69" spans="15:40" x14ac:dyDescent="0.35">
      <c r="O69" s="82" t="s">
        <v>26</v>
      </c>
      <c r="P69" s="87" t="s">
        <v>11</v>
      </c>
      <c r="Q69" t="s">
        <v>765</v>
      </c>
      <c r="V69" s="19"/>
    </row>
    <row r="70" spans="15:40" x14ac:dyDescent="0.35">
      <c r="O70" s="82" t="s">
        <v>31</v>
      </c>
      <c r="P70" s="87" t="s">
        <v>11</v>
      </c>
      <c r="Q70" t="s">
        <v>186</v>
      </c>
      <c r="V70" s="19"/>
    </row>
    <row r="71" spans="15:40" x14ac:dyDescent="0.35">
      <c r="O71" s="82" t="s">
        <v>35</v>
      </c>
      <c r="P71" s="87" t="s">
        <v>11</v>
      </c>
      <c r="Q71" t="s">
        <v>766</v>
      </c>
      <c r="V71" s="19"/>
    </row>
    <row r="72" spans="15:40" x14ac:dyDescent="0.35">
      <c r="O72" s="20"/>
      <c r="V72" s="19"/>
    </row>
    <row r="73" spans="15:40" x14ac:dyDescent="0.35">
      <c r="O73" s="20" t="s">
        <v>42</v>
      </c>
      <c r="P73" t="s">
        <v>43</v>
      </c>
      <c r="Q73" t="s">
        <v>44</v>
      </c>
      <c r="R73" t="s">
        <v>45</v>
      </c>
      <c r="S73" t="s">
        <v>46</v>
      </c>
      <c r="T73" t="s">
        <v>47</v>
      </c>
      <c r="U73" t="s">
        <v>48</v>
      </c>
      <c r="V73" s="19" t="s">
        <v>49</v>
      </c>
    </row>
    <row r="74" spans="15:40" x14ac:dyDescent="0.35">
      <c r="O74" s="20">
        <v>1</v>
      </c>
      <c r="P74" t="s">
        <v>115</v>
      </c>
      <c r="Q74" t="s">
        <v>116</v>
      </c>
      <c r="R74" t="s">
        <v>117</v>
      </c>
      <c r="S74" s="10">
        <v>300</v>
      </c>
      <c r="T74" t="s">
        <v>52</v>
      </c>
      <c r="U74" s="10">
        <v>656.66700000000003</v>
      </c>
      <c r="V74" s="19">
        <v>197000.1</v>
      </c>
    </row>
    <row r="75" spans="15:40" x14ac:dyDescent="0.35">
      <c r="O75" s="20">
        <v>2</v>
      </c>
      <c r="P75" t="s">
        <v>121</v>
      </c>
      <c r="Q75" t="s">
        <v>122</v>
      </c>
      <c r="R75" t="s">
        <v>123</v>
      </c>
      <c r="S75" s="10">
        <v>2</v>
      </c>
      <c r="T75" t="s">
        <v>5</v>
      </c>
      <c r="U75" s="10">
        <v>5249.6674000000003</v>
      </c>
      <c r="V75" s="19">
        <v>10499.334800000001</v>
      </c>
    </row>
    <row r="76" spans="15:40" x14ac:dyDescent="0.35">
      <c r="O76" s="20">
        <v>3</v>
      </c>
      <c r="P76" t="s">
        <v>746</v>
      </c>
      <c r="Q76" t="s">
        <v>747</v>
      </c>
      <c r="R76" t="s">
        <v>123</v>
      </c>
      <c r="S76" s="10">
        <v>0.3</v>
      </c>
      <c r="T76" t="s">
        <v>5</v>
      </c>
      <c r="U76" s="10">
        <v>24714.2857</v>
      </c>
      <c r="V76" s="19">
        <v>7414.2857100000001</v>
      </c>
    </row>
    <row r="77" spans="15:40" x14ac:dyDescent="0.35">
      <c r="O77" s="20">
        <v>4</v>
      </c>
      <c r="P77" t="s">
        <v>124</v>
      </c>
      <c r="Q77" t="s">
        <v>125</v>
      </c>
      <c r="R77" t="s">
        <v>123</v>
      </c>
      <c r="S77" s="10">
        <v>1</v>
      </c>
      <c r="T77" t="s">
        <v>5</v>
      </c>
      <c r="U77" s="10">
        <v>5401.4191999999994</v>
      </c>
      <c r="V77" s="19">
        <v>5401.4192000000003</v>
      </c>
    </row>
    <row r="78" spans="15:40" x14ac:dyDescent="0.35">
      <c r="O78" s="20">
        <v>5</v>
      </c>
      <c r="P78" t="s">
        <v>130</v>
      </c>
      <c r="Q78" t="s">
        <v>131</v>
      </c>
      <c r="R78" t="s">
        <v>123</v>
      </c>
      <c r="S78" s="10">
        <v>18</v>
      </c>
      <c r="T78" t="s">
        <v>5</v>
      </c>
      <c r="U78" s="10">
        <v>6355.2277000000004</v>
      </c>
      <c r="V78" s="19">
        <v>114394.0986</v>
      </c>
    </row>
    <row r="79" spans="15:40" x14ac:dyDescent="0.35">
      <c r="O79" s="20">
        <v>6</v>
      </c>
      <c r="P79" t="s">
        <v>132</v>
      </c>
      <c r="Q79" t="s">
        <v>133</v>
      </c>
      <c r="R79" t="s">
        <v>123</v>
      </c>
      <c r="S79" s="10">
        <v>0.5</v>
      </c>
      <c r="T79" t="s">
        <v>134</v>
      </c>
      <c r="U79" s="10">
        <v>12999.2924</v>
      </c>
      <c r="V79" s="19">
        <v>6499.6462000000001</v>
      </c>
    </row>
    <row r="80" spans="15:40" x14ac:dyDescent="0.35">
      <c r="O80" s="20">
        <v>7</v>
      </c>
      <c r="P80" t="s">
        <v>139</v>
      </c>
      <c r="Q80" t="s">
        <v>140</v>
      </c>
      <c r="R80" t="s">
        <v>123</v>
      </c>
      <c r="S80" s="10">
        <v>1</v>
      </c>
      <c r="T80" t="s">
        <v>5</v>
      </c>
      <c r="U80" s="10">
        <v>42481.9277</v>
      </c>
      <c r="V80" s="19">
        <v>42481.9277</v>
      </c>
    </row>
    <row r="81" spans="15:22" x14ac:dyDescent="0.35">
      <c r="O81" s="20">
        <v>8</v>
      </c>
      <c r="P81" t="s">
        <v>141</v>
      </c>
      <c r="Q81" t="s">
        <v>142</v>
      </c>
      <c r="R81" t="s">
        <v>123</v>
      </c>
      <c r="S81" s="10">
        <v>1.3</v>
      </c>
      <c r="T81" t="s">
        <v>5</v>
      </c>
      <c r="U81" s="10">
        <v>41823.576200000003</v>
      </c>
      <c r="V81" s="19">
        <v>54370.649060000003</v>
      </c>
    </row>
    <row r="82" spans="15:22" x14ac:dyDescent="0.35">
      <c r="O82" s="20">
        <v>9</v>
      </c>
      <c r="P82" t="s">
        <v>145</v>
      </c>
      <c r="Q82" t="s">
        <v>146</v>
      </c>
      <c r="R82" t="s">
        <v>123</v>
      </c>
      <c r="S82" s="10">
        <v>20</v>
      </c>
      <c r="T82" t="s">
        <v>5</v>
      </c>
      <c r="U82" s="10">
        <v>4604.1441999999997</v>
      </c>
      <c r="V82" s="19">
        <v>92082.884000000005</v>
      </c>
    </row>
    <row r="83" spans="15:22" x14ac:dyDescent="0.35">
      <c r="O83" s="20">
        <v>10</v>
      </c>
      <c r="P83" t="s">
        <v>748</v>
      </c>
      <c r="Q83" t="s">
        <v>749</v>
      </c>
      <c r="R83" t="s">
        <v>151</v>
      </c>
      <c r="S83" s="10">
        <v>70</v>
      </c>
      <c r="T83" t="s">
        <v>30</v>
      </c>
      <c r="U83" s="10">
        <v>1090.0038999999999</v>
      </c>
      <c r="V83" s="19">
        <v>76300.273000000001</v>
      </c>
    </row>
    <row r="84" spans="15:22" x14ac:dyDescent="0.35">
      <c r="O84" s="20">
        <v>11</v>
      </c>
      <c r="P84" t="s">
        <v>752</v>
      </c>
      <c r="Q84" t="s">
        <v>753</v>
      </c>
      <c r="R84" t="s">
        <v>151</v>
      </c>
      <c r="S84" s="10">
        <v>1</v>
      </c>
      <c r="T84" t="s">
        <v>20</v>
      </c>
      <c r="U84" s="10">
        <v>4741.67</v>
      </c>
      <c r="V84" s="19">
        <v>4741.67</v>
      </c>
    </row>
    <row r="85" spans="15:22" x14ac:dyDescent="0.35">
      <c r="O85" s="20">
        <v>12</v>
      </c>
      <c r="P85" t="s">
        <v>276</v>
      </c>
      <c r="Q85" t="s">
        <v>277</v>
      </c>
      <c r="R85" t="s">
        <v>151</v>
      </c>
      <c r="S85">
        <v>3</v>
      </c>
      <c r="T85" t="s">
        <v>52</v>
      </c>
      <c r="U85">
        <v>1291.2</v>
      </c>
      <c r="V85" s="19">
        <v>3873.6</v>
      </c>
    </row>
    <row r="86" spans="15:22" ht="15" thickBot="1" x14ac:dyDescent="0.4">
      <c r="O86" s="22" t="s">
        <v>223</v>
      </c>
      <c r="P86" s="23" t="s">
        <v>223</v>
      </c>
      <c r="Q86" s="23" t="s">
        <v>223</v>
      </c>
      <c r="R86" s="23" t="s">
        <v>223</v>
      </c>
      <c r="S86" s="23" t="s">
        <v>223</v>
      </c>
      <c r="T86" s="23" t="s">
        <v>223</v>
      </c>
      <c r="U86" s="23" t="s">
        <v>224</v>
      </c>
      <c r="V86" s="24">
        <v>615059.88827000011</v>
      </c>
    </row>
  </sheetData>
  <mergeCells count="56">
    <mergeCell ref="O3:S3"/>
    <mergeCell ref="AG3:AK3"/>
    <mergeCell ref="O4:S4"/>
    <mergeCell ref="AG4:AK4"/>
    <mergeCell ref="O6:P6"/>
    <mergeCell ref="AG6:AH6"/>
    <mergeCell ref="AG24:AK24"/>
    <mergeCell ref="O7:P7"/>
    <mergeCell ref="AG7:AH7"/>
    <mergeCell ref="O8:P8"/>
    <mergeCell ref="AG8:AH8"/>
    <mergeCell ref="O9:P9"/>
    <mergeCell ref="AG9:AH9"/>
    <mergeCell ref="O10:P10"/>
    <mergeCell ref="AG10:AH10"/>
    <mergeCell ref="O11:P11"/>
    <mergeCell ref="AG11:AH11"/>
    <mergeCell ref="AG23:AK23"/>
    <mergeCell ref="O34:P34"/>
    <mergeCell ref="AG26:AH26"/>
    <mergeCell ref="AG27:AH27"/>
    <mergeCell ref="O28:S28"/>
    <mergeCell ref="AG28:AH28"/>
    <mergeCell ref="O29:S29"/>
    <mergeCell ref="AG29:AH29"/>
    <mergeCell ref="AG30:AH30"/>
    <mergeCell ref="O31:P31"/>
    <mergeCell ref="AG31:AH31"/>
    <mergeCell ref="O32:P32"/>
    <mergeCell ref="O33:P33"/>
    <mergeCell ref="O53:P53"/>
    <mergeCell ref="AG53:AH53"/>
    <mergeCell ref="O35:P35"/>
    <mergeCell ref="O36:P36"/>
    <mergeCell ref="AG46:AK46"/>
    <mergeCell ref="AG47:AK47"/>
    <mergeCell ref="O48:S48"/>
    <mergeCell ref="O49:S49"/>
    <mergeCell ref="AG49:AH49"/>
    <mergeCell ref="AG50:AH50"/>
    <mergeCell ref="O51:P51"/>
    <mergeCell ref="AG51:AH51"/>
    <mergeCell ref="O52:P52"/>
    <mergeCell ref="AG52:AH52"/>
    <mergeCell ref="O71:P71"/>
    <mergeCell ref="O54:P54"/>
    <mergeCell ref="AG54:AH54"/>
    <mergeCell ref="O55:P55"/>
    <mergeCell ref="O56:P56"/>
    <mergeCell ref="O63:S63"/>
    <mergeCell ref="O64:S64"/>
    <mergeCell ref="O66:P66"/>
    <mergeCell ref="O67:P67"/>
    <mergeCell ref="O68:P68"/>
    <mergeCell ref="O69:P69"/>
    <mergeCell ref="O70:P70"/>
  </mergeCells>
  <conditionalFormatting sqref="J6:J39">
    <cfRule type="containsText" dxfId="16" priority="5" operator="containsText" text="penurunan iu">
      <formula>NOT(ISERROR(SEARCH("penurunan iu",J6)))</formula>
    </cfRule>
    <cfRule type="containsText" dxfId="15" priority="6" operator="containsText" text="tidak ada perubahan">
      <formula>NOT(ISERROR(SEARCH("tidak ada perubahan",J6)))</formula>
    </cfRule>
    <cfRule type="containsText" dxfId="14" priority="7" operator="containsText" text="kenaikan iu">
      <formula>NOT(ISERROR(SEARCH("kenaikan iu",J6)))</formula>
    </cfRule>
  </conditionalFormatting>
  <conditionalFormatting sqref="A6:I39">
    <cfRule type="expression" dxfId="13" priority="4">
      <formula>CELL("row")=ROW()</formula>
    </cfRule>
  </conditionalFormatting>
  <conditionalFormatting sqref="H6:H3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6:K39">
    <cfRule type="expression" dxfId="12" priority="1">
      <formula>CELL("row")=ROW()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6B958-2888-4255-A9DE-2495490B7592}">
  <sheetPr codeName="Sheet11"/>
  <dimension ref="A1:CF99"/>
  <sheetViews>
    <sheetView showGridLines="0" zoomScale="60" zoomScaleNormal="60" workbookViewId="0">
      <selection activeCell="K6" sqref="K6:K43"/>
    </sheetView>
  </sheetViews>
  <sheetFormatPr defaultRowHeight="14.5" x14ac:dyDescent="0.35"/>
  <cols>
    <col min="1" max="1" width="11" bestFit="1" customWidth="1"/>
    <col min="2" max="2" width="61.54296875" bestFit="1" customWidth="1"/>
    <col min="3" max="3" width="30.1796875" bestFit="1" customWidth="1"/>
    <col min="5" max="5" width="12.54296875" bestFit="1" customWidth="1"/>
    <col min="9" max="9" width="13.36328125" bestFit="1" customWidth="1"/>
    <col min="10" max="10" width="19" bestFit="1" customWidth="1"/>
    <col min="11" max="11" width="81.90625" bestFit="1" customWidth="1"/>
  </cols>
  <sheetData>
    <row r="1" spans="1:84" ht="15" thickBot="1" x14ac:dyDescent="0.4"/>
    <row r="2" spans="1:84" ht="15" thickBot="1" x14ac:dyDescent="0.4">
      <c r="O2" s="84" t="s">
        <v>0</v>
      </c>
      <c r="P2" s="85"/>
      <c r="Q2" s="85"/>
      <c r="R2" s="85"/>
      <c r="S2" s="85"/>
      <c r="T2" s="16"/>
      <c r="U2" s="16"/>
      <c r="V2" s="17"/>
      <c r="X2" s="25" t="s">
        <v>70</v>
      </c>
      <c r="Y2" s="16" t="s">
        <v>71</v>
      </c>
      <c r="Z2" s="16" t="s">
        <v>67</v>
      </c>
      <c r="AA2" s="26">
        <v>1</v>
      </c>
      <c r="AB2" s="16" t="s">
        <v>5</v>
      </c>
      <c r="AC2" s="26">
        <v>9000</v>
      </c>
      <c r="AD2" s="17">
        <v>9000</v>
      </c>
      <c r="AG2" s="84" t="s">
        <v>0</v>
      </c>
      <c r="AH2" s="85"/>
      <c r="AI2" s="85"/>
      <c r="AJ2" s="85"/>
      <c r="AK2" s="85"/>
      <c r="AL2" s="16"/>
      <c r="AM2" s="16"/>
      <c r="AN2" s="17"/>
      <c r="AP2" s="25" t="s">
        <v>2</v>
      </c>
      <c r="AQ2" s="16" t="s">
        <v>3</v>
      </c>
      <c r="AR2" s="16" t="s">
        <v>4</v>
      </c>
      <c r="AS2" s="26">
        <v>0.5</v>
      </c>
      <c r="AT2" s="16" t="s">
        <v>5</v>
      </c>
      <c r="AU2" s="26">
        <v>21000</v>
      </c>
      <c r="AV2" s="17">
        <v>10500</v>
      </c>
      <c r="AY2" s="25" t="s">
        <v>2</v>
      </c>
      <c r="AZ2" s="16" t="s">
        <v>3</v>
      </c>
      <c r="BA2" s="16" t="s">
        <v>4</v>
      </c>
      <c r="BB2" s="26">
        <v>0.5</v>
      </c>
      <c r="BC2" s="16" t="s">
        <v>5</v>
      </c>
      <c r="BD2" s="26">
        <v>21000</v>
      </c>
      <c r="BE2" s="17">
        <v>10500</v>
      </c>
      <c r="BF2" s="17"/>
      <c r="BH2" s="25"/>
      <c r="BI2" s="16"/>
      <c r="BJ2" s="16"/>
      <c r="BK2" s="26"/>
      <c r="BL2" s="16"/>
      <c r="BM2" s="26"/>
      <c r="BN2" s="17"/>
      <c r="BQ2" s="25"/>
      <c r="BR2" s="16"/>
      <c r="BS2" s="16"/>
      <c r="BT2" s="26"/>
      <c r="BU2" s="16"/>
      <c r="BV2" s="26"/>
      <c r="BW2" s="17"/>
      <c r="BX2" s="17"/>
    </row>
    <row r="3" spans="1:84" ht="21" x14ac:dyDescent="0.5">
      <c r="B3" s="60" t="s">
        <v>868</v>
      </c>
      <c r="O3" s="82" t="s">
        <v>1</v>
      </c>
      <c r="P3" s="87"/>
      <c r="Q3" s="87"/>
      <c r="R3" s="87"/>
      <c r="S3" s="87"/>
      <c r="V3" s="19"/>
      <c r="X3" s="20" t="s">
        <v>388</v>
      </c>
      <c r="Y3" t="s">
        <v>389</v>
      </c>
      <c r="Z3" t="s">
        <v>67</v>
      </c>
      <c r="AA3" s="10">
        <v>2</v>
      </c>
      <c r="AB3" t="s">
        <v>20</v>
      </c>
      <c r="AC3" s="10">
        <v>2763.4</v>
      </c>
      <c r="AD3" s="19">
        <v>5526.8</v>
      </c>
      <c r="AG3" s="82" t="s">
        <v>1</v>
      </c>
      <c r="AH3" s="87"/>
      <c r="AI3" s="87"/>
      <c r="AJ3" s="87"/>
      <c r="AK3" s="87"/>
      <c r="AN3" s="19"/>
      <c r="AP3" s="20" t="s">
        <v>13</v>
      </c>
      <c r="AQ3" t="s">
        <v>14</v>
      </c>
      <c r="AR3" t="s">
        <v>4</v>
      </c>
      <c r="AS3" s="10">
        <v>0.34</v>
      </c>
      <c r="AT3" t="s">
        <v>15</v>
      </c>
      <c r="AU3" s="10">
        <v>77700</v>
      </c>
      <c r="AV3" s="19">
        <v>26418</v>
      </c>
      <c r="AY3" s="20" t="s">
        <v>13</v>
      </c>
      <c r="AZ3" t="s">
        <v>14</v>
      </c>
      <c r="BA3" t="s">
        <v>4</v>
      </c>
      <c r="BB3" s="10">
        <v>0.34</v>
      </c>
      <c r="BC3" t="s">
        <v>15</v>
      </c>
      <c r="BD3" s="10">
        <v>77700</v>
      </c>
      <c r="BE3" s="19">
        <v>26418</v>
      </c>
      <c r="BF3" s="19"/>
      <c r="BH3" s="20"/>
      <c r="BK3" s="10"/>
      <c r="BM3" s="10"/>
      <c r="BN3" s="19"/>
      <c r="BQ3" s="20"/>
      <c r="BT3" s="10"/>
      <c r="BV3" s="10"/>
      <c r="BW3" s="19"/>
      <c r="BX3" s="19"/>
      <c r="BZ3" s="25"/>
      <c r="CA3" s="16"/>
      <c r="CB3" s="16"/>
      <c r="CC3" s="26"/>
      <c r="CD3" s="16"/>
      <c r="CE3" s="26"/>
      <c r="CF3" s="17"/>
    </row>
    <row r="4" spans="1:84" ht="15" thickBot="1" x14ac:dyDescent="0.4">
      <c r="O4" s="20"/>
      <c r="V4" s="19"/>
      <c r="X4" s="20" t="s">
        <v>72</v>
      </c>
      <c r="Y4" t="s">
        <v>73</v>
      </c>
      <c r="Z4" t="s">
        <v>67</v>
      </c>
      <c r="AA4" s="10">
        <v>1</v>
      </c>
      <c r="AB4" t="s">
        <v>74</v>
      </c>
      <c r="AC4" s="10">
        <v>3013.424500000001</v>
      </c>
      <c r="AD4" s="19">
        <v>3013.4245000000001</v>
      </c>
      <c r="AG4" s="20"/>
      <c r="AN4" s="19"/>
      <c r="AP4" s="20" t="s">
        <v>28</v>
      </c>
      <c r="AQ4" t="s">
        <v>29</v>
      </c>
      <c r="AR4" t="s">
        <v>4</v>
      </c>
      <c r="AS4" s="10">
        <v>3</v>
      </c>
      <c r="AT4" t="s">
        <v>30</v>
      </c>
      <c r="AU4" s="10">
        <v>19760</v>
      </c>
      <c r="AV4" s="19">
        <v>59280</v>
      </c>
      <c r="AY4" s="20" t="s">
        <v>28</v>
      </c>
      <c r="AZ4" t="s">
        <v>29</v>
      </c>
      <c r="BA4" t="s">
        <v>4</v>
      </c>
      <c r="BB4" s="10">
        <v>3</v>
      </c>
      <c r="BC4" t="s">
        <v>30</v>
      </c>
      <c r="BD4" s="10">
        <v>19760</v>
      </c>
      <c r="BE4" s="19">
        <v>59280</v>
      </c>
      <c r="BF4" s="19"/>
      <c r="BH4" s="20"/>
      <c r="BK4" s="10"/>
      <c r="BM4" s="10"/>
      <c r="BN4" s="19"/>
      <c r="BQ4" s="20"/>
      <c r="BT4" s="10"/>
      <c r="BV4" s="10"/>
      <c r="BW4" s="19"/>
      <c r="BX4" s="19"/>
      <c r="BZ4" s="20"/>
      <c r="CC4" s="10"/>
      <c r="CE4" s="10"/>
      <c r="CF4" s="19"/>
    </row>
    <row r="5" spans="1:84" ht="37.5" customHeight="1" thickTop="1" x14ac:dyDescent="0.35">
      <c r="A5" s="27" t="s">
        <v>200</v>
      </c>
      <c r="B5" s="28" t="s">
        <v>201</v>
      </c>
      <c r="C5" s="28" t="s">
        <v>202</v>
      </c>
      <c r="D5" s="28" t="s">
        <v>203</v>
      </c>
      <c r="E5" s="28" t="s">
        <v>204</v>
      </c>
      <c r="F5" s="57" t="s">
        <v>206</v>
      </c>
      <c r="G5" s="57" t="s">
        <v>470</v>
      </c>
      <c r="H5" s="57" t="s">
        <v>207</v>
      </c>
      <c r="I5" s="28" t="s">
        <v>208</v>
      </c>
      <c r="J5" s="28" t="s">
        <v>209</v>
      </c>
      <c r="K5" s="29" t="s">
        <v>862</v>
      </c>
      <c r="O5" s="82" t="s">
        <v>10</v>
      </c>
      <c r="P5" s="87" t="s">
        <v>11</v>
      </c>
      <c r="Q5" t="s">
        <v>767</v>
      </c>
      <c r="V5" s="19"/>
      <c r="X5" s="20" t="s">
        <v>81</v>
      </c>
      <c r="Y5" t="s">
        <v>82</v>
      </c>
      <c r="Z5" t="s">
        <v>67</v>
      </c>
      <c r="AA5" s="10">
        <v>2</v>
      </c>
      <c r="AB5" t="s">
        <v>20</v>
      </c>
      <c r="AC5" s="10">
        <v>9580.9778000000006</v>
      </c>
      <c r="AD5" s="19">
        <v>19161.955600000001</v>
      </c>
      <c r="AG5" s="82" t="s">
        <v>10</v>
      </c>
      <c r="AH5" s="87" t="s">
        <v>11</v>
      </c>
      <c r="AI5" t="s">
        <v>768</v>
      </c>
      <c r="AN5" s="19"/>
      <c r="AP5" s="20" t="s">
        <v>33</v>
      </c>
      <c r="AQ5" t="s">
        <v>34</v>
      </c>
      <c r="AR5" t="s">
        <v>4</v>
      </c>
      <c r="AS5" s="10">
        <v>4</v>
      </c>
      <c r="AT5" t="s">
        <v>30</v>
      </c>
      <c r="AU5" s="10">
        <v>13000</v>
      </c>
      <c r="AV5" s="19">
        <v>52000</v>
      </c>
      <c r="AY5" s="20" t="s">
        <v>33</v>
      </c>
      <c r="AZ5" t="s">
        <v>34</v>
      </c>
      <c r="BA5" t="s">
        <v>4</v>
      </c>
      <c r="BB5" s="10">
        <v>4</v>
      </c>
      <c r="BC5" t="s">
        <v>30</v>
      </c>
      <c r="BD5" s="10">
        <v>13000</v>
      </c>
      <c r="BE5" s="19">
        <v>52000</v>
      </c>
      <c r="BF5" s="19"/>
      <c r="BH5" s="20"/>
      <c r="BK5" s="10"/>
      <c r="BM5" s="10"/>
      <c r="BN5" s="19"/>
      <c r="BQ5" s="20"/>
      <c r="BT5" s="10"/>
      <c r="BV5" s="10"/>
      <c r="BW5" s="19"/>
      <c r="BX5" s="19"/>
      <c r="BZ5" s="20"/>
      <c r="CC5" s="10"/>
      <c r="CE5" s="10"/>
      <c r="CF5" s="19"/>
    </row>
    <row r="6" spans="1:84" x14ac:dyDescent="0.35">
      <c r="A6" s="38" t="str" cm="1">
        <f t="array" ref="A6:A43">_xlfn.UNIQUE(_xlfn._xlws.FILTER(AY2:AY300, AY2:AY300 &lt;&gt; ""))</f>
        <v>CECM00013</v>
      </c>
      <c r="B6" s="31" t="str">
        <f>_xlfn.XLOOKUP(A6, AY$2:AY$300, AZ$2:AZ$300, "", 0)</f>
        <v>DAIA 800 GR</v>
      </c>
      <c r="C6" s="31" t="str">
        <f>_xlfn.XLOOKUP(A6, AY$2:AY$300, BA$2:BA$300, "", 0)</f>
        <v>CLEANING CHEMICAL</v>
      </c>
      <c r="D6" s="31" t="str">
        <f>_xlfn.XLOOKUP(A6, AY$2:AY$300, BC$2:BC$300, "", 0)</f>
        <v>pack</v>
      </c>
      <c r="E6" s="47">
        <f>_xlfn.XLOOKUP(A6, AY$2:AY$300, BD$2:BD$300, "", 0)</f>
        <v>21000</v>
      </c>
      <c r="F6" s="58">
        <f>_xlfn.XLOOKUP(A6, X$2:X$300, AA$2:AA$300, "0", 0)</f>
        <v>2</v>
      </c>
      <c r="G6" s="58">
        <f>_xlfn.XLOOKUP(A6, AP$2:AP$300, AS$2:AS$300, "0", 0)</f>
        <v>0.5</v>
      </c>
      <c r="H6" s="58">
        <f>G6-F6</f>
        <v>-1.5</v>
      </c>
      <c r="I6" s="47">
        <f>H6*E6</f>
        <v>-31500</v>
      </c>
      <c r="J6" s="31" t="str">
        <f>CHOOSE(SIGN(G6 - F6) + 2, "Penurunan IU", "Tidak Ada Perubahan", "Kenaikan IU")</f>
        <v>Penurunan IU</v>
      </c>
      <c r="K6" s="79" t="s">
        <v>1053</v>
      </c>
      <c r="O6" s="82" t="s">
        <v>16</v>
      </c>
      <c r="P6" s="87" t="s">
        <v>11</v>
      </c>
      <c r="Q6" t="s">
        <v>17</v>
      </c>
      <c r="V6" s="19"/>
      <c r="X6" s="20" t="s">
        <v>357</v>
      </c>
      <c r="Y6" t="s">
        <v>358</v>
      </c>
      <c r="Z6" t="s">
        <v>67</v>
      </c>
      <c r="AA6" s="10">
        <v>0.2</v>
      </c>
      <c r="AB6" t="s">
        <v>5</v>
      </c>
      <c r="AC6" s="10">
        <v>29000</v>
      </c>
      <c r="AD6" s="19">
        <v>5800</v>
      </c>
      <c r="AG6" s="82" t="s">
        <v>16</v>
      </c>
      <c r="AH6" s="87" t="s">
        <v>11</v>
      </c>
      <c r="AI6" t="s">
        <v>211</v>
      </c>
      <c r="AN6" s="19"/>
      <c r="AP6" s="20" t="s">
        <v>453</v>
      </c>
      <c r="AQ6" t="s">
        <v>454</v>
      </c>
      <c r="AR6" t="s">
        <v>41</v>
      </c>
      <c r="AS6" s="10">
        <v>1</v>
      </c>
      <c r="AT6" t="s">
        <v>267</v>
      </c>
      <c r="AU6" s="10">
        <v>18785.263200000001</v>
      </c>
      <c r="AV6" s="19">
        <v>18785.263200000001</v>
      </c>
      <c r="AY6" s="20" t="s">
        <v>453</v>
      </c>
      <c r="AZ6" t="s">
        <v>454</v>
      </c>
      <c r="BA6" t="s">
        <v>41</v>
      </c>
      <c r="BB6" s="10">
        <v>1</v>
      </c>
      <c r="BC6" t="s">
        <v>267</v>
      </c>
      <c r="BD6" s="10">
        <v>18785.263200000001</v>
      </c>
      <c r="BE6" s="19">
        <v>18785.263200000001</v>
      </c>
      <c r="BF6" s="19"/>
      <c r="BH6" s="20"/>
      <c r="BK6" s="10"/>
      <c r="BM6" s="10"/>
      <c r="BN6" s="19"/>
      <c r="BQ6" s="20"/>
      <c r="BT6" s="10"/>
      <c r="BV6" s="10"/>
      <c r="BW6" s="19"/>
      <c r="BX6" s="19"/>
      <c r="BZ6" s="20"/>
      <c r="CC6" s="10"/>
      <c r="CE6" s="10"/>
      <c r="CF6" s="19"/>
    </row>
    <row r="7" spans="1:84" x14ac:dyDescent="0.35">
      <c r="A7" s="38" t="str">
        <v>CECM0008</v>
      </c>
      <c r="B7" s="31" t="str">
        <f t="shared" ref="B7:B43" si="0">_xlfn.XLOOKUP(A7, AY$2:AY$300, AZ$2:AZ$300, "", 0)</f>
        <v>XYZ ANTI BACTERIAL HANDSOAP 5 L</v>
      </c>
      <c r="C7" s="31" t="str">
        <f t="shared" ref="C7:C43" si="1">_xlfn.XLOOKUP(A7, AY$2:AY$300, BA$2:BA$300, "", 0)</f>
        <v>CLEANING CHEMICAL</v>
      </c>
      <c r="D7" s="31" t="str">
        <f t="shared" ref="D7:D43" si="2">_xlfn.XLOOKUP(A7, AY$2:AY$300, BC$2:BC$300, "", 0)</f>
        <v>jerrycan</v>
      </c>
      <c r="E7" s="47">
        <f t="shared" ref="E7:E43" si="3">_xlfn.XLOOKUP(A7, AY$2:AY$300, BD$2:BD$300, "", 0)</f>
        <v>77700</v>
      </c>
      <c r="F7" s="58">
        <f t="shared" ref="F7:F43" si="4">_xlfn.XLOOKUP(A7, X$2:X$300, AA$2:AA$300, "0", 0)</f>
        <v>0.01</v>
      </c>
      <c r="G7" s="58">
        <f t="shared" ref="G7:G43" si="5">_xlfn.XLOOKUP(A7, AP$2:AP$300, AS$2:AS$300, "0", 0)</f>
        <v>0.34</v>
      </c>
      <c r="H7" s="58">
        <f t="shared" ref="H7:H43" si="6">G7-F7</f>
        <v>0.33</v>
      </c>
      <c r="I7" s="47">
        <f t="shared" ref="I7:I43" si="7">H7*E7</f>
        <v>25641</v>
      </c>
      <c r="J7" s="31" t="str">
        <f t="shared" ref="J7:J43" si="8">CHOOSE(SIGN(G7 - F7) + 2, "Penurunan IU", "Tidak Ada Perubahan", "Kenaikan IU")</f>
        <v>Kenaikan IU</v>
      </c>
      <c r="K7" s="79" t="s">
        <v>1054</v>
      </c>
      <c r="O7" s="82" t="s">
        <v>21</v>
      </c>
      <c r="P7" s="87" t="s">
        <v>11</v>
      </c>
      <c r="Q7" t="s">
        <v>769</v>
      </c>
      <c r="V7" s="19"/>
      <c r="X7" s="20" t="s">
        <v>359</v>
      </c>
      <c r="Y7" t="s">
        <v>360</v>
      </c>
      <c r="Z7" t="s">
        <v>67</v>
      </c>
      <c r="AA7" s="10">
        <v>0.2</v>
      </c>
      <c r="AB7" t="s">
        <v>216</v>
      </c>
      <c r="AC7" s="10">
        <v>7000</v>
      </c>
      <c r="AD7" s="19">
        <v>1400</v>
      </c>
      <c r="AG7" s="82" t="s">
        <v>21</v>
      </c>
      <c r="AH7" s="87" t="s">
        <v>11</v>
      </c>
      <c r="AI7" t="s">
        <v>769</v>
      </c>
      <c r="AN7" s="19"/>
      <c r="AP7" s="20" t="s">
        <v>57</v>
      </c>
      <c r="AQ7" t="s">
        <v>58</v>
      </c>
      <c r="AR7" t="s">
        <v>41</v>
      </c>
      <c r="AS7" s="10">
        <v>2.2000000000000002</v>
      </c>
      <c r="AT7" t="s">
        <v>5</v>
      </c>
      <c r="AU7" s="10">
        <v>7699.4135999999999</v>
      </c>
      <c r="AV7" s="19">
        <v>16938.709920000001</v>
      </c>
      <c r="AY7" s="20" t="s">
        <v>57</v>
      </c>
      <c r="AZ7" t="s">
        <v>58</v>
      </c>
      <c r="BA7" t="s">
        <v>41</v>
      </c>
      <c r="BB7" s="10">
        <v>2.2000000000000002</v>
      </c>
      <c r="BC7" t="s">
        <v>5</v>
      </c>
      <c r="BD7" s="10">
        <v>7699.4135999999999</v>
      </c>
      <c r="BE7" s="19">
        <v>16938.709920000001</v>
      </c>
      <c r="BF7" s="19"/>
      <c r="BH7" s="20"/>
      <c r="BN7" s="19"/>
      <c r="BQ7" s="20"/>
      <c r="BW7" s="19"/>
      <c r="BX7" s="19"/>
      <c r="BZ7" s="20"/>
      <c r="CC7" s="10"/>
      <c r="CE7" s="10"/>
      <c r="CF7" s="19"/>
    </row>
    <row r="8" spans="1:84" x14ac:dyDescent="0.35">
      <c r="A8" s="38" t="str">
        <v>CECM0014</v>
      </c>
      <c r="B8" s="31" t="str">
        <f t="shared" si="0"/>
        <v>XYZ KARBOL LEMONGRASS 5 L</v>
      </c>
      <c r="C8" s="31" t="str">
        <f t="shared" si="1"/>
        <v>CLEANING CHEMICAL</v>
      </c>
      <c r="D8" s="31" t="str">
        <f t="shared" si="2"/>
        <v>liter</v>
      </c>
      <c r="E8" s="47">
        <f t="shared" si="3"/>
        <v>19760</v>
      </c>
      <c r="F8" s="58">
        <f t="shared" si="4"/>
        <v>3</v>
      </c>
      <c r="G8" s="58">
        <f t="shared" si="5"/>
        <v>3</v>
      </c>
      <c r="H8" s="58">
        <f t="shared" si="6"/>
        <v>0</v>
      </c>
      <c r="I8" s="47">
        <f t="shared" si="7"/>
        <v>0</v>
      </c>
      <c r="J8" s="31" t="str">
        <f t="shared" si="8"/>
        <v>Tidak Ada Perubahan</v>
      </c>
      <c r="K8" s="79"/>
      <c r="O8" s="82" t="s">
        <v>26</v>
      </c>
      <c r="P8" s="87" t="s">
        <v>11</v>
      </c>
      <c r="Q8" t="s">
        <v>770</v>
      </c>
      <c r="V8" s="19"/>
      <c r="X8" s="20" t="s">
        <v>238</v>
      </c>
      <c r="Y8" t="s">
        <v>239</v>
      </c>
      <c r="Z8" t="s">
        <v>67</v>
      </c>
      <c r="AA8" s="10">
        <v>0.3</v>
      </c>
      <c r="AB8" t="s">
        <v>74</v>
      </c>
      <c r="AC8" s="10">
        <v>7330.6451666599996</v>
      </c>
      <c r="AD8" s="19">
        <v>2199.19355</v>
      </c>
      <c r="AG8" s="82" t="s">
        <v>26</v>
      </c>
      <c r="AH8" s="87" t="s">
        <v>11</v>
      </c>
      <c r="AI8" t="s">
        <v>771</v>
      </c>
      <c r="AN8" s="19"/>
      <c r="AP8" s="20" t="s">
        <v>61</v>
      </c>
      <c r="AQ8" t="s">
        <v>62</v>
      </c>
      <c r="AR8" t="s">
        <v>41</v>
      </c>
      <c r="AS8">
        <v>1.5</v>
      </c>
      <c r="AT8" t="s">
        <v>5</v>
      </c>
      <c r="AU8">
        <v>19613.8773</v>
      </c>
      <c r="AV8" s="19">
        <v>29420.81595</v>
      </c>
      <c r="AY8" s="20" t="s">
        <v>61</v>
      </c>
      <c r="AZ8" t="s">
        <v>62</v>
      </c>
      <c r="BA8" t="s">
        <v>41</v>
      </c>
      <c r="BB8">
        <v>1.5</v>
      </c>
      <c r="BC8" t="s">
        <v>5</v>
      </c>
      <c r="BD8">
        <v>19613.8773</v>
      </c>
      <c r="BE8" s="19">
        <v>29420.81595</v>
      </c>
      <c r="BF8" s="19"/>
      <c r="BH8" s="20"/>
      <c r="BK8" s="10"/>
      <c r="BM8" s="10"/>
      <c r="BN8" s="19"/>
      <c r="BQ8" s="20"/>
      <c r="BT8" s="10"/>
      <c r="BV8" s="10"/>
      <c r="BW8" s="19"/>
      <c r="BX8" s="19"/>
      <c r="BZ8" s="20"/>
      <c r="CC8" s="10"/>
      <c r="CE8" s="10"/>
      <c r="CF8" s="19"/>
    </row>
    <row r="9" spans="1:84" x14ac:dyDescent="0.35">
      <c r="A9" s="38" t="str">
        <v>CECM0018</v>
      </c>
      <c r="B9" s="31" t="str">
        <f t="shared" si="0"/>
        <v>XYZ GENERAL CLEANER  (CUCI PIRING LIME)</v>
      </c>
      <c r="C9" s="31" t="str">
        <f t="shared" si="1"/>
        <v>CLEANING CHEMICAL</v>
      </c>
      <c r="D9" s="31" t="str">
        <f t="shared" si="2"/>
        <v>liter</v>
      </c>
      <c r="E9" s="47">
        <f t="shared" si="3"/>
        <v>13000</v>
      </c>
      <c r="F9" s="58">
        <f t="shared" si="4"/>
        <v>3</v>
      </c>
      <c r="G9" s="58">
        <f t="shared" si="5"/>
        <v>4</v>
      </c>
      <c r="H9" s="58">
        <f t="shared" si="6"/>
        <v>1</v>
      </c>
      <c r="I9" s="47">
        <f t="shared" si="7"/>
        <v>13000</v>
      </c>
      <c r="J9" s="31" t="str">
        <f t="shared" si="8"/>
        <v>Kenaikan IU</v>
      </c>
      <c r="K9" s="79" t="s">
        <v>1055</v>
      </c>
      <c r="O9" s="82" t="s">
        <v>31</v>
      </c>
      <c r="P9" s="87" t="s">
        <v>11</v>
      </c>
      <c r="Q9" t="s">
        <v>32</v>
      </c>
      <c r="V9" s="19"/>
      <c r="X9" s="20" t="s">
        <v>85</v>
      </c>
      <c r="Y9" t="s">
        <v>86</v>
      </c>
      <c r="Z9" t="s">
        <v>67</v>
      </c>
      <c r="AA9" s="10">
        <v>1</v>
      </c>
      <c r="AB9" t="s">
        <v>87</v>
      </c>
      <c r="AC9" s="10">
        <v>18500</v>
      </c>
      <c r="AD9" s="19">
        <v>18500</v>
      </c>
      <c r="AG9" s="82" t="s">
        <v>31</v>
      </c>
      <c r="AH9" s="87" t="s">
        <v>11</v>
      </c>
      <c r="AI9" t="s">
        <v>32</v>
      </c>
      <c r="AN9" s="19"/>
      <c r="AP9" s="20" t="s">
        <v>115</v>
      </c>
      <c r="AQ9" t="s">
        <v>116</v>
      </c>
      <c r="AR9" t="s">
        <v>117</v>
      </c>
      <c r="AS9" s="10">
        <v>700</v>
      </c>
      <c r="AT9" t="s">
        <v>52</v>
      </c>
      <c r="AU9" s="10">
        <v>656.66700000000003</v>
      </c>
      <c r="AV9" s="19">
        <v>459666.9</v>
      </c>
      <c r="AY9" s="20" t="s">
        <v>115</v>
      </c>
      <c r="AZ9" t="s">
        <v>116</v>
      </c>
      <c r="BA9" t="s">
        <v>117</v>
      </c>
      <c r="BB9" s="10">
        <v>700</v>
      </c>
      <c r="BC9" t="s">
        <v>52</v>
      </c>
      <c r="BD9" s="10">
        <v>656.66700000000003</v>
      </c>
      <c r="BE9" s="19">
        <v>459666.9</v>
      </c>
      <c r="BF9" s="19"/>
      <c r="BH9" s="20"/>
      <c r="BK9" s="10"/>
      <c r="BM9" s="10"/>
      <c r="BN9" s="19"/>
      <c r="BQ9" s="20"/>
      <c r="BT9" s="10"/>
      <c r="BV9" s="10"/>
      <c r="BW9" s="19"/>
      <c r="BX9" s="19"/>
      <c r="BZ9" s="20"/>
      <c r="CF9" s="19"/>
    </row>
    <row r="10" spans="1:84" x14ac:dyDescent="0.35">
      <c r="A10" s="38" t="str">
        <v>CETS0009</v>
      </c>
      <c r="B10" s="31" t="str">
        <f t="shared" si="0"/>
        <v>REFIL KAIN PEL/REFIL MOP PEL OBOR</v>
      </c>
      <c r="C10" s="31" t="str">
        <f t="shared" si="1"/>
        <v>CLEANING TOOLS AND SUPPLIES</v>
      </c>
      <c r="D10" s="31" t="str">
        <f t="shared" si="2"/>
        <v>unit</v>
      </c>
      <c r="E10" s="47">
        <f t="shared" si="3"/>
        <v>18785.263200000001</v>
      </c>
      <c r="F10" s="58" t="str">
        <f t="shared" si="4"/>
        <v>0</v>
      </c>
      <c r="G10" s="58">
        <f t="shared" si="5"/>
        <v>1</v>
      </c>
      <c r="H10" s="58">
        <f t="shared" si="6"/>
        <v>1</v>
      </c>
      <c r="I10" s="47">
        <f t="shared" si="7"/>
        <v>18785.263200000001</v>
      </c>
      <c r="J10" s="31" t="str">
        <f t="shared" si="8"/>
        <v>Kenaikan IU</v>
      </c>
      <c r="K10" s="79" t="s">
        <v>1056</v>
      </c>
      <c r="O10" s="82" t="s">
        <v>35</v>
      </c>
      <c r="P10" s="87" t="s">
        <v>11</v>
      </c>
      <c r="Q10" t="s">
        <v>772</v>
      </c>
      <c r="V10" s="19"/>
      <c r="X10" s="20" t="s">
        <v>242</v>
      </c>
      <c r="Y10" t="s">
        <v>243</v>
      </c>
      <c r="Z10" t="s">
        <v>67</v>
      </c>
      <c r="AA10" s="10">
        <v>2</v>
      </c>
      <c r="AB10" t="s">
        <v>87</v>
      </c>
      <c r="AC10" s="10">
        <v>14500</v>
      </c>
      <c r="AD10" s="19">
        <v>29000</v>
      </c>
      <c r="AG10" s="82" t="s">
        <v>35</v>
      </c>
      <c r="AH10" s="87" t="s">
        <v>11</v>
      </c>
      <c r="AI10" t="s">
        <v>773</v>
      </c>
      <c r="AN10" s="19"/>
      <c r="AP10" s="20" t="s">
        <v>316</v>
      </c>
      <c r="AQ10" t="s">
        <v>317</v>
      </c>
      <c r="AR10" t="s">
        <v>117</v>
      </c>
      <c r="AS10" s="10">
        <v>2</v>
      </c>
      <c r="AT10" t="s">
        <v>20</v>
      </c>
      <c r="AU10" s="10">
        <v>290150</v>
      </c>
      <c r="AV10" s="19">
        <v>580300</v>
      </c>
      <c r="AY10" s="20" t="s">
        <v>316</v>
      </c>
      <c r="AZ10" t="s">
        <v>317</v>
      </c>
      <c r="BA10" t="s">
        <v>117</v>
      </c>
      <c r="BB10" s="10">
        <v>2</v>
      </c>
      <c r="BC10" t="s">
        <v>20</v>
      </c>
      <c r="BD10" s="10">
        <v>290150</v>
      </c>
      <c r="BE10" s="19">
        <v>580300</v>
      </c>
      <c r="BF10" s="19"/>
      <c r="BH10" s="20"/>
      <c r="BK10" s="10"/>
      <c r="BM10" s="10"/>
      <c r="BN10" s="19"/>
      <c r="BQ10" s="20"/>
      <c r="BT10" s="10"/>
      <c r="BV10" s="10"/>
      <c r="BW10" s="19"/>
      <c r="BX10" s="19"/>
      <c r="BZ10" s="20"/>
      <c r="CC10" s="10"/>
      <c r="CE10" s="10"/>
      <c r="CF10" s="19"/>
    </row>
    <row r="11" spans="1:84" x14ac:dyDescent="0.35">
      <c r="A11" s="38" t="str">
        <v>CETS0025</v>
      </c>
      <c r="B11" s="31" t="str">
        <f t="shared" si="0"/>
        <v>PLASTIK SAMPAH 60 x 100 (10 LEMBAR)</v>
      </c>
      <c r="C11" s="31" t="str">
        <f t="shared" si="1"/>
        <v>CLEANING TOOLS AND SUPPLIES</v>
      </c>
      <c r="D11" s="31" t="str">
        <f t="shared" si="2"/>
        <v>pack</v>
      </c>
      <c r="E11" s="47">
        <f t="shared" si="3"/>
        <v>7699.4135999999999</v>
      </c>
      <c r="F11" s="58">
        <f t="shared" si="4"/>
        <v>3</v>
      </c>
      <c r="G11" s="58">
        <f t="shared" si="5"/>
        <v>2.2000000000000002</v>
      </c>
      <c r="H11" s="58">
        <f t="shared" si="6"/>
        <v>-0.79999999999999982</v>
      </c>
      <c r="I11" s="47">
        <f t="shared" si="7"/>
        <v>-6159.5308799999984</v>
      </c>
      <c r="J11" s="31" t="str">
        <f t="shared" si="8"/>
        <v>Penurunan IU</v>
      </c>
      <c r="K11" s="79" t="s">
        <v>1057</v>
      </c>
      <c r="O11" s="20"/>
      <c r="V11" s="19"/>
      <c r="X11" s="20" t="s">
        <v>246</v>
      </c>
      <c r="Y11" t="s">
        <v>247</v>
      </c>
      <c r="Z11" t="s">
        <v>67</v>
      </c>
      <c r="AA11" s="10">
        <v>2</v>
      </c>
      <c r="AB11" t="s">
        <v>5</v>
      </c>
      <c r="AC11" s="10">
        <v>1414.9346</v>
      </c>
      <c r="AD11" s="19">
        <v>2829.8692000000001</v>
      </c>
      <c r="AG11" s="20"/>
      <c r="AN11" s="19"/>
      <c r="AP11" s="20" t="s">
        <v>121</v>
      </c>
      <c r="AQ11" t="s">
        <v>122</v>
      </c>
      <c r="AR11" t="s">
        <v>123</v>
      </c>
      <c r="AS11" s="10">
        <v>3</v>
      </c>
      <c r="AT11" t="s">
        <v>5</v>
      </c>
      <c r="AU11" s="10">
        <v>5001.3536000000004</v>
      </c>
      <c r="AV11" s="19">
        <v>15004.060799999999</v>
      </c>
      <c r="AY11" s="20" t="s">
        <v>121</v>
      </c>
      <c r="AZ11" t="s">
        <v>122</v>
      </c>
      <c r="BA11" t="s">
        <v>123</v>
      </c>
      <c r="BB11" s="10">
        <v>3</v>
      </c>
      <c r="BC11" t="s">
        <v>5</v>
      </c>
      <c r="BD11" s="10">
        <v>5001.3536000000004</v>
      </c>
      <c r="BE11" s="19">
        <v>15004.060799999999</v>
      </c>
      <c r="BF11" s="19"/>
      <c r="BH11" s="20"/>
      <c r="BK11" s="10"/>
      <c r="BM11" s="10"/>
      <c r="BN11" s="19"/>
      <c r="BQ11" s="20"/>
      <c r="BT11" s="10"/>
      <c r="BV11" s="10"/>
      <c r="BW11" s="19"/>
      <c r="BX11" s="19"/>
      <c r="BZ11" s="20"/>
      <c r="CC11" s="10"/>
      <c r="CE11" s="10"/>
      <c r="CF11" s="19"/>
    </row>
    <row r="12" spans="1:84" x14ac:dyDescent="0.35">
      <c r="A12" s="38" t="str">
        <v>CETS0027</v>
      </c>
      <c r="B12" s="31" t="str">
        <f t="shared" si="0"/>
        <v>PLASTIK KRESEK HITAM 35 (Utk Tong Sampah)</v>
      </c>
      <c r="C12" s="31" t="str">
        <f t="shared" si="1"/>
        <v>CLEANING TOOLS AND SUPPLIES</v>
      </c>
      <c r="D12" s="31" t="str">
        <f t="shared" si="2"/>
        <v>pack</v>
      </c>
      <c r="E12" s="47">
        <f t="shared" si="3"/>
        <v>19613.8773</v>
      </c>
      <c r="F12" s="58">
        <f t="shared" si="4"/>
        <v>1</v>
      </c>
      <c r="G12" s="58">
        <f t="shared" si="5"/>
        <v>1.5</v>
      </c>
      <c r="H12" s="58">
        <f t="shared" si="6"/>
        <v>0.5</v>
      </c>
      <c r="I12" s="47">
        <f t="shared" si="7"/>
        <v>9806.9386500000001</v>
      </c>
      <c r="J12" s="31" t="str">
        <f t="shared" si="8"/>
        <v>Kenaikan IU</v>
      </c>
      <c r="K12" s="79" t="s">
        <v>1058</v>
      </c>
      <c r="O12" s="20" t="s">
        <v>42</v>
      </c>
      <c r="P12" t="s">
        <v>43</v>
      </c>
      <c r="Q12" t="s">
        <v>44</v>
      </c>
      <c r="R12" t="s">
        <v>45</v>
      </c>
      <c r="S12" t="s">
        <v>46</v>
      </c>
      <c r="T12" t="s">
        <v>47</v>
      </c>
      <c r="U12" t="s">
        <v>48</v>
      </c>
      <c r="V12" s="19" t="s">
        <v>49</v>
      </c>
      <c r="X12" s="20" t="s">
        <v>92</v>
      </c>
      <c r="Y12" t="s">
        <v>93</v>
      </c>
      <c r="Z12" t="s">
        <v>67</v>
      </c>
      <c r="AA12" s="10">
        <v>18</v>
      </c>
      <c r="AB12" t="s">
        <v>94</v>
      </c>
      <c r="AC12" s="10">
        <v>11850.833099999998</v>
      </c>
      <c r="AD12" s="19">
        <v>213314.9958</v>
      </c>
      <c r="AG12" s="20" t="s">
        <v>42</v>
      </c>
      <c r="AH12" t="s">
        <v>43</v>
      </c>
      <c r="AI12" t="s">
        <v>44</v>
      </c>
      <c r="AJ12" t="s">
        <v>45</v>
      </c>
      <c r="AK12" t="s">
        <v>46</v>
      </c>
      <c r="AL12" t="s">
        <v>47</v>
      </c>
      <c r="AM12" t="s">
        <v>48</v>
      </c>
      <c r="AN12" s="19" t="s">
        <v>49</v>
      </c>
      <c r="AP12" s="20" t="s">
        <v>124</v>
      </c>
      <c r="AQ12" t="s">
        <v>125</v>
      </c>
      <c r="AR12" t="s">
        <v>123</v>
      </c>
      <c r="AS12" s="10">
        <v>0.2</v>
      </c>
      <c r="AT12" t="s">
        <v>5</v>
      </c>
      <c r="AU12" s="10">
        <v>5261.6877999999997</v>
      </c>
      <c r="AV12" s="19">
        <v>1052.3375599999999</v>
      </c>
      <c r="AY12" s="20" t="s">
        <v>124</v>
      </c>
      <c r="AZ12" t="s">
        <v>125</v>
      </c>
      <c r="BA12" t="s">
        <v>123</v>
      </c>
      <c r="BB12" s="10">
        <v>0.2</v>
      </c>
      <c r="BC12" t="s">
        <v>5</v>
      </c>
      <c r="BD12" s="10">
        <v>5261.6877999999997</v>
      </c>
      <c r="BE12" s="19">
        <v>1052.3375599999999</v>
      </c>
      <c r="BF12" s="19"/>
      <c r="BH12" s="20"/>
      <c r="BK12" s="10"/>
      <c r="BM12" s="10"/>
      <c r="BN12" s="19"/>
      <c r="BQ12" s="20"/>
      <c r="BT12" s="10"/>
      <c r="BV12" s="10"/>
      <c r="BW12" s="19"/>
      <c r="BX12" s="19"/>
      <c r="BZ12" s="20"/>
      <c r="CC12" s="10"/>
      <c r="CE12" s="10"/>
      <c r="CF12" s="19"/>
    </row>
    <row r="13" spans="1:84" x14ac:dyDescent="0.35">
      <c r="A13" s="38" t="str">
        <v>MKT00032</v>
      </c>
      <c r="B13" s="31" t="str">
        <f t="shared" si="0"/>
        <v>FLYER A5</v>
      </c>
      <c r="C13" s="31" t="str">
        <f t="shared" si="1"/>
        <v>MARKETING</v>
      </c>
      <c r="D13" s="31" t="str">
        <f t="shared" si="2"/>
        <v>lembar</v>
      </c>
      <c r="E13" s="47">
        <f t="shared" si="3"/>
        <v>656.66700000000003</v>
      </c>
      <c r="F13" s="58">
        <f t="shared" si="4"/>
        <v>300</v>
      </c>
      <c r="G13" s="58">
        <f t="shared" si="5"/>
        <v>700</v>
      </c>
      <c r="H13" s="58">
        <f t="shared" si="6"/>
        <v>400</v>
      </c>
      <c r="I13" s="47">
        <f t="shared" si="7"/>
        <v>262666.8</v>
      </c>
      <c r="J13" s="31" t="str">
        <f t="shared" si="8"/>
        <v>Kenaikan IU</v>
      </c>
      <c r="K13" s="79" t="s">
        <v>1059</v>
      </c>
      <c r="O13" s="20">
        <v>1</v>
      </c>
      <c r="P13" t="s">
        <v>2</v>
      </c>
      <c r="Q13" t="s">
        <v>3</v>
      </c>
      <c r="R13" t="s">
        <v>4</v>
      </c>
      <c r="S13" s="10">
        <v>2</v>
      </c>
      <c r="T13" t="s">
        <v>5</v>
      </c>
      <c r="U13" s="10">
        <v>15186.2778</v>
      </c>
      <c r="V13" s="19">
        <v>30372.5556</v>
      </c>
      <c r="X13" s="20" t="s">
        <v>366</v>
      </c>
      <c r="Y13" t="s">
        <v>367</v>
      </c>
      <c r="Z13" t="s">
        <v>67</v>
      </c>
      <c r="AA13">
        <v>1</v>
      </c>
      <c r="AB13" t="s">
        <v>94</v>
      </c>
      <c r="AC13">
        <v>2283.1999999999998</v>
      </c>
      <c r="AD13" s="19">
        <v>2283.1999999999998</v>
      </c>
      <c r="AG13" s="20">
        <v>1</v>
      </c>
      <c r="AH13" t="s">
        <v>2</v>
      </c>
      <c r="AI13" t="s">
        <v>3</v>
      </c>
      <c r="AJ13" t="s">
        <v>4</v>
      </c>
      <c r="AK13" s="10">
        <v>0.5</v>
      </c>
      <c r="AL13" t="s">
        <v>5</v>
      </c>
      <c r="AM13" s="10">
        <v>21000</v>
      </c>
      <c r="AN13" s="19">
        <v>10500</v>
      </c>
      <c r="AP13" s="20" t="s">
        <v>130</v>
      </c>
      <c r="AQ13" t="s">
        <v>131</v>
      </c>
      <c r="AR13" t="s">
        <v>123</v>
      </c>
      <c r="AS13" s="10">
        <v>13</v>
      </c>
      <c r="AT13" t="s">
        <v>5</v>
      </c>
      <c r="AU13" s="10">
        <v>6354.7565000000004</v>
      </c>
      <c r="AV13" s="19">
        <v>82611.834499999997</v>
      </c>
      <c r="AY13" s="20" t="s">
        <v>130</v>
      </c>
      <c r="AZ13" t="s">
        <v>131</v>
      </c>
      <c r="BA13" t="s">
        <v>123</v>
      </c>
      <c r="BB13" s="10">
        <v>13</v>
      </c>
      <c r="BC13" t="s">
        <v>5</v>
      </c>
      <c r="BD13" s="10">
        <v>6354.7565000000004</v>
      </c>
      <c r="BE13" s="19">
        <v>82611.834499999997</v>
      </c>
      <c r="BF13" s="19"/>
      <c r="BH13" s="20"/>
      <c r="BK13" s="10"/>
      <c r="BM13" s="10"/>
      <c r="BN13" s="19"/>
      <c r="BQ13" s="20"/>
      <c r="BT13" s="10"/>
      <c r="BV13" s="10"/>
      <c r="BW13" s="19"/>
      <c r="BX13" s="19"/>
      <c r="BZ13" s="20"/>
      <c r="CC13" s="10"/>
      <c r="CE13" s="10"/>
      <c r="CF13" s="19"/>
    </row>
    <row r="14" spans="1:84" x14ac:dyDescent="0.35">
      <c r="A14" s="38" t="str">
        <v>MKT00035</v>
      </c>
      <c r="B14" s="31" t="str">
        <f t="shared" si="0"/>
        <v>LIGHT BOX</v>
      </c>
      <c r="C14" s="31" t="str">
        <f t="shared" si="1"/>
        <v>MARKETING</v>
      </c>
      <c r="D14" s="31" t="str">
        <f t="shared" si="2"/>
        <v>pcs</v>
      </c>
      <c r="E14" s="47">
        <f t="shared" si="3"/>
        <v>290150</v>
      </c>
      <c r="F14" s="58" t="str">
        <f t="shared" si="4"/>
        <v>0</v>
      </c>
      <c r="G14" s="58">
        <f t="shared" si="5"/>
        <v>2</v>
      </c>
      <c r="H14" s="58">
        <f t="shared" si="6"/>
        <v>2</v>
      </c>
      <c r="I14" s="47">
        <f t="shared" si="7"/>
        <v>580300</v>
      </c>
      <c r="J14" s="31" t="str">
        <f t="shared" si="8"/>
        <v>Kenaikan IU</v>
      </c>
      <c r="K14" s="79" t="s">
        <v>1060</v>
      </c>
      <c r="O14" s="20">
        <v>2</v>
      </c>
      <c r="P14" t="s">
        <v>13</v>
      </c>
      <c r="Q14" t="s">
        <v>14</v>
      </c>
      <c r="R14" t="s">
        <v>4</v>
      </c>
      <c r="S14" s="10">
        <v>0.01</v>
      </c>
      <c r="T14" t="s">
        <v>15</v>
      </c>
      <c r="U14" s="10">
        <v>77700</v>
      </c>
      <c r="V14" s="19">
        <v>777</v>
      </c>
      <c r="X14" s="20" t="s">
        <v>774</v>
      </c>
      <c r="Y14" t="s">
        <v>775</v>
      </c>
      <c r="Z14" t="s">
        <v>165</v>
      </c>
      <c r="AA14">
        <v>1</v>
      </c>
      <c r="AB14" t="s">
        <v>20</v>
      </c>
      <c r="AC14">
        <v>5000</v>
      </c>
      <c r="AD14" s="19">
        <v>5000</v>
      </c>
      <c r="AG14" s="20">
        <v>2</v>
      </c>
      <c r="AH14" t="s">
        <v>13</v>
      </c>
      <c r="AI14" t="s">
        <v>14</v>
      </c>
      <c r="AJ14" t="s">
        <v>4</v>
      </c>
      <c r="AK14" s="10">
        <v>0.34</v>
      </c>
      <c r="AL14" t="s">
        <v>15</v>
      </c>
      <c r="AM14" s="10">
        <v>77700</v>
      </c>
      <c r="AN14" s="19">
        <v>26418</v>
      </c>
      <c r="AP14" s="20" t="s">
        <v>132</v>
      </c>
      <c r="AQ14" t="s">
        <v>133</v>
      </c>
      <c r="AR14" t="s">
        <v>123</v>
      </c>
      <c r="AS14" s="10">
        <v>2.7</v>
      </c>
      <c r="AT14" t="s">
        <v>134</v>
      </c>
      <c r="AU14" s="10">
        <v>13011.4902</v>
      </c>
      <c r="AV14" s="19">
        <v>35131.023540000002</v>
      </c>
      <c r="AY14" s="20" t="s">
        <v>132</v>
      </c>
      <c r="AZ14" t="s">
        <v>133</v>
      </c>
      <c r="BA14" t="s">
        <v>123</v>
      </c>
      <c r="BB14" s="10">
        <v>2.7</v>
      </c>
      <c r="BC14" t="s">
        <v>134</v>
      </c>
      <c r="BD14" s="10">
        <v>13011.4902</v>
      </c>
      <c r="BE14" s="19">
        <v>35131.023540000002</v>
      </c>
      <c r="BF14" s="19"/>
      <c r="BH14" s="20"/>
      <c r="BK14" s="10"/>
      <c r="BM14" s="10"/>
      <c r="BN14" s="19"/>
      <c r="BQ14" s="20"/>
      <c r="BT14" s="10"/>
      <c r="BV14" s="10"/>
      <c r="BW14" s="19"/>
      <c r="BX14" s="19"/>
      <c r="BZ14" s="20"/>
      <c r="CC14" s="10"/>
      <c r="CE14" s="10"/>
      <c r="CF14" s="19"/>
    </row>
    <row r="15" spans="1:84" x14ac:dyDescent="0.35">
      <c r="A15" s="38" t="str">
        <v>NCG00018</v>
      </c>
      <c r="B15" s="31" t="str">
        <f t="shared" si="0"/>
        <v>SARUNG TANGAN PELASTIK</v>
      </c>
      <c r="C15" s="31" t="str">
        <f t="shared" si="1"/>
        <v>NCG</v>
      </c>
      <c r="D15" s="31" t="str">
        <f t="shared" si="2"/>
        <v>pack</v>
      </c>
      <c r="E15" s="47">
        <f t="shared" si="3"/>
        <v>5001.3536000000004</v>
      </c>
      <c r="F15" s="58">
        <f t="shared" si="4"/>
        <v>5</v>
      </c>
      <c r="G15" s="58">
        <f t="shared" si="5"/>
        <v>3</v>
      </c>
      <c r="H15" s="58">
        <f t="shared" si="6"/>
        <v>-2</v>
      </c>
      <c r="I15" s="47">
        <f t="shared" si="7"/>
        <v>-10002.707200000001</v>
      </c>
      <c r="J15" s="31" t="str">
        <f t="shared" si="8"/>
        <v>Penurunan IU</v>
      </c>
      <c r="K15" s="79" t="s">
        <v>1061</v>
      </c>
      <c r="O15" s="20">
        <v>3</v>
      </c>
      <c r="P15" t="s">
        <v>28</v>
      </c>
      <c r="Q15" t="s">
        <v>29</v>
      </c>
      <c r="R15" t="s">
        <v>4</v>
      </c>
      <c r="S15" s="10">
        <v>3</v>
      </c>
      <c r="T15" t="s">
        <v>30</v>
      </c>
      <c r="U15" s="10">
        <v>19760</v>
      </c>
      <c r="V15" s="19">
        <v>59280</v>
      </c>
      <c r="X15" s="20" t="s">
        <v>115</v>
      </c>
      <c r="Y15" t="s">
        <v>116</v>
      </c>
      <c r="Z15" t="s">
        <v>117</v>
      </c>
      <c r="AA15" s="10">
        <v>300</v>
      </c>
      <c r="AB15" t="s">
        <v>52</v>
      </c>
      <c r="AC15" s="10">
        <v>656.66700000000003</v>
      </c>
      <c r="AD15" s="19">
        <v>197000.1</v>
      </c>
      <c r="AG15" s="20">
        <v>3</v>
      </c>
      <c r="AH15" t="s">
        <v>28</v>
      </c>
      <c r="AI15" t="s">
        <v>29</v>
      </c>
      <c r="AJ15" t="s">
        <v>4</v>
      </c>
      <c r="AK15" s="10">
        <v>3</v>
      </c>
      <c r="AL15" t="s">
        <v>30</v>
      </c>
      <c r="AM15" s="10">
        <v>19760</v>
      </c>
      <c r="AN15" s="19">
        <v>59280</v>
      </c>
      <c r="AP15" s="20" t="s">
        <v>137</v>
      </c>
      <c r="AQ15" t="s">
        <v>138</v>
      </c>
      <c r="AR15" t="s">
        <v>123</v>
      </c>
      <c r="AS15" s="10">
        <v>0.2</v>
      </c>
      <c r="AT15" t="s">
        <v>5</v>
      </c>
      <c r="AU15" s="10">
        <v>15184.939400000001</v>
      </c>
      <c r="AV15" s="19">
        <v>3036.9878800000001</v>
      </c>
      <c r="AY15" s="20" t="s">
        <v>137</v>
      </c>
      <c r="AZ15" t="s">
        <v>138</v>
      </c>
      <c r="BA15" t="s">
        <v>123</v>
      </c>
      <c r="BB15" s="10">
        <v>0.2</v>
      </c>
      <c r="BC15" t="s">
        <v>5</v>
      </c>
      <c r="BD15" s="10">
        <v>15184.939400000001</v>
      </c>
      <c r="BE15" s="19">
        <v>3036.9878800000001</v>
      </c>
      <c r="BF15" s="19"/>
      <c r="BH15" s="20"/>
      <c r="BK15" s="10"/>
      <c r="BM15" s="10"/>
      <c r="BN15" s="19"/>
      <c r="BQ15" s="20"/>
      <c r="BT15" s="10"/>
      <c r="BV15" s="10"/>
      <c r="BW15" s="19"/>
      <c r="BX15" s="19"/>
      <c r="BZ15" s="20"/>
      <c r="CC15" s="10"/>
      <c r="CE15" s="10"/>
      <c r="CF15" s="19"/>
    </row>
    <row r="16" spans="1:84" x14ac:dyDescent="0.35">
      <c r="A16" s="38" t="str">
        <v>NCGK0001</v>
      </c>
      <c r="B16" s="31" t="str">
        <f t="shared" si="0"/>
        <v>PLASTIK PE 2 KG 20 x 35 (Kitchen)</v>
      </c>
      <c r="C16" s="31" t="str">
        <f t="shared" si="1"/>
        <v>NCG</v>
      </c>
      <c r="D16" s="31" t="str">
        <f t="shared" si="2"/>
        <v>pack</v>
      </c>
      <c r="E16" s="47">
        <f t="shared" si="3"/>
        <v>5261.6877999999997</v>
      </c>
      <c r="F16" s="58">
        <f t="shared" si="4"/>
        <v>3</v>
      </c>
      <c r="G16" s="58">
        <f t="shared" si="5"/>
        <v>0.2</v>
      </c>
      <c r="H16" s="58">
        <f t="shared" si="6"/>
        <v>-2.8</v>
      </c>
      <c r="I16" s="47">
        <f t="shared" si="7"/>
        <v>-14732.725839999997</v>
      </c>
      <c r="J16" s="31" t="str">
        <f t="shared" si="8"/>
        <v>Penurunan IU</v>
      </c>
      <c r="K16" s="79" t="s">
        <v>1062</v>
      </c>
      <c r="O16" s="20">
        <v>4</v>
      </c>
      <c r="P16" t="s">
        <v>33</v>
      </c>
      <c r="Q16" t="s">
        <v>34</v>
      </c>
      <c r="R16" t="s">
        <v>4</v>
      </c>
      <c r="S16" s="10">
        <v>3</v>
      </c>
      <c r="T16" t="s">
        <v>30</v>
      </c>
      <c r="U16" s="10">
        <v>13000</v>
      </c>
      <c r="V16" s="19">
        <v>39000</v>
      </c>
      <c r="X16" s="20" t="s">
        <v>121</v>
      </c>
      <c r="Y16" t="s">
        <v>122</v>
      </c>
      <c r="Z16" t="s">
        <v>123</v>
      </c>
      <c r="AA16" s="10">
        <v>5</v>
      </c>
      <c r="AB16" t="s">
        <v>5</v>
      </c>
      <c r="AC16" s="10">
        <v>5006.7677999999996</v>
      </c>
      <c r="AD16" s="19">
        <v>25033.839</v>
      </c>
      <c r="AG16" s="20">
        <v>4</v>
      </c>
      <c r="AH16" t="s">
        <v>33</v>
      </c>
      <c r="AI16" t="s">
        <v>34</v>
      </c>
      <c r="AJ16" t="s">
        <v>4</v>
      </c>
      <c r="AK16" s="10">
        <v>4</v>
      </c>
      <c r="AL16" t="s">
        <v>30</v>
      </c>
      <c r="AM16" s="10">
        <v>13000</v>
      </c>
      <c r="AN16" s="19">
        <v>52000</v>
      </c>
      <c r="AP16" s="20" t="s">
        <v>139</v>
      </c>
      <c r="AQ16" t="s">
        <v>140</v>
      </c>
      <c r="AR16" t="s">
        <v>123</v>
      </c>
      <c r="AS16" s="10">
        <v>2.1</v>
      </c>
      <c r="AT16" t="s">
        <v>5</v>
      </c>
      <c r="AU16" s="10">
        <v>42590.793100000003</v>
      </c>
      <c r="AV16" s="19">
        <v>89440.665510000006</v>
      </c>
      <c r="AY16" s="20" t="s">
        <v>139</v>
      </c>
      <c r="AZ16" t="s">
        <v>140</v>
      </c>
      <c r="BA16" t="s">
        <v>123</v>
      </c>
      <c r="BB16" s="10">
        <v>2.1</v>
      </c>
      <c r="BC16" t="s">
        <v>5</v>
      </c>
      <c r="BD16" s="10">
        <v>42590.793100000003</v>
      </c>
      <c r="BE16" s="19">
        <v>89440.665510000006</v>
      </c>
      <c r="BF16" s="19"/>
      <c r="BH16" s="20"/>
      <c r="BK16" s="10"/>
      <c r="BM16" s="10"/>
      <c r="BN16" s="19"/>
      <c r="BQ16" s="20"/>
      <c r="BT16" s="10"/>
      <c r="BV16" s="10"/>
      <c r="BW16" s="19"/>
      <c r="BX16" s="19"/>
      <c r="BZ16" s="20"/>
      <c r="CC16" s="10"/>
      <c r="CE16" s="10"/>
      <c r="CF16" s="19"/>
    </row>
    <row r="17" spans="1:84" x14ac:dyDescent="0.35">
      <c r="A17" s="38" t="str">
        <v>NCGK0006</v>
      </c>
      <c r="B17" s="31" t="str">
        <f t="shared" si="0"/>
        <v>TISSUE SEE-U HANDTOWELS @ 20 PACK</v>
      </c>
      <c r="C17" s="31" t="str">
        <f t="shared" si="1"/>
        <v>NCG</v>
      </c>
      <c r="D17" s="31" t="str">
        <f t="shared" si="2"/>
        <v>pack</v>
      </c>
      <c r="E17" s="47">
        <f t="shared" si="3"/>
        <v>6354.7565000000004</v>
      </c>
      <c r="F17" s="58">
        <f t="shared" si="4"/>
        <v>17</v>
      </c>
      <c r="G17" s="58">
        <f t="shared" si="5"/>
        <v>13</v>
      </c>
      <c r="H17" s="58">
        <f t="shared" si="6"/>
        <v>-4</v>
      </c>
      <c r="I17" s="47">
        <f t="shared" si="7"/>
        <v>-25419.026000000002</v>
      </c>
      <c r="J17" s="31" t="str">
        <f t="shared" si="8"/>
        <v>Penurunan IU</v>
      </c>
      <c r="K17" s="79" t="s">
        <v>1063</v>
      </c>
      <c r="O17" s="20">
        <v>5</v>
      </c>
      <c r="P17" t="s">
        <v>57</v>
      </c>
      <c r="Q17" t="s">
        <v>58</v>
      </c>
      <c r="R17" t="s">
        <v>41</v>
      </c>
      <c r="S17" s="10">
        <v>3</v>
      </c>
      <c r="T17" t="s">
        <v>5</v>
      </c>
      <c r="U17" s="10">
        <v>7698.5586000000012</v>
      </c>
      <c r="V17" s="19">
        <v>23095.675800000001</v>
      </c>
      <c r="X17" s="20" t="s">
        <v>124</v>
      </c>
      <c r="Y17" t="s">
        <v>125</v>
      </c>
      <c r="Z17" t="s">
        <v>123</v>
      </c>
      <c r="AA17" s="10">
        <v>3</v>
      </c>
      <c r="AB17" t="s">
        <v>5</v>
      </c>
      <c r="AC17" s="10">
        <v>5261.6877999999997</v>
      </c>
      <c r="AD17" s="19">
        <v>15785.063399999999</v>
      </c>
      <c r="AG17" s="20">
        <v>5</v>
      </c>
      <c r="AH17" t="s">
        <v>453</v>
      </c>
      <c r="AI17" t="s">
        <v>454</v>
      </c>
      <c r="AJ17" t="s">
        <v>41</v>
      </c>
      <c r="AK17" s="10">
        <v>1</v>
      </c>
      <c r="AL17" t="s">
        <v>267</v>
      </c>
      <c r="AM17" s="10">
        <v>18785.263200000001</v>
      </c>
      <c r="AN17" s="19">
        <v>18785.263200000001</v>
      </c>
      <c r="AP17" s="20" t="s">
        <v>145</v>
      </c>
      <c r="AQ17" t="s">
        <v>146</v>
      </c>
      <c r="AR17" t="s">
        <v>123</v>
      </c>
      <c r="AS17" s="10">
        <v>26</v>
      </c>
      <c r="AT17" t="s">
        <v>5</v>
      </c>
      <c r="AU17" s="10">
        <v>4604.1441999999997</v>
      </c>
      <c r="AV17" s="19">
        <v>119707.74920000001</v>
      </c>
      <c r="AY17" s="20" t="s">
        <v>145</v>
      </c>
      <c r="AZ17" t="s">
        <v>146</v>
      </c>
      <c r="BA17" t="s">
        <v>123</v>
      </c>
      <c r="BB17" s="10">
        <v>26</v>
      </c>
      <c r="BC17" t="s">
        <v>5</v>
      </c>
      <c r="BD17" s="10">
        <v>4604.1441999999997</v>
      </c>
      <c r="BE17" s="19">
        <v>119707.74920000001</v>
      </c>
      <c r="BF17" s="19"/>
      <c r="BH17" s="20"/>
      <c r="BK17" s="10"/>
      <c r="BM17" s="10"/>
      <c r="BN17" s="19"/>
      <c r="BQ17" s="20"/>
      <c r="BT17" s="10"/>
      <c r="BV17" s="10"/>
      <c r="BW17" s="19"/>
      <c r="BX17" s="19"/>
      <c r="BZ17" s="20"/>
      <c r="CC17" s="10"/>
      <c r="CE17" s="10"/>
      <c r="CF17" s="19"/>
    </row>
    <row r="18" spans="1:84" x14ac:dyDescent="0.35">
      <c r="A18" s="38" t="str">
        <v>NCGK0007</v>
      </c>
      <c r="B18" s="31" t="str">
        <f t="shared" si="0"/>
        <v>GAS BUTANE PORTABLE PURITY 230G @24 CAN</v>
      </c>
      <c r="C18" s="31" t="str">
        <f t="shared" si="1"/>
        <v>NCG</v>
      </c>
      <c r="D18" s="31" t="str">
        <f t="shared" si="2"/>
        <v>can</v>
      </c>
      <c r="E18" s="47">
        <f t="shared" si="3"/>
        <v>13011.4902</v>
      </c>
      <c r="F18" s="58">
        <f t="shared" si="4"/>
        <v>7</v>
      </c>
      <c r="G18" s="58">
        <f t="shared" si="5"/>
        <v>2.7</v>
      </c>
      <c r="H18" s="58">
        <f t="shared" si="6"/>
        <v>-4.3</v>
      </c>
      <c r="I18" s="47">
        <f t="shared" si="7"/>
        <v>-55949.407859999999</v>
      </c>
      <c r="J18" s="31" t="str">
        <f t="shared" si="8"/>
        <v>Penurunan IU</v>
      </c>
      <c r="K18" s="79" t="s">
        <v>1064</v>
      </c>
      <c r="O18" s="20">
        <v>6</v>
      </c>
      <c r="P18" t="s">
        <v>61</v>
      </c>
      <c r="Q18" t="s">
        <v>62</v>
      </c>
      <c r="R18" t="s">
        <v>41</v>
      </c>
      <c r="S18">
        <v>1</v>
      </c>
      <c r="T18" t="s">
        <v>5</v>
      </c>
      <c r="U18">
        <v>19613.8773</v>
      </c>
      <c r="V18" s="19">
        <v>19613.8773</v>
      </c>
      <c r="X18" s="20" t="s">
        <v>128</v>
      </c>
      <c r="Y18" t="s">
        <v>129</v>
      </c>
      <c r="Z18" t="s">
        <v>123</v>
      </c>
      <c r="AA18" s="10">
        <v>0.5</v>
      </c>
      <c r="AB18" t="s">
        <v>74</v>
      </c>
      <c r="AC18" s="10">
        <v>141456.55870431999</v>
      </c>
      <c r="AD18" s="19">
        <v>70728.279351999998</v>
      </c>
      <c r="AG18" s="20">
        <v>6</v>
      </c>
      <c r="AH18" t="s">
        <v>57</v>
      </c>
      <c r="AI18" t="s">
        <v>58</v>
      </c>
      <c r="AJ18" t="s">
        <v>41</v>
      </c>
      <c r="AK18" s="10">
        <v>2.2000000000000002</v>
      </c>
      <c r="AL18" t="s">
        <v>5</v>
      </c>
      <c r="AM18" s="10">
        <v>7699.4135999999999</v>
      </c>
      <c r="AN18" s="19">
        <v>16938.709920000001</v>
      </c>
      <c r="AP18" s="20" t="s">
        <v>748</v>
      </c>
      <c r="AQ18" t="s">
        <v>749</v>
      </c>
      <c r="AR18" t="s">
        <v>151</v>
      </c>
      <c r="AS18">
        <v>70</v>
      </c>
      <c r="AT18" t="s">
        <v>30</v>
      </c>
      <c r="AU18">
        <v>1092.2786000000001</v>
      </c>
      <c r="AV18" s="19">
        <v>76459.501999999993</v>
      </c>
      <c r="AY18" s="20" t="s">
        <v>748</v>
      </c>
      <c r="AZ18" t="s">
        <v>749</v>
      </c>
      <c r="BA18" t="s">
        <v>151</v>
      </c>
      <c r="BB18">
        <v>70</v>
      </c>
      <c r="BC18" t="s">
        <v>30</v>
      </c>
      <c r="BD18">
        <v>1092.2786000000001</v>
      </c>
      <c r="BE18" s="19">
        <v>76459.501999999993</v>
      </c>
      <c r="BF18" s="19"/>
      <c r="BH18" s="20"/>
      <c r="BK18" s="10"/>
      <c r="BM18" s="10"/>
      <c r="BN18" s="19"/>
      <c r="BQ18" s="20"/>
      <c r="BT18" s="10"/>
      <c r="BV18" s="10"/>
      <c r="BW18" s="19"/>
      <c r="BX18" s="19"/>
      <c r="BZ18" s="20"/>
      <c r="CC18" s="10"/>
      <c r="CE18" s="10"/>
      <c r="CF18" s="19"/>
    </row>
    <row r="19" spans="1:84" ht="15" thickBot="1" x14ac:dyDescent="0.4">
      <c r="A19" s="38" t="str">
        <v>NCGK0009</v>
      </c>
      <c r="B19" s="31" t="str">
        <f t="shared" si="0"/>
        <v>PLASTIK PE 10 KG 40 x 60</v>
      </c>
      <c r="C19" s="31" t="str">
        <f t="shared" si="1"/>
        <v>NCG</v>
      </c>
      <c r="D19" s="31" t="str">
        <f t="shared" si="2"/>
        <v>pack</v>
      </c>
      <c r="E19" s="47">
        <f t="shared" si="3"/>
        <v>15184.939400000001</v>
      </c>
      <c r="F19" s="58">
        <f t="shared" si="4"/>
        <v>0.1</v>
      </c>
      <c r="G19" s="58">
        <f t="shared" si="5"/>
        <v>0.2</v>
      </c>
      <c r="H19" s="58">
        <f t="shared" si="6"/>
        <v>0.1</v>
      </c>
      <c r="I19" s="47">
        <f t="shared" si="7"/>
        <v>1518.4939400000003</v>
      </c>
      <c r="J19" s="31" t="str">
        <f t="shared" si="8"/>
        <v>Kenaikan IU</v>
      </c>
      <c r="K19" s="79" t="s">
        <v>1065</v>
      </c>
      <c r="O19" s="22" t="s">
        <v>223</v>
      </c>
      <c r="P19" s="23" t="s">
        <v>223</v>
      </c>
      <c r="Q19" s="23" t="s">
        <v>223</v>
      </c>
      <c r="R19" s="23" t="s">
        <v>223</v>
      </c>
      <c r="S19" s="23" t="s">
        <v>223</v>
      </c>
      <c r="T19" s="23" t="s">
        <v>223</v>
      </c>
      <c r="U19" s="23" t="s">
        <v>224</v>
      </c>
      <c r="V19" s="24">
        <v>172139.10869999998</v>
      </c>
      <c r="X19" s="20" t="s">
        <v>130</v>
      </c>
      <c r="Y19" t="s">
        <v>131</v>
      </c>
      <c r="Z19" t="s">
        <v>123</v>
      </c>
      <c r="AA19" s="10">
        <v>17</v>
      </c>
      <c r="AB19" t="s">
        <v>5</v>
      </c>
      <c r="AC19" s="10">
        <v>6353.3729000000003</v>
      </c>
      <c r="AD19" s="19">
        <v>108007.33930000001</v>
      </c>
      <c r="AG19" s="20">
        <v>7</v>
      </c>
      <c r="AH19" t="s">
        <v>61</v>
      </c>
      <c r="AI19" t="s">
        <v>62</v>
      </c>
      <c r="AJ19" t="s">
        <v>41</v>
      </c>
      <c r="AK19">
        <v>1.5</v>
      </c>
      <c r="AL19" t="s">
        <v>5</v>
      </c>
      <c r="AM19">
        <v>19613.8773</v>
      </c>
      <c r="AN19" s="19">
        <v>29420.81595</v>
      </c>
      <c r="AP19" s="20" t="s">
        <v>388</v>
      </c>
      <c r="AQ19" t="s">
        <v>389</v>
      </c>
      <c r="AR19" t="s">
        <v>67</v>
      </c>
      <c r="AS19" s="10">
        <v>1</v>
      </c>
      <c r="AT19" t="s">
        <v>20</v>
      </c>
      <c r="AU19" s="10">
        <v>2763.4</v>
      </c>
      <c r="AV19" s="19">
        <v>2763.4</v>
      </c>
      <c r="AY19" s="20" t="s">
        <v>388</v>
      </c>
      <c r="AZ19" t="s">
        <v>389</v>
      </c>
      <c r="BA19" t="s">
        <v>67</v>
      </c>
      <c r="BB19" s="10">
        <v>1</v>
      </c>
      <c r="BC19" t="s">
        <v>20</v>
      </c>
      <c r="BD19" s="10">
        <v>2763.4</v>
      </c>
      <c r="BE19" s="19">
        <v>2763.4</v>
      </c>
      <c r="BF19" s="24"/>
      <c r="BH19" s="20"/>
      <c r="BN19" s="19"/>
      <c r="BQ19" s="20"/>
      <c r="BW19" s="19"/>
      <c r="BX19" s="19"/>
      <c r="BZ19" s="20"/>
      <c r="CF19" s="19"/>
    </row>
    <row r="20" spans="1:84" ht="15" thickBot="1" x14ac:dyDescent="0.4">
      <c r="A20" s="38" t="str">
        <v>NCGK0011</v>
      </c>
      <c r="B20" s="31" t="str">
        <f t="shared" si="0"/>
        <v>HAND GLOVES NITRILE SIZE M</v>
      </c>
      <c r="C20" s="31" t="str">
        <f t="shared" si="1"/>
        <v>NCG</v>
      </c>
      <c r="D20" s="31" t="str">
        <f t="shared" si="2"/>
        <v>pack</v>
      </c>
      <c r="E20" s="47">
        <f t="shared" si="3"/>
        <v>42590.793100000003</v>
      </c>
      <c r="F20" s="58">
        <f t="shared" si="4"/>
        <v>3</v>
      </c>
      <c r="G20" s="58">
        <f t="shared" si="5"/>
        <v>2.1</v>
      </c>
      <c r="H20" s="58">
        <f t="shared" si="6"/>
        <v>-0.89999999999999991</v>
      </c>
      <c r="I20" s="47">
        <f t="shared" si="7"/>
        <v>-38331.713790000002</v>
      </c>
      <c r="J20" s="31" t="str">
        <f t="shared" si="8"/>
        <v>Penurunan IU</v>
      </c>
      <c r="K20" s="79" t="s">
        <v>1066</v>
      </c>
      <c r="X20" s="20" t="s">
        <v>132</v>
      </c>
      <c r="Y20" t="s">
        <v>133</v>
      </c>
      <c r="Z20" t="s">
        <v>123</v>
      </c>
      <c r="AA20" s="10">
        <v>7</v>
      </c>
      <c r="AB20" t="s">
        <v>134</v>
      </c>
      <c r="AC20" s="10">
        <v>13011.4902</v>
      </c>
      <c r="AD20" s="19">
        <v>91080.431400000001</v>
      </c>
      <c r="AG20" s="22" t="s">
        <v>223</v>
      </c>
      <c r="AH20" s="23" t="s">
        <v>223</v>
      </c>
      <c r="AI20" s="23" t="s">
        <v>223</v>
      </c>
      <c r="AJ20" s="23" t="s">
        <v>223</v>
      </c>
      <c r="AK20" s="23" t="s">
        <v>223</v>
      </c>
      <c r="AL20" s="23" t="s">
        <v>223</v>
      </c>
      <c r="AM20" s="23" t="s">
        <v>224</v>
      </c>
      <c r="AN20" s="24">
        <v>213342.78906999997</v>
      </c>
      <c r="AP20" s="20" t="s">
        <v>359</v>
      </c>
      <c r="AQ20" t="s">
        <v>360</v>
      </c>
      <c r="AR20" t="s">
        <v>67</v>
      </c>
      <c r="AS20" s="10">
        <v>0.5</v>
      </c>
      <c r="AT20" t="s">
        <v>216</v>
      </c>
      <c r="AU20" s="10">
        <v>20000</v>
      </c>
      <c r="AV20" s="19">
        <v>10000</v>
      </c>
      <c r="AY20" s="20" t="s">
        <v>359</v>
      </c>
      <c r="AZ20" t="s">
        <v>360</v>
      </c>
      <c r="BA20" t="s">
        <v>67</v>
      </c>
      <c r="BB20" s="10">
        <v>0.5</v>
      </c>
      <c r="BC20" t="s">
        <v>216</v>
      </c>
      <c r="BD20" s="10">
        <v>20000</v>
      </c>
      <c r="BE20" s="19">
        <v>10000</v>
      </c>
      <c r="BH20" s="20"/>
      <c r="BN20" s="19"/>
      <c r="BQ20" s="20"/>
      <c r="BW20" s="19"/>
      <c r="BX20" s="24"/>
      <c r="BZ20" s="20"/>
      <c r="CC20" s="10"/>
      <c r="CE20" s="10"/>
      <c r="CF20" s="19"/>
    </row>
    <row r="21" spans="1:84" ht="15" thickBot="1" x14ac:dyDescent="0.4">
      <c r="A21" s="38" t="str">
        <v>NCGS0001</v>
      </c>
      <c r="B21" s="31" t="str">
        <f t="shared" si="0"/>
        <v>TISSUE COCKTAIL NAPKIN 11x11 (48 PACK)</v>
      </c>
      <c r="C21" s="31" t="str">
        <f t="shared" si="1"/>
        <v>NCG</v>
      </c>
      <c r="D21" s="31" t="str">
        <f t="shared" si="2"/>
        <v>pack</v>
      </c>
      <c r="E21" s="47">
        <f t="shared" si="3"/>
        <v>4604.1441999999997</v>
      </c>
      <c r="F21" s="58">
        <f t="shared" si="4"/>
        <v>29</v>
      </c>
      <c r="G21" s="58">
        <f t="shared" si="5"/>
        <v>26</v>
      </c>
      <c r="H21" s="58">
        <f t="shared" si="6"/>
        <v>-3</v>
      </c>
      <c r="I21" s="47">
        <f t="shared" si="7"/>
        <v>-13812.4326</v>
      </c>
      <c r="J21" s="31" t="str">
        <f t="shared" si="8"/>
        <v>Penurunan IU</v>
      </c>
      <c r="K21" s="79" t="s">
        <v>1067</v>
      </c>
      <c r="X21" s="20" t="s">
        <v>137</v>
      </c>
      <c r="Y21" t="s">
        <v>138</v>
      </c>
      <c r="Z21" t="s">
        <v>123</v>
      </c>
      <c r="AA21" s="10">
        <v>0.1</v>
      </c>
      <c r="AB21" t="s">
        <v>5</v>
      </c>
      <c r="AC21" s="10">
        <v>15184.939400000001</v>
      </c>
      <c r="AD21" s="19">
        <v>1518.4939400000001</v>
      </c>
      <c r="AP21" s="20" t="s">
        <v>238</v>
      </c>
      <c r="AQ21" t="s">
        <v>239</v>
      </c>
      <c r="AR21" t="s">
        <v>67</v>
      </c>
      <c r="AS21" s="10">
        <v>0.2</v>
      </c>
      <c r="AT21" t="s">
        <v>74</v>
      </c>
      <c r="AU21" s="10">
        <v>7330.6451666599996</v>
      </c>
      <c r="AV21" s="19">
        <v>1466.1290329999999</v>
      </c>
      <c r="AY21" s="20" t="s">
        <v>238</v>
      </c>
      <c r="AZ21" t="s">
        <v>239</v>
      </c>
      <c r="BA21" t="s">
        <v>67</v>
      </c>
      <c r="BB21" s="10">
        <v>0.2</v>
      </c>
      <c r="BC21" t="s">
        <v>74</v>
      </c>
      <c r="BD21" s="10">
        <v>7330.6451666599996</v>
      </c>
      <c r="BE21" s="19">
        <v>1466.1290329999999</v>
      </c>
      <c r="BH21" s="20"/>
      <c r="BK21" s="10"/>
      <c r="BM21" s="10"/>
      <c r="BN21" s="19"/>
      <c r="BQ21" s="20"/>
      <c r="BT21" s="10"/>
      <c r="BV21" s="10"/>
      <c r="BW21" s="19"/>
      <c r="BZ21" s="20"/>
      <c r="CC21" s="10"/>
      <c r="CE21" s="10"/>
      <c r="CF21" s="19"/>
    </row>
    <row r="22" spans="1:84" ht="15" thickBot="1" x14ac:dyDescent="0.4">
      <c r="A22" s="38" t="str">
        <v>OTH00091</v>
      </c>
      <c r="B22" s="31" t="str">
        <f t="shared" si="0"/>
        <v>LE MINERALE GALON</v>
      </c>
      <c r="C22" s="31" t="str">
        <f t="shared" si="1"/>
        <v>OTHERS</v>
      </c>
      <c r="D22" s="31" t="str">
        <f t="shared" si="2"/>
        <v>liter</v>
      </c>
      <c r="E22" s="47">
        <f t="shared" si="3"/>
        <v>1092.2786000000001</v>
      </c>
      <c r="F22" s="58">
        <f t="shared" si="4"/>
        <v>105</v>
      </c>
      <c r="G22" s="58">
        <f t="shared" si="5"/>
        <v>70</v>
      </c>
      <c r="H22" s="58">
        <f t="shared" si="6"/>
        <v>-35</v>
      </c>
      <c r="I22" s="47">
        <f t="shared" si="7"/>
        <v>-38229.751000000004</v>
      </c>
      <c r="J22" s="31" t="str">
        <f t="shared" si="8"/>
        <v>Penurunan IU</v>
      </c>
      <c r="K22" s="79" t="s">
        <v>1068</v>
      </c>
      <c r="O22" s="84" t="s">
        <v>0</v>
      </c>
      <c r="P22" s="85"/>
      <c r="Q22" s="85"/>
      <c r="R22" s="85"/>
      <c r="S22" s="85"/>
      <c r="T22" s="16"/>
      <c r="U22" s="16"/>
      <c r="V22" s="17"/>
      <c r="X22" s="20" t="s">
        <v>139</v>
      </c>
      <c r="Y22" t="s">
        <v>140</v>
      </c>
      <c r="Z22" t="s">
        <v>123</v>
      </c>
      <c r="AA22" s="10">
        <v>3</v>
      </c>
      <c r="AB22" t="s">
        <v>5</v>
      </c>
      <c r="AC22" s="10">
        <v>42000</v>
      </c>
      <c r="AD22" s="19">
        <v>126000</v>
      </c>
      <c r="AP22" s="20" t="s">
        <v>246</v>
      </c>
      <c r="AQ22" t="s">
        <v>247</v>
      </c>
      <c r="AR22" t="s">
        <v>67</v>
      </c>
      <c r="AS22" s="10">
        <v>2</v>
      </c>
      <c r="AT22" t="s">
        <v>5</v>
      </c>
      <c r="AU22" s="10">
        <v>3035.7869000000001</v>
      </c>
      <c r="AV22" s="19">
        <v>6071.5738000000001</v>
      </c>
      <c r="AY22" s="20" t="s">
        <v>246</v>
      </c>
      <c r="AZ22" t="s">
        <v>247</v>
      </c>
      <c r="BA22" t="s">
        <v>67</v>
      </c>
      <c r="BB22" s="10">
        <v>2</v>
      </c>
      <c r="BC22" t="s">
        <v>5</v>
      </c>
      <c r="BD22" s="10">
        <v>3035.7869000000001</v>
      </c>
      <c r="BE22" s="19">
        <v>6071.5738000000001</v>
      </c>
      <c r="BF22" s="17"/>
      <c r="BH22" s="20"/>
      <c r="BK22" s="10"/>
      <c r="BM22" s="10"/>
      <c r="BN22" s="19"/>
      <c r="BQ22" s="20"/>
      <c r="BT22" s="10"/>
      <c r="BV22" s="10"/>
      <c r="BW22" s="19"/>
      <c r="BZ22" s="20"/>
      <c r="CC22" s="10"/>
      <c r="CE22" s="10"/>
      <c r="CF22" s="19"/>
    </row>
    <row r="23" spans="1:84" x14ac:dyDescent="0.35">
      <c r="A23" s="38" t="str">
        <v>STA00027</v>
      </c>
      <c r="B23" s="31" t="str">
        <f t="shared" si="0"/>
        <v>BALLPOINT</v>
      </c>
      <c r="C23" s="31" t="str">
        <f t="shared" si="1"/>
        <v>STATIONARY AND OFFICE SUPPLIES</v>
      </c>
      <c r="D23" s="31" t="str">
        <f t="shared" si="2"/>
        <v>pcs</v>
      </c>
      <c r="E23" s="47">
        <f t="shared" si="3"/>
        <v>2763.4</v>
      </c>
      <c r="F23" s="58">
        <f t="shared" si="4"/>
        <v>2</v>
      </c>
      <c r="G23" s="58">
        <f t="shared" si="5"/>
        <v>1</v>
      </c>
      <c r="H23" s="58">
        <f t="shared" si="6"/>
        <v>-1</v>
      </c>
      <c r="I23" s="47">
        <f t="shared" si="7"/>
        <v>-2763.4</v>
      </c>
      <c r="J23" s="31" t="str">
        <f t="shared" si="8"/>
        <v>Penurunan IU</v>
      </c>
      <c r="K23" s="79" t="s">
        <v>1069</v>
      </c>
      <c r="O23" s="82" t="s">
        <v>1</v>
      </c>
      <c r="P23" s="87"/>
      <c r="Q23" s="87"/>
      <c r="R23" s="87"/>
      <c r="S23" s="87"/>
      <c r="V23" s="19"/>
      <c r="X23" s="20" t="s">
        <v>141</v>
      </c>
      <c r="Y23" t="s">
        <v>142</v>
      </c>
      <c r="Z23" t="s">
        <v>123</v>
      </c>
      <c r="AA23" s="10">
        <v>4</v>
      </c>
      <c r="AB23" t="s">
        <v>5</v>
      </c>
      <c r="AC23" s="10">
        <v>41655.553500000002</v>
      </c>
      <c r="AD23" s="19">
        <v>166622.21400000001</v>
      </c>
      <c r="AG23" s="84" t="s">
        <v>0</v>
      </c>
      <c r="AH23" s="85"/>
      <c r="AI23" s="85"/>
      <c r="AJ23" s="85"/>
      <c r="AK23" s="85"/>
      <c r="AL23" s="16"/>
      <c r="AM23" s="16"/>
      <c r="AN23" s="17"/>
      <c r="AP23" s="20" t="s">
        <v>92</v>
      </c>
      <c r="AQ23" t="s">
        <v>93</v>
      </c>
      <c r="AR23" t="s">
        <v>67</v>
      </c>
      <c r="AS23" s="10">
        <v>11</v>
      </c>
      <c r="AT23" t="s">
        <v>94</v>
      </c>
      <c r="AU23" s="10">
        <v>11850.833099999998</v>
      </c>
      <c r="AV23" s="19">
        <v>130359.16409999999</v>
      </c>
      <c r="AY23" s="20" t="s">
        <v>92</v>
      </c>
      <c r="AZ23" t="s">
        <v>93</v>
      </c>
      <c r="BA23" t="s">
        <v>67</v>
      </c>
      <c r="BB23" s="10">
        <v>11</v>
      </c>
      <c r="BC23" t="s">
        <v>94</v>
      </c>
      <c r="BD23" s="10">
        <v>11850.833099999998</v>
      </c>
      <c r="BE23" s="19">
        <v>130359.16409999999</v>
      </c>
      <c r="BF23" s="19"/>
      <c r="BH23" s="20"/>
      <c r="BK23" s="10"/>
      <c r="BM23" s="10"/>
      <c r="BN23" s="19"/>
      <c r="BQ23" s="20"/>
      <c r="BT23" s="10"/>
      <c r="BV23" s="10"/>
      <c r="BW23" s="19"/>
      <c r="BX23" s="17"/>
      <c r="BZ23" s="20"/>
      <c r="CC23" s="10"/>
      <c r="CE23" s="10"/>
      <c r="CF23" s="19"/>
    </row>
    <row r="24" spans="1:84" x14ac:dyDescent="0.35">
      <c r="A24" s="38" t="str">
        <v>STA00047</v>
      </c>
      <c r="B24" s="31" t="str">
        <f t="shared" si="0"/>
        <v>BETADINE</v>
      </c>
      <c r="C24" s="31" t="str">
        <f t="shared" si="1"/>
        <v>STATIONARY AND OFFICE SUPPLIES</v>
      </c>
      <c r="D24" s="31" t="str">
        <f t="shared" si="2"/>
        <v>btl</v>
      </c>
      <c r="E24" s="47">
        <f t="shared" si="3"/>
        <v>20000</v>
      </c>
      <c r="F24" s="58">
        <f t="shared" si="4"/>
        <v>0.2</v>
      </c>
      <c r="G24" s="58">
        <f t="shared" si="5"/>
        <v>0.5</v>
      </c>
      <c r="H24" s="58">
        <f t="shared" si="6"/>
        <v>0.3</v>
      </c>
      <c r="I24" s="47">
        <f t="shared" si="7"/>
        <v>6000</v>
      </c>
      <c r="J24" s="31" t="str">
        <f t="shared" si="8"/>
        <v>Kenaikan IU</v>
      </c>
      <c r="K24" s="79" t="s">
        <v>1070</v>
      </c>
      <c r="O24" s="20"/>
      <c r="V24" s="19"/>
      <c r="X24" s="20" t="s">
        <v>145</v>
      </c>
      <c r="Y24" t="s">
        <v>146</v>
      </c>
      <c r="Z24" t="s">
        <v>123</v>
      </c>
      <c r="AA24" s="10">
        <v>29</v>
      </c>
      <c r="AB24" t="s">
        <v>5</v>
      </c>
      <c r="AC24" s="10">
        <v>4604.1441999999997</v>
      </c>
      <c r="AD24" s="19">
        <v>133520.18179999999</v>
      </c>
      <c r="AG24" s="82" t="s">
        <v>1</v>
      </c>
      <c r="AH24" s="87"/>
      <c r="AI24" s="87"/>
      <c r="AJ24" s="87"/>
      <c r="AK24" s="87"/>
      <c r="AN24" s="19"/>
      <c r="AP24" s="20" t="s">
        <v>361</v>
      </c>
      <c r="AQ24" t="s">
        <v>362</v>
      </c>
      <c r="AR24" t="s">
        <v>67</v>
      </c>
      <c r="AS24">
        <v>2</v>
      </c>
      <c r="AT24" t="s">
        <v>363</v>
      </c>
      <c r="AU24">
        <v>60</v>
      </c>
      <c r="AV24" s="19">
        <v>120</v>
      </c>
      <c r="AY24" s="20" t="s">
        <v>361</v>
      </c>
      <c r="AZ24" t="s">
        <v>362</v>
      </c>
      <c r="BA24" t="s">
        <v>67</v>
      </c>
      <c r="BB24">
        <v>2</v>
      </c>
      <c r="BC24" t="s">
        <v>363</v>
      </c>
      <c r="BD24">
        <v>60</v>
      </c>
      <c r="BE24" s="19">
        <v>120</v>
      </c>
      <c r="BF24" s="19"/>
      <c r="BH24" s="20"/>
      <c r="BK24" s="10"/>
      <c r="BM24" s="10"/>
      <c r="BN24" s="19"/>
      <c r="BQ24" s="20"/>
      <c r="BT24" s="10"/>
      <c r="BV24" s="10"/>
      <c r="BW24" s="19"/>
      <c r="BX24" s="19"/>
      <c r="BZ24" s="20"/>
      <c r="CC24" s="10"/>
      <c r="CE24" s="10"/>
      <c r="CF24" s="19"/>
    </row>
    <row r="25" spans="1:84" x14ac:dyDescent="0.35">
      <c r="A25" s="38" t="str">
        <v>STA00048</v>
      </c>
      <c r="B25" s="31" t="str">
        <f t="shared" si="0"/>
        <v>HANSAPLAST ROLL</v>
      </c>
      <c r="C25" s="31" t="str">
        <f t="shared" si="1"/>
        <v>STATIONARY AND OFFICE SUPPLIES</v>
      </c>
      <c r="D25" s="31" t="str">
        <f t="shared" si="2"/>
        <v>roll</v>
      </c>
      <c r="E25" s="47">
        <f t="shared" si="3"/>
        <v>7330.6451666599996</v>
      </c>
      <c r="F25" s="58">
        <f t="shared" si="4"/>
        <v>0.3</v>
      </c>
      <c r="G25" s="58">
        <f t="shared" si="5"/>
        <v>0.2</v>
      </c>
      <c r="H25" s="58">
        <f t="shared" si="6"/>
        <v>-9.9999999999999978E-2</v>
      </c>
      <c r="I25" s="47">
        <f t="shared" si="7"/>
        <v>-733.0645166659998</v>
      </c>
      <c r="J25" s="31" t="str">
        <f t="shared" si="8"/>
        <v>Penurunan IU</v>
      </c>
      <c r="K25" s="79" t="s">
        <v>1071</v>
      </c>
      <c r="O25" s="82" t="s">
        <v>10</v>
      </c>
      <c r="P25" s="87" t="s">
        <v>11</v>
      </c>
      <c r="Q25" t="s">
        <v>776</v>
      </c>
      <c r="V25" s="19"/>
      <c r="X25" s="20" t="s">
        <v>748</v>
      </c>
      <c r="Y25" t="s">
        <v>749</v>
      </c>
      <c r="Z25" t="s">
        <v>151</v>
      </c>
      <c r="AA25" s="10">
        <v>105</v>
      </c>
      <c r="AB25" t="s">
        <v>30</v>
      </c>
      <c r="AC25" s="10">
        <v>1096.8357000000001</v>
      </c>
      <c r="AD25" s="19">
        <v>115167.7485</v>
      </c>
      <c r="AG25" s="20"/>
      <c r="AN25" s="19"/>
      <c r="AP25" s="20" t="s">
        <v>57</v>
      </c>
      <c r="AQ25" t="s">
        <v>58</v>
      </c>
      <c r="AR25" t="s">
        <v>41</v>
      </c>
      <c r="AS25">
        <v>0.6</v>
      </c>
      <c r="AT25" t="s">
        <v>5</v>
      </c>
      <c r="AU25">
        <v>7699.4135999999999</v>
      </c>
      <c r="AV25" s="19">
        <v>4619.6481599999997</v>
      </c>
      <c r="AY25" s="20" t="s">
        <v>57</v>
      </c>
      <c r="AZ25" t="s">
        <v>58</v>
      </c>
      <c r="BA25" t="s">
        <v>41</v>
      </c>
      <c r="BB25">
        <v>0.6</v>
      </c>
      <c r="BC25" t="s">
        <v>5</v>
      </c>
      <c r="BD25">
        <v>7699.4135999999999</v>
      </c>
      <c r="BE25" s="19">
        <v>4619.6481599999997</v>
      </c>
      <c r="BF25" s="19"/>
      <c r="BH25" s="20"/>
      <c r="BK25" s="10"/>
      <c r="BM25" s="10"/>
      <c r="BN25" s="19"/>
      <c r="BQ25" s="20"/>
      <c r="BT25" s="10"/>
      <c r="BV25" s="10"/>
      <c r="BW25" s="19"/>
      <c r="BX25" s="19"/>
      <c r="BZ25" s="20"/>
      <c r="CF25" s="19"/>
    </row>
    <row r="26" spans="1:84" x14ac:dyDescent="0.35">
      <c r="A26" s="38" t="str">
        <v>STA00057</v>
      </c>
      <c r="B26" s="31" t="str">
        <f t="shared" si="0"/>
        <v>ISI STAPLER</v>
      </c>
      <c r="C26" s="31" t="str">
        <f t="shared" si="1"/>
        <v>STATIONARY AND OFFICE SUPPLIES</v>
      </c>
      <c r="D26" s="31" t="str">
        <f t="shared" si="2"/>
        <v>pack</v>
      </c>
      <c r="E26" s="47">
        <f t="shared" si="3"/>
        <v>3035.7869000000001</v>
      </c>
      <c r="F26" s="58">
        <f t="shared" si="4"/>
        <v>2</v>
      </c>
      <c r="G26" s="58">
        <f t="shared" si="5"/>
        <v>2</v>
      </c>
      <c r="H26" s="58">
        <f t="shared" si="6"/>
        <v>0</v>
      </c>
      <c r="I26" s="47">
        <f t="shared" si="7"/>
        <v>0</v>
      </c>
      <c r="J26" s="31" t="str">
        <f t="shared" si="8"/>
        <v>Tidak Ada Perubahan</v>
      </c>
      <c r="K26" s="79"/>
      <c r="O26" s="82" t="s">
        <v>16</v>
      </c>
      <c r="P26" s="87" t="s">
        <v>11</v>
      </c>
      <c r="Q26" t="s">
        <v>17</v>
      </c>
      <c r="V26" s="19"/>
      <c r="X26" s="20" t="s">
        <v>501</v>
      </c>
      <c r="Y26" t="s">
        <v>502</v>
      </c>
      <c r="Z26" t="s">
        <v>151</v>
      </c>
      <c r="AA26">
        <v>1</v>
      </c>
      <c r="AB26" t="s">
        <v>20</v>
      </c>
      <c r="AC26">
        <v>4047.62</v>
      </c>
      <c r="AD26" s="19">
        <v>4047.62</v>
      </c>
      <c r="AG26" s="82" t="s">
        <v>10</v>
      </c>
      <c r="AH26" s="87" t="s">
        <v>11</v>
      </c>
      <c r="AI26" t="s">
        <v>777</v>
      </c>
      <c r="AN26" s="19"/>
      <c r="AP26" s="20" t="s">
        <v>72</v>
      </c>
      <c r="AQ26" t="s">
        <v>73</v>
      </c>
      <c r="AR26" t="s">
        <v>67</v>
      </c>
      <c r="AS26" s="10">
        <v>1</v>
      </c>
      <c r="AT26" t="s">
        <v>74</v>
      </c>
      <c r="AU26" s="10">
        <v>3013.424500000001</v>
      </c>
      <c r="AV26" s="19">
        <v>3013.4245000000001</v>
      </c>
      <c r="AY26" s="20" t="s">
        <v>72</v>
      </c>
      <c r="AZ26" t="s">
        <v>73</v>
      </c>
      <c r="BA26" t="s">
        <v>67</v>
      </c>
      <c r="BB26" s="10">
        <v>1</v>
      </c>
      <c r="BC26" t="s">
        <v>74</v>
      </c>
      <c r="BD26" s="10">
        <v>3013.424500000001</v>
      </c>
      <c r="BE26" s="19">
        <v>3013.4245000000001</v>
      </c>
      <c r="BF26" s="19"/>
      <c r="BH26" s="20"/>
      <c r="BK26" s="10"/>
      <c r="BM26" s="10"/>
      <c r="BN26" s="19"/>
      <c r="BQ26" s="20"/>
      <c r="BT26" s="10"/>
      <c r="BV26" s="10"/>
      <c r="BW26" s="19"/>
      <c r="BX26" s="19"/>
      <c r="BZ26" s="20"/>
      <c r="CF26" s="19"/>
    </row>
    <row r="27" spans="1:84" x14ac:dyDescent="0.35">
      <c r="A27" s="38" t="str">
        <v>STA00080</v>
      </c>
      <c r="B27" s="31" t="str">
        <f t="shared" si="0"/>
        <v>KERTAS THERMAL 80 X 80</v>
      </c>
      <c r="C27" s="31" t="str">
        <f t="shared" si="1"/>
        <v>STATIONARY AND OFFICE SUPPLIES</v>
      </c>
      <c r="D27" s="31" t="str">
        <f t="shared" si="2"/>
        <v>ROLL</v>
      </c>
      <c r="E27" s="47">
        <f t="shared" si="3"/>
        <v>11850.833099999998</v>
      </c>
      <c r="F27" s="58">
        <f t="shared" si="4"/>
        <v>18</v>
      </c>
      <c r="G27" s="58">
        <f t="shared" si="5"/>
        <v>11</v>
      </c>
      <c r="H27" s="58">
        <f t="shared" si="6"/>
        <v>-7</v>
      </c>
      <c r="I27" s="47">
        <f t="shared" si="7"/>
        <v>-82955.831699999981</v>
      </c>
      <c r="J27" s="31" t="str">
        <f t="shared" si="8"/>
        <v>Penurunan IU</v>
      </c>
      <c r="K27" s="79" t="s">
        <v>1072</v>
      </c>
      <c r="O27" s="82" t="s">
        <v>21</v>
      </c>
      <c r="P27" s="87" t="s">
        <v>11</v>
      </c>
      <c r="Q27" t="s">
        <v>769</v>
      </c>
      <c r="V27" s="19"/>
      <c r="X27" s="20" t="s">
        <v>2</v>
      </c>
      <c r="Y27" t="s">
        <v>3</v>
      </c>
      <c r="Z27" t="s">
        <v>4</v>
      </c>
      <c r="AA27" s="10">
        <v>2</v>
      </c>
      <c r="AB27" t="s">
        <v>5</v>
      </c>
      <c r="AC27" s="10">
        <v>15186.2778</v>
      </c>
      <c r="AD27" s="19">
        <v>30372.5556</v>
      </c>
      <c r="AG27" s="82" t="s">
        <v>16</v>
      </c>
      <c r="AH27" s="87" t="s">
        <v>11</v>
      </c>
      <c r="AI27" t="s">
        <v>211</v>
      </c>
      <c r="AN27" s="19"/>
      <c r="AP27" s="20" t="s">
        <v>325</v>
      </c>
      <c r="AQ27" t="s">
        <v>326</v>
      </c>
      <c r="AR27" t="s">
        <v>67</v>
      </c>
      <c r="AS27" s="10">
        <v>0.2</v>
      </c>
      <c r="AT27" t="s">
        <v>5</v>
      </c>
      <c r="AU27" s="10">
        <v>72948.051948049993</v>
      </c>
      <c r="AV27" s="19">
        <v>14589.61039</v>
      </c>
      <c r="AY27" s="20" t="s">
        <v>325</v>
      </c>
      <c r="AZ27" t="s">
        <v>326</v>
      </c>
      <c r="BA27" t="s">
        <v>67</v>
      </c>
      <c r="BB27" s="10">
        <v>0.2</v>
      </c>
      <c r="BC27" t="s">
        <v>5</v>
      </c>
      <c r="BD27" s="10">
        <v>72948.051948049993</v>
      </c>
      <c r="BE27" s="19">
        <v>14589.61039</v>
      </c>
      <c r="BF27" s="19"/>
      <c r="BH27" s="20"/>
      <c r="BK27" s="10"/>
      <c r="BM27" s="10"/>
      <c r="BN27" s="19"/>
      <c r="BQ27" s="20"/>
      <c r="BT27" s="10"/>
      <c r="BV27" s="10"/>
      <c r="BW27" s="19"/>
      <c r="BX27" s="19"/>
      <c r="BZ27" s="20"/>
      <c r="CC27" s="10"/>
      <c r="CE27" s="10"/>
      <c r="CF27" s="19"/>
    </row>
    <row r="28" spans="1:84" x14ac:dyDescent="0.35">
      <c r="A28" s="38" t="str">
        <v>STA00098</v>
      </c>
      <c r="B28" s="31" t="str">
        <f t="shared" si="0"/>
        <v>KAPAS</v>
      </c>
      <c r="C28" s="31" t="str">
        <f t="shared" si="1"/>
        <v>STATIONARY AND OFFICE SUPPLIES</v>
      </c>
      <c r="D28" s="31" t="str">
        <f t="shared" si="2"/>
        <v>gr</v>
      </c>
      <c r="E28" s="47">
        <f t="shared" si="3"/>
        <v>60</v>
      </c>
      <c r="F28" s="58" t="str">
        <f t="shared" si="4"/>
        <v>0</v>
      </c>
      <c r="G28" s="58">
        <f t="shared" si="5"/>
        <v>2</v>
      </c>
      <c r="H28" s="58">
        <f t="shared" si="6"/>
        <v>2</v>
      </c>
      <c r="I28" s="47">
        <f t="shared" si="7"/>
        <v>120</v>
      </c>
      <c r="J28" s="31" t="str">
        <f t="shared" si="8"/>
        <v>Kenaikan IU</v>
      </c>
      <c r="K28" s="79" t="s">
        <v>1073</v>
      </c>
      <c r="O28" s="82" t="s">
        <v>26</v>
      </c>
      <c r="P28" s="87" t="s">
        <v>11</v>
      </c>
      <c r="Q28" t="s">
        <v>778</v>
      </c>
      <c r="V28" s="19"/>
      <c r="X28" s="20" t="s">
        <v>13</v>
      </c>
      <c r="Y28" t="s">
        <v>14</v>
      </c>
      <c r="Z28" t="s">
        <v>4</v>
      </c>
      <c r="AA28" s="10">
        <v>0.01</v>
      </c>
      <c r="AB28" t="s">
        <v>15</v>
      </c>
      <c r="AC28" s="10">
        <v>77700</v>
      </c>
      <c r="AD28" s="19">
        <v>777</v>
      </c>
      <c r="AG28" s="82" t="s">
        <v>21</v>
      </c>
      <c r="AH28" s="87" t="s">
        <v>11</v>
      </c>
      <c r="AI28" t="s">
        <v>769</v>
      </c>
      <c r="AN28" s="19"/>
      <c r="AP28" s="20" t="s">
        <v>100</v>
      </c>
      <c r="AQ28" t="s">
        <v>101</v>
      </c>
      <c r="AR28" t="s">
        <v>67</v>
      </c>
      <c r="AS28" s="10">
        <v>0.2</v>
      </c>
      <c r="AT28" t="s">
        <v>87</v>
      </c>
      <c r="AU28" s="10">
        <v>7750.0000000000009</v>
      </c>
      <c r="AV28" s="19">
        <v>1550</v>
      </c>
      <c r="AY28" s="20" t="s">
        <v>100</v>
      </c>
      <c r="AZ28" t="s">
        <v>101</v>
      </c>
      <c r="BA28" t="s">
        <v>67</v>
      </c>
      <c r="BB28" s="10">
        <v>0.2</v>
      </c>
      <c r="BC28" t="s">
        <v>87</v>
      </c>
      <c r="BD28" s="10">
        <v>7750.0000000000009</v>
      </c>
      <c r="BE28" s="19">
        <v>1550</v>
      </c>
      <c r="BF28" s="19"/>
      <c r="BH28" s="20"/>
      <c r="BK28" s="10"/>
      <c r="BM28" s="10"/>
      <c r="BN28" s="19"/>
      <c r="BQ28" s="20"/>
      <c r="BT28" s="10"/>
      <c r="BV28" s="10"/>
      <c r="BW28" s="19"/>
      <c r="BX28" s="19"/>
      <c r="BZ28" s="20"/>
      <c r="CC28" s="10"/>
      <c r="CE28" s="10"/>
      <c r="CF28" s="19"/>
    </row>
    <row r="29" spans="1:84" x14ac:dyDescent="0.35">
      <c r="A29" s="38" t="str">
        <v>STA00028</v>
      </c>
      <c r="B29" s="31" t="str">
        <f t="shared" si="0"/>
        <v>SOLATIP KECIL 12 MM</v>
      </c>
      <c r="C29" s="31" t="str">
        <f t="shared" si="1"/>
        <v>STATIONARY AND OFFICE SUPPLIES</v>
      </c>
      <c r="D29" s="31" t="str">
        <f t="shared" si="2"/>
        <v>roll</v>
      </c>
      <c r="E29" s="47">
        <f t="shared" si="3"/>
        <v>3013.424500000001</v>
      </c>
      <c r="F29" s="58">
        <f t="shared" si="4"/>
        <v>1</v>
      </c>
      <c r="G29" s="58">
        <f t="shared" si="5"/>
        <v>1</v>
      </c>
      <c r="H29" s="58">
        <f t="shared" si="6"/>
        <v>0</v>
      </c>
      <c r="I29" s="47">
        <f t="shared" si="7"/>
        <v>0</v>
      </c>
      <c r="J29" s="31" t="str">
        <f t="shared" si="8"/>
        <v>Tidak Ada Perubahan</v>
      </c>
      <c r="K29" s="79"/>
      <c r="O29" s="82" t="s">
        <v>31</v>
      </c>
      <c r="P29" s="87" t="s">
        <v>11</v>
      </c>
      <c r="Q29" t="s">
        <v>186</v>
      </c>
      <c r="V29" s="19"/>
      <c r="X29" s="20" t="s">
        <v>28</v>
      </c>
      <c r="Y29" t="s">
        <v>29</v>
      </c>
      <c r="Z29" t="s">
        <v>4</v>
      </c>
      <c r="AA29" s="10">
        <v>3</v>
      </c>
      <c r="AB29" t="s">
        <v>30</v>
      </c>
      <c r="AC29" s="10">
        <v>19760</v>
      </c>
      <c r="AD29" s="19">
        <v>59280</v>
      </c>
      <c r="AG29" s="82" t="s">
        <v>26</v>
      </c>
      <c r="AH29" s="87" t="s">
        <v>11</v>
      </c>
      <c r="AI29" t="s">
        <v>779</v>
      </c>
      <c r="AN29" s="19"/>
      <c r="AP29" s="20" t="s">
        <v>102</v>
      </c>
      <c r="AQ29" t="s">
        <v>103</v>
      </c>
      <c r="AR29" t="s">
        <v>67</v>
      </c>
      <c r="AS29" s="10">
        <v>0.2</v>
      </c>
      <c r="AT29" t="s">
        <v>87</v>
      </c>
      <c r="AU29" s="10">
        <v>8000</v>
      </c>
      <c r="AV29" s="19">
        <v>1600</v>
      </c>
      <c r="AY29" s="20" t="s">
        <v>102</v>
      </c>
      <c r="AZ29" t="s">
        <v>103</v>
      </c>
      <c r="BA29" t="s">
        <v>67</v>
      </c>
      <c r="BB29" s="10">
        <v>0.2</v>
      </c>
      <c r="BC29" t="s">
        <v>87</v>
      </c>
      <c r="BD29" s="10">
        <v>8000</v>
      </c>
      <c r="BE29" s="19">
        <v>1600</v>
      </c>
      <c r="BF29" s="19"/>
      <c r="BH29" s="20"/>
      <c r="BK29" s="10"/>
      <c r="BM29" s="10"/>
      <c r="BN29" s="19"/>
      <c r="BQ29" s="20"/>
      <c r="BT29" s="10"/>
      <c r="BV29" s="10"/>
      <c r="BW29" s="19"/>
      <c r="BX29" s="19"/>
      <c r="BZ29" s="20"/>
      <c r="CC29" s="10"/>
      <c r="CE29" s="10"/>
      <c r="CF29" s="19"/>
    </row>
    <row r="30" spans="1:84" x14ac:dyDescent="0.35">
      <c r="A30" s="38" t="str">
        <v>STA00037</v>
      </c>
      <c r="B30" s="31" t="str">
        <f t="shared" si="0"/>
        <v>KERTAS HVS A4</v>
      </c>
      <c r="C30" s="31" t="str">
        <f t="shared" si="1"/>
        <v>STATIONARY AND OFFICE SUPPLIES</v>
      </c>
      <c r="D30" s="31" t="str">
        <f t="shared" si="2"/>
        <v>pack</v>
      </c>
      <c r="E30" s="47">
        <f t="shared" si="3"/>
        <v>72948.051948049993</v>
      </c>
      <c r="F30" s="58" t="str">
        <f t="shared" si="4"/>
        <v>0</v>
      </c>
      <c r="G30" s="58">
        <f t="shared" si="5"/>
        <v>0.2</v>
      </c>
      <c r="H30" s="58">
        <f t="shared" si="6"/>
        <v>0.2</v>
      </c>
      <c r="I30" s="47">
        <f t="shared" si="7"/>
        <v>14589.610389609999</v>
      </c>
      <c r="J30" s="31" t="str">
        <f t="shared" si="8"/>
        <v>Kenaikan IU</v>
      </c>
      <c r="K30" s="79" t="s">
        <v>1074</v>
      </c>
      <c r="O30" s="82" t="s">
        <v>35</v>
      </c>
      <c r="P30" s="87" t="s">
        <v>11</v>
      </c>
      <c r="Q30" t="s">
        <v>780</v>
      </c>
      <c r="V30" s="19"/>
      <c r="X30" s="20" t="s">
        <v>33</v>
      </c>
      <c r="Y30" t="s">
        <v>34</v>
      </c>
      <c r="Z30" t="s">
        <v>4</v>
      </c>
      <c r="AA30" s="10">
        <v>3</v>
      </c>
      <c r="AB30" t="s">
        <v>30</v>
      </c>
      <c r="AC30" s="10">
        <v>13000</v>
      </c>
      <c r="AD30" s="19">
        <v>39000</v>
      </c>
      <c r="AG30" s="82" t="s">
        <v>31</v>
      </c>
      <c r="AH30" s="87" t="s">
        <v>11</v>
      </c>
      <c r="AI30" t="s">
        <v>186</v>
      </c>
      <c r="AN30" s="19"/>
      <c r="AP30" s="20" t="s">
        <v>361</v>
      </c>
      <c r="AQ30" t="s">
        <v>362</v>
      </c>
      <c r="AR30" t="s">
        <v>67</v>
      </c>
      <c r="AS30" s="10">
        <v>10</v>
      </c>
      <c r="AT30" t="s">
        <v>363</v>
      </c>
      <c r="AU30" s="10">
        <v>60</v>
      </c>
      <c r="AV30" s="19">
        <v>600</v>
      </c>
      <c r="AY30" s="20" t="s">
        <v>361</v>
      </c>
      <c r="AZ30" t="s">
        <v>362</v>
      </c>
      <c r="BA30" t="s">
        <v>67</v>
      </c>
      <c r="BB30" s="10">
        <v>10</v>
      </c>
      <c r="BC30" t="s">
        <v>363</v>
      </c>
      <c r="BD30" s="10">
        <v>60</v>
      </c>
      <c r="BE30" s="19">
        <v>600</v>
      </c>
      <c r="BF30" s="19"/>
      <c r="BH30" s="20"/>
      <c r="BK30" s="10"/>
      <c r="BM30" s="10"/>
      <c r="BN30" s="19"/>
      <c r="BQ30" s="20"/>
      <c r="BT30" s="10"/>
      <c r="BV30" s="10"/>
      <c r="BW30" s="19"/>
      <c r="BX30" s="19"/>
      <c r="BZ30" s="20"/>
      <c r="CC30" s="10"/>
      <c r="CE30" s="10"/>
      <c r="CF30" s="19"/>
    </row>
    <row r="31" spans="1:84" ht="15" thickBot="1" x14ac:dyDescent="0.4">
      <c r="A31" s="38" t="str">
        <v>STA00094</v>
      </c>
      <c r="B31" s="31" t="str">
        <f t="shared" si="0"/>
        <v>OBAT PROMAG</v>
      </c>
      <c r="C31" s="31" t="str">
        <f t="shared" si="1"/>
        <v>STATIONARY AND OFFICE SUPPLIES</v>
      </c>
      <c r="D31" s="31" t="str">
        <f t="shared" si="2"/>
        <v>str</v>
      </c>
      <c r="E31" s="47">
        <f t="shared" si="3"/>
        <v>7750.0000000000009</v>
      </c>
      <c r="F31" s="58" t="str">
        <f t="shared" si="4"/>
        <v>0</v>
      </c>
      <c r="G31" s="58">
        <f t="shared" si="5"/>
        <v>0.2</v>
      </c>
      <c r="H31" s="58">
        <f t="shared" si="6"/>
        <v>0.2</v>
      </c>
      <c r="I31" s="47">
        <f t="shared" si="7"/>
        <v>1550.0000000000002</v>
      </c>
      <c r="J31" s="31" t="str">
        <f t="shared" si="8"/>
        <v>Kenaikan IU</v>
      </c>
      <c r="K31" s="79" t="s">
        <v>1075</v>
      </c>
      <c r="O31" s="20"/>
      <c r="V31" s="19"/>
      <c r="X31" s="20" t="s">
        <v>57</v>
      </c>
      <c r="Y31" t="s">
        <v>58</v>
      </c>
      <c r="Z31" t="s">
        <v>41</v>
      </c>
      <c r="AA31" s="10">
        <v>3</v>
      </c>
      <c r="AB31" t="s">
        <v>5</v>
      </c>
      <c r="AC31" s="10">
        <v>7698.5586000000012</v>
      </c>
      <c r="AD31" s="19">
        <v>23095.675800000001</v>
      </c>
      <c r="AG31" s="82" t="s">
        <v>35</v>
      </c>
      <c r="AH31" s="87" t="s">
        <v>11</v>
      </c>
      <c r="AI31" t="s">
        <v>781</v>
      </c>
      <c r="AN31" s="19"/>
      <c r="AP31" s="22" t="s">
        <v>744</v>
      </c>
      <c r="AQ31" s="23" t="s">
        <v>745</v>
      </c>
      <c r="AR31" s="23" t="s">
        <v>67</v>
      </c>
      <c r="AS31" s="23">
        <v>2</v>
      </c>
      <c r="AT31" s="23" t="s">
        <v>52</v>
      </c>
      <c r="AU31" s="23">
        <v>10730.499</v>
      </c>
      <c r="AV31" s="24">
        <v>21460.998</v>
      </c>
      <c r="AY31" s="22" t="s">
        <v>744</v>
      </c>
      <c r="AZ31" s="23" t="s">
        <v>745</v>
      </c>
      <c r="BA31" s="23" t="s">
        <v>67</v>
      </c>
      <c r="BB31" s="23">
        <v>2</v>
      </c>
      <c r="BC31" s="23" t="s">
        <v>52</v>
      </c>
      <c r="BD31" s="23">
        <v>10730.499</v>
      </c>
      <c r="BE31" s="24">
        <v>21460.998</v>
      </c>
      <c r="BF31" s="19"/>
      <c r="BH31" s="20"/>
      <c r="BK31" s="10"/>
      <c r="BM31" s="10"/>
      <c r="BN31" s="19"/>
      <c r="BQ31" s="20"/>
      <c r="BT31" s="10"/>
      <c r="BV31" s="10"/>
      <c r="BW31" s="19"/>
      <c r="BX31" s="19"/>
      <c r="BZ31" s="20"/>
      <c r="CC31" s="10"/>
      <c r="CE31" s="10"/>
      <c r="CF31" s="19"/>
    </row>
    <row r="32" spans="1:84" ht="15" thickBot="1" x14ac:dyDescent="0.4">
      <c r="A32" s="38" t="str">
        <v>STA00095</v>
      </c>
      <c r="B32" s="31" t="str">
        <f t="shared" si="0"/>
        <v>OBAT ENTROSTOP</v>
      </c>
      <c r="C32" s="31" t="str">
        <f t="shared" si="1"/>
        <v>STATIONARY AND OFFICE SUPPLIES</v>
      </c>
      <c r="D32" s="31" t="str">
        <f t="shared" si="2"/>
        <v>str</v>
      </c>
      <c r="E32" s="47">
        <f t="shared" si="3"/>
        <v>8000</v>
      </c>
      <c r="F32" s="58" t="str">
        <f t="shared" si="4"/>
        <v>0</v>
      </c>
      <c r="G32" s="58">
        <f t="shared" si="5"/>
        <v>0.2</v>
      </c>
      <c r="H32" s="58">
        <f t="shared" si="6"/>
        <v>0.2</v>
      </c>
      <c r="I32" s="47">
        <f t="shared" si="7"/>
        <v>1600</v>
      </c>
      <c r="J32" s="31" t="str">
        <f t="shared" si="8"/>
        <v>Kenaikan IU</v>
      </c>
      <c r="K32" s="79" t="s">
        <v>1076</v>
      </c>
      <c r="O32" s="20" t="s">
        <v>42</v>
      </c>
      <c r="P32" t="s">
        <v>43</v>
      </c>
      <c r="Q32" t="s">
        <v>44</v>
      </c>
      <c r="R32" t="s">
        <v>45</v>
      </c>
      <c r="S32" t="s">
        <v>46</v>
      </c>
      <c r="T32" t="s">
        <v>47</v>
      </c>
      <c r="U32" t="s">
        <v>48</v>
      </c>
      <c r="V32" s="19" t="s">
        <v>49</v>
      </c>
      <c r="X32" s="22" t="s">
        <v>61</v>
      </c>
      <c r="Y32" s="23" t="s">
        <v>62</v>
      </c>
      <c r="Z32" s="23" t="s">
        <v>41</v>
      </c>
      <c r="AA32" s="23">
        <v>1</v>
      </c>
      <c r="AB32" s="23" t="s">
        <v>5</v>
      </c>
      <c r="AC32" s="23">
        <v>19613.8773</v>
      </c>
      <c r="AD32" s="24">
        <v>19613.8773</v>
      </c>
      <c r="AG32" s="20"/>
      <c r="AN32" s="19"/>
      <c r="AY32" s="25" t="s">
        <v>70</v>
      </c>
      <c r="AZ32" s="16" t="s">
        <v>71</v>
      </c>
      <c r="BA32" s="16" t="s">
        <v>67</v>
      </c>
      <c r="BB32" s="26">
        <v>1</v>
      </c>
      <c r="BC32" s="16" t="s">
        <v>5</v>
      </c>
      <c r="BD32" s="26">
        <v>9000</v>
      </c>
      <c r="BE32" s="17">
        <v>9000</v>
      </c>
      <c r="BF32" s="19"/>
      <c r="BH32" s="22"/>
      <c r="BI32" s="23"/>
      <c r="BJ32" s="23"/>
      <c r="BK32" s="23"/>
      <c r="BL32" s="23"/>
      <c r="BM32" s="23"/>
      <c r="BN32" s="24"/>
      <c r="BQ32" s="22"/>
      <c r="BR32" s="23"/>
      <c r="BS32" s="23"/>
      <c r="BT32" s="23"/>
      <c r="BU32" s="23"/>
      <c r="BV32" s="23"/>
      <c r="BW32" s="24"/>
      <c r="BX32" s="19"/>
      <c r="BZ32" s="22"/>
      <c r="CA32" s="23"/>
      <c r="CB32" s="23"/>
      <c r="CC32" s="23"/>
      <c r="CD32" s="23"/>
      <c r="CE32" s="23"/>
      <c r="CF32" s="24"/>
    </row>
    <row r="33" spans="1:76" x14ac:dyDescent="0.35">
      <c r="A33" s="38" t="str">
        <v>STA00149</v>
      </c>
      <c r="B33" s="31" t="str">
        <f t="shared" si="0"/>
        <v>STICKER CUP HOTOK</v>
      </c>
      <c r="C33" s="31" t="str">
        <f t="shared" si="1"/>
        <v>STATIONARY AND OFFICE SUPPLIES</v>
      </c>
      <c r="D33" s="31" t="str">
        <f t="shared" si="2"/>
        <v>lembar</v>
      </c>
      <c r="E33" s="47">
        <f t="shared" si="3"/>
        <v>10730.499</v>
      </c>
      <c r="F33" s="58" t="str">
        <f t="shared" si="4"/>
        <v>0</v>
      </c>
      <c r="G33" s="58">
        <f t="shared" si="5"/>
        <v>2</v>
      </c>
      <c r="H33" s="58">
        <f t="shared" si="6"/>
        <v>2</v>
      </c>
      <c r="I33" s="47">
        <f t="shared" si="7"/>
        <v>21460.998</v>
      </c>
      <c r="J33" s="31" t="str">
        <f t="shared" si="8"/>
        <v>Kenaikan IU</v>
      </c>
      <c r="K33" s="79" t="s">
        <v>1077</v>
      </c>
      <c r="O33" s="20">
        <v>1</v>
      </c>
      <c r="P33" t="s">
        <v>115</v>
      </c>
      <c r="Q33" t="s">
        <v>116</v>
      </c>
      <c r="R33" t="s">
        <v>117</v>
      </c>
      <c r="S33" s="10">
        <v>300</v>
      </c>
      <c r="T33" t="s">
        <v>52</v>
      </c>
      <c r="U33" s="10">
        <v>656.66700000000003</v>
      </c>
      <c r="V33" s="19">
        <v>197000.1</v>
      </c>
      <c r="AG33" s="20" t="s">
        <v>42</v>
      </c>
      <c r="AH33" t="s">
        <v>43</v>
      </c>
      <c r="AI33" t="s">
        <v>44</v>
      </c>
      <c r="AJ33" t="s">
        <v>45</v>
      </c>
      <c r="AK33" t="s">
        <v>46</v>
      </c>
      <c r="AL33" t="s">
        <v>47</v>
      </c>
      <c r="AM33" t="s">
        <v>48</v>
      </c>
      <c r="AN33" s="19" t="s">
        <v>49</v>
      </c>
      <c r="AY33" s="20" t="s">
        <v>388</v>
      </c>
      <c r="AZ33" t="s">
        <v>389</v>
      </c>
      <c r="BA33" t="s">
        <v>67</v>
      </c>
      <c r="BB33" s="10">
        <v>2</v>
      </c>
      <c r="BC33" t="s">
        <v>20</v>
      </c>
      <c r="BD33" s="10">
        <v>2763.4</v>
      </c>
      <c r="BE33" s="19">
        <v>5526.8</v>
      </c>
      <c r="BF33" s="19"/>
      <c r="BQ33" s="25"/>
      <c r="BR33" s="16"/>
      <c r="BS33" s="16"/>
      <c r="BT33" s="26"/>
      <c r="BU33" s="16"/>
      <c r="BV33" s="26"/>
      <c r="BW33" s="17"/>
      <c r="BX33" s="19"/>
    </row>
    <row r="34" spans="1:76" x14ac:dyDescent="0.35">
      <c r="A34" s="38" t="str">
        <v>STA00019</v>
      </c>
      <c r="B34" s="31" t="str">
        <f t="shared" si="0"/>
        <v>BATERAI AAA</v>
      </c>
      <c r="C34" s="31" t="str">
        <f t="shared" si="1"/>
        <v>STATIONARY AND OFFICE SUPPLIES</v>
      </c>
      <c r="D34" s="31" t="str">
        <f t="shared" si="2"/>
        <v>pack</v>
      </c>
      <c r="E34" s="47">
        <f t="shared" si="3"/>
        <v>9000</v>
      </c>
      <c r="F34" s="58">
        <f t="shared" si="4"/>
        <v>1</v>
      </c>
      <c r="G34" s="58" t="str">
        <f t="shared" si="5"/>
        <v>0</v>
      </c>
      <c r="H34" s="58">
        <f t="shared" si="6"/>
        <v>-1</v>
      </c>
      <c r="I34" s="47">
        <f t="shared" si="7"/>
        <v>-9000</v>
      </c>
      <c r="J34" s="31" t="str">
        <f t="shared" si="8"/>
        <v>Penurunan IU</v>
      </c>
      <c r="K34" s="79" t="s">
        <v>1078</v>
      </c>
      <c r="O34" s="20">
        <v>2</v>
      </c>
      <c r="P34" t="s">
        <v>121</v>
      </c>
      <c r="Q34" t="s">
        <v>122</v>
      </c>
      <c r="R34" t="s">
        <v>123</v>
      </c>
      <c r="S34" s="10">
        <v>5</v>
      </c>
      <c r="T34" t="s">
        <v>5</v>
      </c>
      <c r="U34" s="10">
        <v>5006.7677999999996</v>
      </c>
      <c r="V34" s="19">
        <v>25033.839</v>
      </c>
      <c r="AG34" s="20">
        <v>1</v>
      </c>
      <c r="AH34" t="s">
        <v>115</v>
      </c>
      <c r="AI34" t="s">
        <v>116</v>
      </c>
      <c r="AJ34" t="s">
        <v>117</v>
      </c>
      <c r="AK34" s="10">
        <v>700</v>
      </c>
      <c r="AL34" t="s">
        <v>52</v>
      </c>
      <c r="AM34" s="10">
        <v>656.66700000000003</v>
      </c>
      <c r="AN34" s="19">
        <v>459666.9</v>
      </c>
      <c r="AY34" s="20" t="s">
        <v>72</v>
      </c>
      <c r="AZ34" t="s">
        <v>73</v>
      </c>
      <c r="BA34" t="s">
        <v>67</v>
      </c>
      <c r="BB34" s="10">
        <v>1</v>
      </c>
      <c r="BC34" t="s">
        <v>74</v>
      </c>
      <c r="BD34" s="10">
        <v>3013.424500000001</v>
      </c>
      <c r="BE34" s="19">
        <v>3013.4245000000001</v>
      </c>
      <c r="BF34" s="19"/>
      <c r="BQ34" s="20"/>
      <c r="BT34" s="10"/>
      <c r="BV34" s="10"/>
      <c r="BW34" s="19"/>
      <c r="BX34" s="19"/>
    </row>
    <row r="35" spans="1:76" x14ac:dyDescent="0.35">
      <c r="A35" s="38" t="str">
        <v>STA00041</v>
      </c>
      <c r="B35" s="31" t="str">
        <f t="shared" si="0"/>
        <v>STAPLER</v>
      </c>
      <c r="C35" s="31" t="str">
        <f t="shared" si="1"/>
        <v>STATIONARY AND OFFICE SUPPLIES</v>
      </c>
      <c r="D35" s="31" t="str">
        <f t="shared" si="2"/>
        <v>pcs</v>
      </c>
      <c r="E35" s="47">
        <f t="shared" si="3"/>
        <v>9580.9778000000006</v>
      </c>
      <c r="F35" s="58">
        <f t="shared" si="4"/>
        <v>2</v>
      </c>
      <c r="G35" s="58" t="str">
        <f t="shared" si="5"/>
        <v>0</v>
      </c>
      <c r="H35" s="58">
        <f t="shared" si="6"/>
        <v>-2</v>
      </c>
      <c r="I35" s="47">
        <f t="shared" si="7"/>
        <v>-19161.955600000001</v>
      </c>
      <c r="J35" s="31" t="str">
        <f t="shared" si="8"/>
        <v>Penurunan IU</v>
      </c>
      <c r="K35" s="79" t="s">
        <v>1079</v>
      </c>
      <c r="O35" s="20">
        <v>3</v>
      </c>
      <c r="P35" t="s">
        <v>124</v>
      </c>
      <c r="Q35" t="s">
        <v>125</v>
      </c>
      <c r="R35" t="s">
        <v>123</v>
      </c>
      <c r="S35" s="10">
        <v>3</v>
      </c>
      <c r="T35" t="s">
        <v>5</v>
      </c>
      <c r="U35" s="10">
        <v>5261.6877999999997</v>
      </c>
      <c r="V35" s="19">
        <v>15785.063399999999</v>
      </c>
      <c r="AG35" s="20">
        <v>2</v>
      </c>
      <c r="AH35" t="s">
        <v>316</v>
      </c>
      <c r="AI35" t="s">
        <v>317</v>
      </c>
      <c r="AJ35" t="s">
        <v>117</v>
      </c>
      <c r="AK35" s="10">
        <v>2</v>
      </c>
      <c r="AL35" t="s">
        <v>20</v>
      </c>
      <c r="AM35" s="10">
        <v>290150</v>
      </c>
      <c r="AN35" s="19">
        <v>580300</v>
      </c>
      <c r="AY35" s="20" t="s">
        <v>81</v>
      </c>
      <c r="AZ35" t="s">
        <v>82</v>
      </c>
      <c r="BA35" t="s">
        <v>67</v>
      </c>
      <c r="BB35" s="10">
        <v>2</v>
      </c>
      <c r="BC35" t="s">
        <v>20</v>
      </c>
      <c r="BD35" s="10">
        <v>9580.9778000000006</v>
      </c>
      <c r="BE35" s="19">
        <v>19161.955600000001</v>
      </c>
      <c r="BF35" s="19"/>
      <c r="BQ35" s="20"/>
      <c r="BT35" s="10"/>
      <c r="BV35" s="10"/>
      <c r="BW35" s="19"/>
      <c r="BX35" s="19"/>
    </row>
    <row r="36" spans="1:76" x14ac:dyDescent="0.35">
      <c r="A36" s="38" t="str">
        <v>STA00042</v>
      </c>
      <c r="B36" s="31" t="str">
        <f t="shared" si="0"/>
        <v>KARET GELANG</v>
      </c>
      <c r="C36" s="31" t="str">
        <f t="shared" si="1"/>
        <v>STATIONARY AND OFFICE SUPPLIES</v>
      </c>
      <c r="D36" s="31" t="str">
        <f t="shared" si="2"/>
        <v>pack</v>
      </c>
      <c r="E36" s="47">
        <f t="shared" si="3"/>
        <v>29000</v>
      </c>
      <c r="F36" s="58">
        <f t="shared" si="4"/>
        <v>0.2</v>
      </c>
      <c r="G36" s="58" t="str">
        <f t="shared" si="5"/>
        <v>0</v>
      </c>
      <c r="H36" s="58">
        <f t="shared" si="6"/>
        <v>-0.2</v>
      </c>
      <c r="I36" s="47">
        <f t="shared" si="7"/>
        <v>-5800</v>
      </c>
      <c r="J36" s="31" t="str">
        <f t="shared" si="8"/>
        <v>Penurunan IU</v>
      </c>
      <c r="K36" s="79" t="s">
        <v>1080</v>
      </c>
      <c r="O36" s="20">
        <v>4</v>
      </c>
      <c r="P36" t="s">
        <v>128</v>
      </c>
      <c r="Q36" t="s">
        <v>129</v>
      </c>
      <c r="R36" t="s">
        <v>123</v>
      </c>
      <c r="S36" s="10">
        <v>0.5</v>
      </c>
      <c r="T36" t="s">
        <v>74</v>
      </c>
      <c r="U36" s="10">
        <v>141456.55870431999</v>
      </c>
      <c r="V36" s="19">
        <v>70728.279351999998</v>
      </c>
      <c r="AG36" s="20">
        <v>3</v>
      </c>
      <c r="AH36" t="s">
        <v>121</v>
      </c>
      <c r="AI36" t="s">
        <v>122</v>
      </c>
      <c r="AJ36" t="s">
        <v>123</v>
      </c>
      <c r="AK36" s="10">
        <v>3</v>
      </c>
      <c r="AL36" t="s">
        <v>5</v>
      </c>
      <c r="AM36" s="10">
        <v>5001.3536000000004</v>
      </c>
      <c r="AN36" s="19">
        <v>15004.060799999999</v>
      </c>
      <c r="AY36" s="20" t="s">
        <v>357</v>
      </c>
      <c r="AZ36" t="s">
        <v>358</v>
      </c>
      <c r="BA36" t="s">
        <v>67</v>
      </c>
      <c r="BB36" s="10">
        <v>0.2</v>
      </c>
      <c r="BC36" t="s">
        <v>5</v>
      </c>
      <c r="BD36" s="10">
        <v>29000</v>
      </c>
      <c r="BE36" s="19">
        <v>5800</v>
      </c>
      <c r="BF36" s="19"/>
      <c r="BQ36" s="20"/>
      <c r="BT36" s="10"/>
      <c r="BV36" s="10"/>
      <c r="BW36" s="19"/>
      <c r="BX36" s="19"/>
    </row>
    <row r="37" spans="1:76" x14ac:dyDescent="0.35">
      <c r="A37" s="38" t="str">
        <v>STA00051</v>
      </c>
      <c r="B37" s="31" t="str">
        <f t="shared" si="0"/>
        <v>PANADOL HIJAU</v>
      </c>
      <c r="C37" s="31" t="str">
        <f t="shared" si="1"/>
        <v>STATIONARY AND OFFICE SUPPLIES</v>
      </c>
      <c r="D37" s="31" t="str">
        <f t="shared" si="2"/>
        <v>str</v>
      </c>
      <c r="E37" s="47">
        <f t="shared" si="3"/>
        <v>18500</v>
      </c>
      <c r="F37" s="58">
        <f t="shared" si="4"/>
        <v>1</v>
      </c>
      <c r="G37" s="58" t="str">
        <f t="shared" si="5"/>
        <v>0</v>
      </c>
      <c r="H37" s="58">
        <f t="shared" si="6"/>
        <v>-1</v>
      </c>
      <c r="I37" s="47">
        <f t="shared" si="7"/>
        <v>-18500</v>
      </c>
      <c r="J37" s="31" t="str">
        <f t="shared" si="8"/>
        <v>Penurunan IU</v>
      </c>
      <c r="K37" s="79" t="s">
        <v>1081</v>
      </c>
      <c r="O37" s="20">
        <v>5</v>
      </c>
      <c r="P37" t="s">
        <v>130</v>
      </c>
      <c r="Q37" t="s">
        <v>131</v>
      </c>
      <c r="R37" t="s">
        <v>123</v>
      </c>
      <c r="S37" s="10">
        <v>17</v>
      </c>
      <c r="T37" t="s">
        <v>5</v>
      </c>
      <c r="U37" s="10">
        <v>6353.3729000000003</v>
      </c>
      <c r="V37" s="19">
        <v>108007.33930000001</v>
      </c>
      <c r="AG37" s="20">
        <v>4</v>
      </c>
      <c r="AH37" t="s">
        <v>124</v>
      </c>
      <c r="AI37" t="s">
        <v>125</v>
      </c>
      <c r="AJ37" t="s">
        <v>123</v>
      </c>
      <c r="AK37" s="10">
        <v>0.2</v>
      </c>
      <c r="AL37" t="s">
        <v>5</v>
      </c>
      <c r="AM37" s="10">
        <v>5261.6877999999997</v>
      </c>
      <c r="AN37" s="19">
        <v>1052.3375599999999</v>
      </c>
      <c r="AY37" s="20" t="s">
        <v>359</v>
      </c>
      <c r="AZ37" t="s">
        <v>360</v>
      </c>
      <c r="BA37" t="s">
        <v>67</v>
      </c>
      <c r="BB37" s="10">
        <v>0.2</v>
      </c>
      <c r="BC37" t="s">
        <v>216</v>
      </c>
      <c r="BD37" s="10">
        <v>7000</v>
      </c>
      <c r="BE37" s="19">
        <v>1400</v>
      </c>
      <c r="BF37" s="19"/>
      <c r="BQ37" s="20"/>
      <c r="BT37" s="10"/>
      <c r="BV37" s="10"/>
      <c r="BW37" s="19"/>
      <c r="BX37" s="19"/>
    </row>
    <row r="38" spans="1:76" x14ac:dyDescent="0.35">
      <c r="A38" s="38" t="str">
        <v>STA00052</v>
      </c>
      <c r="B38" s="31" t="str">
        <f t="shared" si="0"/>
        <v>PANADOL MERAH</v>
      </c>
      <c r="C38" s="31" t="str">
        <f t="shared" si="1"/>
        <v>STATIONARY AND OFFICE SUPPLIES</v>
      </c>
      <c r="D38" s="31" t="str">
        <f t="shared" si="2"/>
        <v>str</v>
      </c>
      <c r="E38" s="47">
        <f t="shared" si="3"/>
        <v>14500</v>
      </c>
      <c r="F38" s="58">
        <f t="shared" si="4"/>
        <v>2</v>
      </c>
      <c r="G38" s="58" t="str">
        <f t="shared" si="5"/>
        <v>0</v>
      </c>
      <c r="H38" s="58">
        <f t="shared" si="6"/>
        <v>-2</v>
      </c>
      <c r="I38" s="47">
        <f t="shared" si="7"/>
        <v>-29000</v>
      </c>
      <c r="J38" s="31" t="str">
        <f t="shared" si="8"/>
        <v>Penurunan IU</v>
      </c>
      <c r="K38" s="79" t="s">
        <v>1082</v>
      </c>
      <c r="O38" s="20">
        <v>6</v>
      </c>
      <c r="P38" t="s">
        <v>132</v>
      </c>
      <c r="Q38" t="s">
        <v>133</v>
      </c>
      <c r="R38" t="s">
        <v>123</v>
      </c>
      <c r="S38" s="10">
        <v>7</v>
      </c>
      <c r="T38" t="s">
        <v>134</v>
      </c>
      <c r="U38" s="10">
        <v>13011.4902</v>
      </c>
      <c r="V38" s="19">
        <v>91080.431400000001</v>
      </c>
      <c r="AG38" s="20">
        <v>5</v>
      </c>
      <c r="AH38" t="s">
        <v>130</v>
      </c>
      <c r="AI38" t="s">
        <v>131</v>
      </c>
      <c r="AJ38" t="s">
        <v>123</v>
      </c>
      <c r="AK38" s="10">
        <v>13</v>
      </c>
      <c r="AL38" t="s">
        <v>5</v>
      </c>
      <c r="AM38" s="10">
        <v>6354.7565000000004</v>
      </c>
      <c r="AN38" s="19">
        <v>82611.834499999997</v>
      </c>
      <c r="AY38" s="20" t="s">
        <v>238</v>
      </c>
      <c r="AZ38" t="s">
        <v>239</v>
      </c>
      <c r="BA38" t="s">
        <v>67</v>
      </c>
      <c r="BB38" s="10">
        <v>0.3</v>
      </c>
      <c r="BC38" t="s">
        <v>74</v>
      </c>
      <c r="BD38" s="10">
        <v>7330.6451666599996</v>
      </c>
      <c r="BE38" s="19">
        <v>2199.19355</v>
      </c>
      <c r="BF38" s="19"/>
      <c r="BQ38" s="20"/>
      <c r="BT38" s="10"/>
      <c r="BV38" s="10"/>
      <c r="BW38" s="19"/>
      <c r="BX38" s="19"/>
    </row>
    <row r="39" spans="1:76" x14ac:dyDescent="0.35">
      <c r="A39" s="38" t="str">
        <v>STA00116</v>
      </c>
      <c r="B39" s="31" t="str">
        <f t="shared" si="0"/>
        <v>KERTAS STICKER LABEL HARGA</v>
      </c>
      <c r="C39" s="31" t="str">
        <f t="shared" si="1"/>
        <v>STATIONARY AND OFFICE SUPPLIES</v>
      </c>
      <c r="D39" s="31" t="str">
        <f t="shared" si="2"/>
        <v>ROLL</v>
      </c>
      <c r="E39" s="47">
        <f t="shared" si="3"/>
        <v>2283.1999999999998</v>
      </c>
      <c r="F39" s="58">
        <f t="shared" si="4"/>
        <v>1</v>
      </c>
      <c r="G39" s="58" t="str">
        <f t="shared" si="5"/>
        <v>0</v>
      </c>
      <c r="H39" s="58">
        <f t="shared" si="6"/>
        <v>-1</v>
      </c>
      <c r="I39" s="47">
        <f t="shared" si="7"/>
        <v>-2283.1999999999998</v>
      </c>
      <c r="J39" s="31" t="str">
        <f t="shared" si="8"/>
        <v>Penurunan IU</v>
      </c>
      <c r="K39" s="79" t="s">
        <v>1083</v>
      </c>
      <c r="O39" s="20">
        <v>7</v>
      </c>
      <c r="P39" t="s">
        <v>137</v>
      </c>
      <c r="Q39" t="s">
        <v>138</v>
      </c>
      <c r="R39" t="s">
        <v>123</v>
      </c>
      <c r="S39" s="10">
        <v>0.1</v>
      </c>
      <c r="T39" t="s">
        <v>5</v>
      </c>
      <c r="U39" s="10">
        <v>15184.939400000001</v>
      </c>
      <c r="V39" s="19">
        <v>1518.4939400000001</v>
      </c>
      <c r="AG39" s="20">
        <v>6</v>
      </c>
      <c r="AH39" t="s">
        <v>132</v>
      </c>
      <c r="AI39" t="s">
        <v>133</v>
      </c>
      <c r="AJ39" t="s">
        <v>123</v>
      </c>
      <c r="AK39" s="10">
        <v>2.7</v>
      </c>
      <c r="AL39" t="s">
        <v>134</v>
      </c>
      <c r="AM39" s="10">
        <v>13011.4902</v>
      </c>
      <c r="AN39" s="19">
        <v>35131.023540000002</v>
      </c>
      <c r="AY39" s="20" t="s">
        <v>85</v>
      </c>
      <c r="AZ39" t="s">
        <v>86</v>
      </c>
      <c r="BA39" t="s">
        <v>67</v>
      </c>
      <c r="BB39" s="10">
        <v>1</v>
      </c>
      <c r="BC39" t="s">
        <v>87</v>
      </c>
      <c r="BD39" s="10">
        <v>18500</v>
      </c>
      <c r="BE39" s="19">
        <v>18500</v>
      </c>
      <c r="BF39" s="19"/>
      <c r="BQ39" s="20"/>
      <c r="BW39" s="19"/>
      <c r="BX39" s="19"/>
    </row>
    <row r="40" spans="1:76" x14ac:dyDescent="0.35">
      <c r="A40" s="38" t="str">
        <v>KW00221</v>
      </c>
      <c r="B40" s="31" t="str">
        <f t="shared" si="0"/>
        <v>PUDDING GLASS JAR</v>
      </c>
      <c r="C40" s="31" t="str">
        <f t="shared" si="1"/>
        <v>KITCHENWARE TOOLS</v>
      </c>
      <c r="D40" s="31" t="str">
        <f t="shared" si="2"/>
        <v>pcs</v>
      </c>
      <c r="E40" s="47">
        <f t="shared" si="3"/>
        <v>5000</v>
      </c>
      <c r="F40" s="58">
        <f t="shared" si="4"/>
        <v>1</v>
      </c>
      <c r="G40" s="58" t="str">
        <f t="shared" si="5"/>
        <v>0</v>
      </c>
      <c r="H40" s="58">
        <f t="shared" si="6"/>
        <v>-1</v>
      </c>
      <c r="I40" s="47">
        <f t="shared" si="7"/>
        <v>-5000</v>
      </c>
      <c r="J40" s="31" t="str">
        <f t="shared" si="8"/>
        <v>Penurunan IU</v>
      </c>
      <c r="K40" s="79" t="s">
        <v>1084</v>
      </c>
      <c r="O40" s="20">
        <v>8</v>
      </c>
      <c r="P40" t="s">
        <v>139</v>
      </c>
      <c r="Q40" t="s">
        <v>140</v>
      </c>
      <c r="R40" t="s">
        <v>123</v>
      </c>
      <c r="S40" s="10">
        <v>3</v>
      </c>
      <c r="T40" t="s">
        <v>5</v>
      </c>
      <c r="U40" s="10">
        <v>42000</v>
      </c>
      <c r="V40" s="19">
        <v>126000</v>
      </c>
      <c r="AG40" s="20">
        <v>7</v>
      </c>
      <c r="AH40" t="s">
        <v>137</v>
      </c>
      <c r="AI40" t="s">
        <v>138</v>
      </c>
      <c r="AJ40" t="s">
        <v>123</v>
      </c>
      <c r="AK40" s="10">
        <v>0.2</v>
      </c>
      <c r="AL40" t="s">
        <v>5</v>
      </c>
      <c r="AM40" s="10">
        <v>15184.939400000001</v>
      </c>
      <c r="AN40" s="19">
        <v>3036.9878800000001</v>
      </c>
      <c r="AY40" s="20" t="s">
        <v>242</v>
      </c>
      <c r="AZ40" t="s">
        <v>243</v>
      </c>
      <c r="BA40" t="s">
        <v>67</v>
      </c>
      <c r="BB40" s="10">
        <v>2</v>
      </c>
      <c r="BC40" t="s">
        <v>87</v>
      </c>
      <c r="BD40" s="10">
        <v>14500</v>
      </c>
      <c r="BE40" s="19">
        <v>29000</v>
      </c>
      <c r="BF40" s="19"/>
      <c r="BQ40" s="20"/>
      <c r="BT40" s="10"/>
      <c r="BV40" s="10"/>
      <c r="BW40" s="19"/>
      <c r="BX40" s="19"/>
    </row>
    <row r="41" spans="1:76" x14ac:dyDescent="0.35">
      <c r="A41" s="38" t="str">
        <v>NCGK0005</v>
      </c>
      <c r="B41" s="31" t="str">
        <f t="shared" si="0"/>
        <v>CLING WRAP 45 x 50 @ 6 ROLL</v>
      </c>
      <c r="C41" s="31" t="str">
        <f t="shared" si="1"/>
        <v>NCG</v>
      </c>
      <c r="D41" s="31" t="str">
        <f t="shared" si="2"/>
        <v>roll</v>
      </c>
      <c r="E41" s="47">
        <f t="shared" si="3"/>
        <v>141456.55870431999</v>
      </c>
      <c r="F41" s="58">
        <f t="shared" si="4"/>
        <v>0.5</v>
      </c>
      <c r="G41" s="58" t="str">
        <f t="shared" si="5"/>
        <v>0</v>
      </c>
      <c r="H41" s="58">
        <f t="shared" si="6"/>
        <v>-0.5</v>
      </c>
      <c r="I41" s="47">
        <f t="shared" si="7"/>
        <v>-70728.279352159996</v>
      </c>
      <c r="J41" s="31" t="str">
        <f t="shared" si="8"/>
        <v>Penurunan IU</v>
      </c>
      <c r="K41" s="79" t="s">
        <v>1085</v>
      </c>
      <c r="O41" s="20">
        <v>9</v>
      </c>
      <c r="P41" t="s">
        <v>141</v>
      </c>
      <c r="Q41" t="s">
        <v>142</v>
      </c>
      <c r="R41" t="s">
        <v>123</v>
      </c>
      <c r="S41" s="10">
        <v>4</v>
      </c>
      <c r="T41" t="s">
        <v>5</v>
      </c>
      <c r="U41" s="10">
        <v>41655.553500000002</v>
      </c>
      <c r="V41" s="19">
        <v>166622.21400000001</v>
      </c>
      <c r="AG41" s="20">
        <v>8</v>
      </c>
      <c r="AH41" t="s">
        <v>139</v>
      </c>
      <c r="AI41" t="s">
        <v>140</v>
      </c>
      <c r="AJ41" t="s">
        <v>123</v>
      </c>
      <c r="AK41" s="10">
        <v>2.1</v>
      </c>
      <c r="AL41" t="s">
        <v>5</v>
      </c>
      <c r="AM41" s="10">
        <v>42590.793100000003</v>
      </c>
      <c r="AN41" s="19">
        <v>89440.665510000006</v>
      </c>
      <c r="AY41" s="20" t="s">
        <v>246</v>
      </c>
      <c r="AZ41" t="s">
        <v>247</v>
      </c>
      <c r="BA41" t="s">
        <v>67</v>
      </c>
      <c r="BB41" s="10">
        <v>2</v>
      </c>
      <c r="BC41" t="s">
        <v>5</v>
      </c>
      <c r="BD41" s="10">
        <v>1414.9346</v>
      </c>
      <c r="BE41" s="19">
        <v>2829.8692000000001</v>
      </c>
      <c r="BF41" s="19"/>
      <c r="BQ41" s="20"/>
      <c r="BT41" s="10"/>
      <c r="BV41" s="10"/>
      <c r="BW41" s="19"/>
      <c r="BX41" s="19"/>
    </row>
    <row r="42" spans="1:76" x14ac:dyDescent="0.35">
      <c r="A42" s="38" t="str">
        <v>NCGK0012</v>
      </c>
      <c r="B42" s="31" t="str">
        <f t="shared" si="0"/>
        <v>HAND GLOVES NITRILE SIZE L</v>
      </c>
      <c r="C42" s="31" t="str">
        <f t="shared" si="1"/>
        <v>NCG</v>
      </c>
      <c r="D42" s="31" t="str">
        <f t="shared" si="2"/>
        <v>pack</v>
      </c>
      <c r="E42" s="47">
        <f t="shared" si="3"/>
        <v>41655.553500000002</v>
      </c>
      <c r="F42" s="58">
        <f t="shared" si="4"/>
        <v>4</v>
      </c>
      <c r="G42" s="58" t="str">
        <f t="shared" si="5"/>
        <v>0</v>
      </c>
      <c r="H42" s="58">
        <f t="shared" si="6"/>
        <v>-4</v>
      </c>
      <c r="I42" s="47">
        <f t="shared" si="7"/>
        <v>-166622.21400000001</v>
      </c>
      <c r="J42" s="31" t="str">
        <f t="shared" si="8"/>
        <v>Penurunan IU</v>
      </c>
      <c r="K42" s="79" t="s">
        <v>1086</v>
      </c>
      <c r="O42" s="20">
        <v>10</v>
      </c>
      <c r="P42" t="s">
        <v>145</v>
      </c>
      <c r="Q42" t="s">
        <v>146</v>
      </c>
      <c r="R42" t="s">
        <v>123</v>
      </c>
      <c r="S42" s="10">
        <v>29</v>
      </c>
      <c r="T42" t="s">
        <v>5</v>
      </c>
      <c r="U42" s="10">
        <v>4604.1441999999997</v>
      </c>
      <c r="V42" s="19">
        <v>133520.18179999999</v>
      </c>
      <c r="AG42" s="20">
        <v>9</v>
      </c>
      <c r="AH42" t="s">
        <v>145</v>
      </c>
      <c r="AI42" t="s">
        <v>146</v>
      </c>
      <c r="AJ42" t="s">
        <v>123</v>
      </c>
      <c r="AK42" s="10">
        <v>26</v>
      </c>
      <c r="AL42" t="s">
        <v>5</v>
      </c>
      <c r="AM42" s="10">
        <v>4604.1441999999997</v>
      </c>
      <c r="AN42" s="19">
        <v>119707.74920000001</v>
      </c>
      <c r="AY42" s="20" t="s">
        <v>92</v>
      </c>
      <c r="AZ42" t="s">
        <v>93</v>
      </c>
      <c r="BA42" t="s">
        <v>67</v>
      </c>
      <c r="BB42" s="10">
        <v>18</v>
      </c>
      <c r="BC42" t="s">
        <v>94</v>
      </c>
      <c r="BD42" s="10">
        <v>11850.833099999998</v>
      </c>
      <c r="BE42" s="19">
        <v>213314.9958</v>
      </c>
      <c r="BF42" s="19"/>
      <c r="BQ42" s="20"/>
      <c r="BT42" s="10"/>
      <c r="BV42" s="10"/>
      <c r="BW42" s="19"/>
      <c r="BX42" s="19"/>
    </row>
    <row r="43" spans="1:76" ht="15" thickBot="1" x14ac:dyDescent="0.4">
      <c r="A43" s="43" t="str">
        <v>OTH00099</v>
      </c>
      <c r="B43" s="32" t="str">
        <f t="shared" si="0"/>
        <v>GELAS KARYAWAN</v>
      </c>
      <c r="C43" s="32" t="str">
        <f t="shared" si="1"/>
        <v>OTHERS</v>
      </c>
      <c r="D43" s="32" t="str">
        <f t="shared" si="2"/>
        <v>pcs</v>
      </c>
      <c r="E43" s="50">
        <f t="shared" si="3"/>
        <v>4047.62</v>
      </c>
      <c r="F43" s="45">
        <f t="shared" si="4"/>
        <v>1</v>
      </c>
      <c r="G43" s="45" t="str">
        <f t="shared" si="5"/>
        <v>0</v>
      </c>
      <c r="H43" s="45">
        <f t="shared" si="6"/>
        <v>-1</v>
      </c>
      <c r="I43" s="50">
        <f t="shared" si="7"/>
        <v>-4047.62</v>
      </c>
      <c r="J43" s="32" t="str">
        <f t="shared" si="8"/>
        <v>Penurunan IU</v>
      </c>
      <c r="K43" s="80" t="s">
        <v>1087</v>
      </c>
      <c r="O43" s="20">
        <v>11</v>
      </c>
      <c r="P43" t="s">
        <v>748</v>
      </c>
      <c r="Q43" t="s">
        <v>749</v>
      </c>
      <c r="R43" t="s">
        <v>151</v>
      </c>
      <c r="S43" s="10">
        <v>105</v>
      </c>
      <c r="T43" t="s">
        <v>30</v>
      </c>
      <c r="U43" s="10">
        <v>1096.8357000000001</v>
      </c>
      <c r="V43" s="19">
        <v>115167.7485</v>
      </c>
      <c r="AG43" s="20">
        <v>10</v>
      </c>
      <c r="AH43" t="s">
        <v>748</v>
      </c>
      <c r="AI43" t="s">
        <v>749</v>
      </c>
      <c r="AJ43" t="s">
        <v>151</v>
      </c>
      <c r="AK43">
        <v>70</v>
      </c>
      <c r="AL43" t="s">
        <v>30</v>
      </c>
      <c r="AM43">
        <v>1092.2786000000001</v>
      </c>
      <c r="AN43" s="19">
        <v>76459.501999999993</v>
      </c>
      <c r="AY43" s="20" t="s">
        <v>366</v>
      </c>
      <c r="AZ43" t="s">
        <v>367</v>
      </c>
      <c r="BA43" t="s">
        <v>67</v>
      </c>
      <c r="BB43">
        <v>1</v>
      </c>
      <c r="BC43" t="s">
        <v>94</v>
      </c>
      <c r="BD43">
        <v>2283.1999999999998</v>
      </c>
      <c r="BE43" s="19">
        <v>2283.1999999999998</v>
      </c>
      <c r="BF43" s="19"/>
      <c r="BQ43" s="20"/>
      <c r="BT43" s="10"/>
      <c r="BV43" s="10"/>
      <c r="BW43" s="19"/>
      <c r="BX43" s="19"/>
    </row>
    <row r="44" spans="1:76" ht="15.5" thickTop="1" thickBot="1" x14ac:dyDescent="0.4">
      <c r="O44" s="20">
        <v>12</v>
      </c>
      <c r="P44" t="s">
        <v>501</v>
      </c>
      <c r="Q44" t="s">
        <v>502</v>
      </c>
      <c r="R44" t="s">
        <v>151</v>
      </c>
      <c r="S44">
        <v>1</v>
      </c>
      <c r="T44" t="s">
        <v>20</v>
      </c>
      <c r="U44">
        <v>4047.62</v>
      </c>
      <c r="V44" s="19">
        <v>4047.62</v>
      </c>
      <c r="AG44" s="22" t="s">
        <v>223</v>
      </c>
      <c r="AH44" s="23" t="s">
        <v>223</v>
      </c>
      <c r="AI44" s="23" t="s">
        <v>223</v>
      </c>
      <c r="AJ44" s="23" t="s">
        <v>223</v>
      </c>
      <c r="AK44" s="23" t="s">
        <v>223</v>
      </c>
      <c r="AL44" s="23" t="s">
        <v>223</v>
      </c>
      <c r="AM44" s="23" t="s">
        <v>224</v>
      </c>
      <c r="AN44" s="24">
        <v>1462411.0609899997</v>
      </c>
      <c r="AY44" s="20" t="s">
        <v>774</v>
      </c>
      <c r="AZ44" t="s">
        <v>775</v>
      </c>
      <c r="BA44" t="s">
        <v>165</v>
      </c>
      <c r="BB44">
        <v>1</v>
      </c>
      <c r="BC44" t="s">
        <v>20</v>
      </c>
      <c r="BD44">
        <v>5000</v>
      </c>
      <c r="BE44" s="19">
        <v>5000</v>
      </c>
      <c r="BF44" s="19"/>
      <c r="BQ44" s="20"/>
      <c r="BT44" s="10"/>
      <c r="BV44" s="10"/>
      <c r="BW44" s="19"/>
      <c r="BX44" s="24"/>
    </row>
    <row r="45" spans="1:76" ht="15" thickBot="1" x14ac:dyDescent="0.4">
      <c r="O45" s="22" t="s">
        <v>223</v>
      </c>
      <c r="P45" s="23" t="s">
        <v>223</v>
      </c>
      <c r="Q45" s="23" t="s">
        <v>223</v>
      </c>
      <c r="R45" s="23" t="s">
        <v>223</v>
      </c>
      <c r="S45" s="23" t="s">
        <v>223</v>
      </c>
      <c r="T45" s="23" t="s">
        <v>223</v>
      </c>
      <c r="U45" s="23" t="s">
        <v>224</v>
      </c>
      <c r="V45" s="24">
        <v>1054511.3106920002</v>
      </c>
      <c r="AY45" s="20" t="s">
        <v>115</v>
      </c>
      <c r="AZ45" t="s">
        <v>116</v>
      </c>
      <c r="BA45" t="s">
        <v>117</v>
      </c>
      <c r="BB45" s="10">
        <v>300</v>
      </c>
      <c r="BC45" t="s">
        <v>52</v>
      </c>
      <c r="BD45" s="10">
        <v>656.66700000000003</v>
      </c>
      <c r="BE45" s="19">
        <v>197000.1</v>
      </c>
      <c r="BF45" s="24"/>
      <c r="BQ45" s="20"/>
      <c r="BT45" s="10"/>
      <c r="BV45" s="10"/>
      <c r="BW45" s="19"/>
    </row>
    <row r="46" spans="1:76" ht="15" thickBot="1" x14ac:dyDescent="0.4">
      <c r="AY46" s="20" t="s">
        <v>121</v>
      </c>
      <c r="AZ46" t="s">
        <v>122</v>
      </c>
      <c r="BA46" t="s">
        <v>123</v>
      </c>
      <c r="BB46" s="10">
        <v>5</v>
      </c>
      <c r="BC46" t="s">
        <v>5</v>
      </c>
      <c r="BD46" s="10">
        <v>5006.7677999999996</v>
      </c>
      <c r="BE46" s="19">
        <v>25033.839</v>
      </c>
      <c r="BQ46" s="20"/>
      <c r="BT46" s="10"/>
      <c r="BV46" s="10"/>
      <c r="BW46" s="19"/>
    </row>
    <row r="47" spans="1:76" ht="15" thickBot="1" x14ac:dyDescent="0.4">
      <c r="AG47" s="84" t="s">
        <v>0</v>
      </c>
      <c r="AH47" s="85"/>
      <c r="AI47" s="85"/>
      <c r="AJ47" s="85"/>
      <c r="AK47" s="85"/>
      <c r="AL47" s="16"/>
      <c r="AM47" s="16"/>
      <c r="AN47" s="17"/>
      <c r="AY47" s="20" t="s">
        <v>124</v>
      </c>
      <c r="AZ47" t="s">
        <v>125</v>
      </c>
      <c r="BA47" t="s">
        <v>123</v>
      </c>
      <c r="BB47" s="10">
        <v>3</v>
      </c>
      <c r="BC47" t="s">
        <v>5</v>
      </c>
      <c r="BD47" s="10">
        <v>5261.6877999999997</v>
      </c>
      <c r="BE47" s="19">
        <v>15785.063399999999</v>
      </c>
      <c r="BQ47" s="20"/>
      <c r="BT47" s="10"/>
      <c r="BV47" s="10"/>
      <c r="BW47" s="19"/>
      <c r="BX47" s="17"/>
    </row>
    <row r="48" spans="1:76" x14ac:dyDescent="0.35">
      <c r="O48" s="84" t="s">
        <v>0</v>
      </c>
      <c r="P48" s="85"/>
      <c r="Q48" s="85"/>
      <c r="R48" s="85"/>
      <c r="S48" s="85"/>
      <c r="T48" s="16"/>
      <c r="U48" s="16"/>
      <c r="V48" s="17"/>
      <c r="AG48" s="82" t="s">
        <v>1</v>
      </c>
      <c r="AH48" s="87"/>
      <c r="AI48" s="87"/>
      <c r="AJ48" s="87"/>
      <c r="AK48" s="87"/>
      <c r="AN48" s="19"/>
      <c r="AY48" s="20" t="s">
        <v>128</v>
      </c>
      <c r="AZ48" t="s">
        <v>129</v>
      </c>
      <c r="BA48" t="s">
        <v>123</v>
      </c>
      <c r="BB48" s="10">
        <v>0.5</v>
      </c>
      <c r="BC48" t="s">
        <v>74</v>
      </c>
      <c r="BD48" s="10">
        <v>141456.55870431999</v>
      </c>
      <c r="BE48" s="19">
        <v>70728.279351999998</v>
      </c>
      <c r="BF48" s="17"/>
      <c r="BQ48" s="20"/>
      <c r="BT48" s="10"/>
      <c r="BV48" s="10"/>
      <c r="BW48" s="19"/>
      <c r="BX48" s="19"/>
    </row>
    <row r="49" spans="15:76" x14ac:dyDescent="0.35">
      <c r="O49" s="82" t="s">
        <v>1</v>
      </c>
      <c r="P49" s="87"/>
      <c r="Q49" s="87"/>
      <c r="R49" s="87"/>
      <c r="S49" s="87"/>
      <c r="V49" s="19"/>
      <c r="AG49" s="20"/>
      <c r="AN49" s="19"/>
      <c r="AY49" s="20" t="s">
        <v>130</v>
      </c>
      <c r="AZ49" t="s">
        <v>131</v>
      </c>
      <c r="BA49" t="s">
        <v>123</v>
      </c>
      <c r="BB49" s="10">
        <v>17</v>
      </c>
      <c r="BC49" t="s">
        <v>5</v>
      </c>
      <c r="BD49" s="10">
        <v>6353.3729000000003</v>
      </c>
      <c r="BE49" s="19">
        <v>108007.33930000001</v>
      </c>
      <c r="BF49" s="19"/>
      <c r="BQ49" s="20"/>
      <c r="BW49" s="19"/>
      <c r="BX49" s="19"/>
    </row>
    <row r="50" spans="15:76" x14ac:dyDescent="0.35">
      <c r="O50" s="20"/>
      <c r="V50" s="19"/>
      <c r="AG50" s="82" t="s">
        <v>10</v>
      </c>
      <c r="AH50" s="87" t="s">
        <v>11</v>
      </c>
      <c r="AI50" t="s">
        <v>782</v>
      </c>
      <c r="AN50" s="19"/>
      <c r="AY50" s="20" t="s">
        <v>132</v>
      </c>
      <c r="AZ50" t="s">
        <v>133</v>
      </c>
      <c r="BA50" t="s">
        <v>123</v>
      </c>
      <c r="BB50" s="10">
        <v>7</v>
      </c>
      <c r="BC50" t="s">
        <v>134</v>
      </c>
      <c r="BD50" s="10">
        <v>13011.4902</v>
      </c>
      <c r="BE50" s="19">
        <v>91080.431400000001</v>
      </c>
      <c r="BF50" s="19"/>
      <c r="BQ50" s="20"/>
      <c r="BT50" s="10"/>
      <c r="BV50" s="10"/>
      <c r="BW50" s="19"/>
      <c r="BX50" s="19"/>
    </row>
    <row r="51" spans="15:76" x14ac:dyDescent="0.35">
      <c r="O51" s="82" t="s">
        <v>10</v>
      </c>
      <c r="P51" s="87" t="s">
        <v>11</v>
      </c>
      <c r="Q51" t="s">
        <v>783</v>
      </c>
      <c r="V51" s="19"/>
      <c r="AG51" s="82" t="s">
        <v>16</v>
      </c>
      <c r="AH51" s="87" t="s">
        <v>11</v>
      </c>
      <c r="AI51" t="s">
        <v>211</v>
      </c>
      <c r="AN51" s="19"/>
      <c r="AY51" s="20" t="s">
        <v>137</v>
      </c>
      <c r="AZ51" t="s">
        <v>138</v>
      </c>
      <c r="BA51" t="s">
        <v>123</v>
      </c>
      <c r="BB51" s="10">
        <v>0.1</v>
      </c>
      <c r="BC51" t="s">
        <v>5</v>
      </c>
      <c r="BD51" s="10">
        <v>15184.939400000001</v>
      </c>
      <c r="BE51" s="19">
        <v>1518.4939400000001</v>
      </c>
      <c r="BF51" s="19"/>
      <c r="BQ51" s="20"/>
      <c r="BT51" s="10"/>
      <c r="BV51" s="10"/>
      <c r="BW51" s="19"/>
      <c r="BX51" s="19"/>
    </row>
    <row r="52" spans="15:76" x14ac:dyDescent="0.35">
      <c r="O52" s="82" t="s">
        <v>16</v>
      </c>
      <c r="P52" s="87" t="s">
        <v>11</v>
      </c>
      <c r="Q52" t="s">
        <v>17</v>
      </c>
      <c r="V52" s="19"/>
      <c r="AG52" s="82" t="s">
        <v>21</v>
      </c>
      <c r="AH52" s="87" t="s">
        <v>11</v>
      </c>
      <c r="AI52" t="s">
        <v>769</v>
      </c>
      <c r="AN52" s="19"/>
      <c r="AY52" s="20" t="s">
        <v>139</v>
      </c>
      <c r="AZ52" t="s">
        <v>140</v>
      </c>
      <c r="BA52" t="s">
        <v>123</v>
      </c>
      <c r="BB52" s="10">
        <v>3</v>
      </c>
      <c r="BC52" t="s">
        <v>5</v>
      </c>
      <c r="BD52" s="10">
        <v>42000</v>
      </c>
      <c r="BE52" s="19">
        <v>126000</v>
      </c>
      <c r="BF52" s="19"/>
      <c r="BQ52" s="20"/>
      <c r="BT52" s="10"/>
      <c r="BV52" s="10"/>
      <c r="BW52" s="19"/>
      <c r="BX52" s="19"/>
    </row>
    <row r="53" spans="15:76" x14ac:dyDescent="0.35">
      <c r="O53" s="82" t="s">
        <v>21</v>
      </c>
      <c r="P53" s="87" t="s">
        <v>11</v>
      </c>
      <c r="Q53" t="s">
        <v>769</v>
      </c>
      <c r="V53" s="19"/>
      <c r="AG53" s="82" t="s">
        <v>26</v>
      </c>
      <c r="AH53" s="87" t="s">
        <v>11</v>
      </c>
      <c r="AI53" t="s">
        <v>784</v>
      </c>
      <c r="AN53" s="19"/>
      <c r="AY53" s="20" t="s">
        <v>141</v>
      </c>
      <c r="AZ53" t="s">
        <v>142</v>
      </c>
      <c r="BA53" t="s">
        <v>123</v>
      </c>
      <c r="BB53" s="10">
        <v>4</v>
      </c>
      <c r="BC53" t="s">
        <v>5</v>
      </c>
      <c r="BD53" s="10">
        <v>41655.553500000002</v>
      </c>
      <c r="BE53" s="19">
        <v>166622.21400000001</v>
      </c>
      <c r="BF53" s="19"/>
      <c r="BQ53" s="20"/>
      <c r="BT53" s="10"/>
      <c r="BV53" s="10"/>
      <c r="BW53" s="19"/>
      <c r="BX53" s="19"/>
    </row>
    <row r="54" spans="15:76" x14ac:dyDescent="0.35">
      <c r="O54" s="82" t="s">
        <v>26</v>
      </c>
      <c r="P54" s="87" t="s">
        <v>11</v>
      </c>
      <c r="Q54" t="s">
        <v>785</v>
      </c>
      <c r="V54" s="19"/>
      <c r="AG54" s="82" t="s">
        <v>31</v>
      </c>
      <c r="AH54" s="87" t="s">
        <v>11</v>
      </c>
      <c r="AI54" t="s">
        <v>109</v>
      </c>
      <c r="AN54" s="19"/>
      <c r="AY54" s="20" t="s">
        <v>145</v>
      </c>
      <c r="AZ54" t="s">
        <v>146</v>
      </c>
      <c r="BA54" t="s">
        <v>123</v>
      </c>
      <c r="BB54" s="10">
        <v>29</v>
      </c>
      <c r="BC54" t="s">
        <v>5</v>
      </c>
      <c r="BD54" s="10">
        <v>4604.1441999999997</v>
      </c>
      <c r="BE54" s="19">
        <v>133520.18179999999</v>
      </c>
      <c r="BF54" s="19"/>
      <c r="BQ54" s="20"/>
      <c r="BT54" s="10"/>
      <c r="BV54" s="10"/>
      <c r="BW54" s="19"/>
      <c r="BX54" s="19"/>
    </row>
    <row r="55" spans="15:76" x14ac:dyDescent="0.35">
      <c r="O55" s="82" t="s">
        <v>31</v>
      </c>
      <c r="P55" s="87" t="s">
        <v>11</v>
      </c>
      <c r="Q55" t="s">
        <v>198</v>
      </c>
      <c r="V55" s="19"/>
      <c r="AG55" s="82" t="s">
        <v>35</v>
      </c>
      <c r="AH55" s="87" t="s">
        <v>11</v>
      </c>
      <c r="AI55" t="s">
        <v>786</v>
      </c>
      <c r="AN55" s="19"/>
      <c r="AY55" s="20" t="s">
        <v>748</v>
      </c>
      <c r="AZ55" t="s">
        <v>749</v>
      </c>
      <c r="BA55" t="s">
        <v>151</v>
      </c>
      <c r="BB55" s="10">
        <v>105</v>
      </c>
      <c r="BC55" t="s">
        <v>30</v>
      </c>
      <c r="BD55" s="10">
        <v>1096.8357000000001</v>
      </c>
      <c r="BE55" s="19">
        <v>115167.7485</v>
      </c>
      <c r="BF55" s="19"/>
      <c r="BQ55" s="20"/>
      <c r="BW55" s="19"/>
      <c r="BX55" s="19"/>
    </row>
    <row r="56" spans="15:76" x14ac:dyDescent="0.35">
      <c r="O56" s="82" t="s">
        <v>35</v>
      </c>
      <c r="P56" s="87" t="s">
        <v>11</v>
      </c>
      <c r="Q56" t="s">
        <v>787</v>
      </c>
      <c r="V56" s="19"/>
      <c r="AG56" s="20"/>
      <c r="AN56" s="19"/>
      <c r="AY56" s="20" t="s">
        <v>501</v>
      </c>
      <c r="AZ56" t="s">
        <v>502</v>
      </c>
      <c r="BA56" t="s">
        <v>151</v>
      </c>
      <c r="BB56">
        <v>1</v>
      </c>
      <c r="BC56" t="s">
        <v>20</v>
      </c>
      <c r="BD56">
        <v>4047.62</v>
      </c>
      <c r="BE56" s="19">
        <v>4047.62</v>
      </c>
      <c r="BF56" s="19"/>
      <c r="BQ56" s="20"/>
      <c r="BW56" s="19"/>
      <c r="BX56" s="19"/>
    </row>
    <row r="57" spans="15:76" x14ac:dyDescent="0.35">
      <c r="O57" s="20"/>
      <c r="V57" s="19"/>
      <c r="AG57" s="20" t="s">
        <v>42</v>
      </c>
      <c r="AH57" t="s">
        <v>43</v>
      </c>
      <c r="AI57" t="s">
        <v>44</v>
      </c>
      <c r="AJ57" t="s">
        <v>45</v>
      </c>
      <c r="AK57" t="s">
        <v>46</v>
      </c>
      <c r="AL57" t="s">
        <v>47</v>
      </c>
      <c r="AM57" t="s">
        <v>48</v>
      </c>
      <c r="AN57" s="19" t="s">
        <v>49</v>
      </c>
      <c r="AY57" s="20" t="s">
        <v>2</v>
      </c>
      <c r="AZ57" t="s">
        <v>3</v>
      </c>
      <c r="BA57" t="s">
        <v>4</v>
      </c>
      <c r="BB57" s="10">
        <v>2</v>
      </c>
      <c r="BC57" t="s">
        <v>5</v>
      </c>
      <c r="BD57" s="10">
        <v>15186.2778</v>
      </c>
      <c r="BE57" s="19">
        <v>30372.5556</v>
      </c>
      <c r="BF57" s="19"/>
      <c r="BQ57" s="20"/>
      <c r="BT57" s="10"/>
      <c r="BV57" s="10"/>
      <c r="BW57" s="19"/>
      <c r="BX57" s="19"/>
    </row>
    <row r="58" spans="15:76" x14ac:dyDescent="0.35">
      <c r="O58" s="20" t="s">
        <v>42</v>
      </c>
      <c r="P58" t="s">
        <v>43</v>
      </c>
      <c r="Q58" t="s">
        <v>44</v>
      </c>
      <c r="R58" t="s">
        <v>45</v>
      </c>
      <c r="S58" t="s">
        <v>46</v>
      </c>
      <c r="T58" t="s">
        <v>47</v>
      </c>
      <c r="U58" t="s">
        <v>48</v>
      </c>
      <c r="V58" s="19" t="s">
        <v>49</v>
      </c>
      <c r="AG58" s="20">
        <v>1</v>
      </c>
      <c r="AH58" t="s">
        <v>388</v>
      </c>
      <c r="AI58" t="s">
        <v>389</v>
      </c>
      <c r="AJ58" t="s">
        <v>67</v>
      </c>
      <c r="AK58" s="10">
        <v>1</v>
      </c>
      <c r="AL58" t="s">
        <v>20</v>
      </c>
      <c r="AM58" s="10">
        <v>2763.4</v>
      </c>
      <c r="AN58" s="19">
        <v>2763.4</v>
      </c>
      <c r="AY58" s="20" t="s">
        <v>13</v>
      </c>
      <c r="AZ58" t="s">
        <v>14</v>
      </c>
      <c r="BA58" t="s">
        <v>4</v>
      </c>
      <c r="BB58" s="10">
        <v>0.01</v>
      </c>
      <c r="BC58" t="s">
        <v>15</v>
      </c>
      <c r="BD58" s="10">
        <v>77700</v>
      </c>
      <c r="BE58" s="19">
        <v>777</v>
      </c>
      <c r="BF58" s="19"/>
      <c r="BQ58" s="20"/>
      <c r="BT58" s="10"/>
      <c r="BV58" s="10"/>
      <c r="BW58" s="19"/>
      <c r="BX58" s="19"/>
    </row>
    <row r="59" spans="15:76" x14ac:dyDescent="0.35">
      <c r="O59" s="20">
        <v>1</v>
      </c>
      <c r="P59" t="s">
        <v>774</v>
      </c>
      <c r="Q59" t="s">
        <v>775</v>
      </c>
      <c r="R59" t="s">
        <v>165</v>
      </c>
      <c r="S59">
        <v>1</v>
      </c>
      <c r="T59" t="s">
        <v>20</v>
      </c>
      <c r="U59">
        <v>5000</v>
      </c>
      <c r="V59" s="19">
        <v>5000</v>
      </c>
      <c r="AG59" s="20">
        <v>2</v>
      </c>
      <c r="AH59" t="s">
        <v>359</v>
      </c>
      <c r="AI59" t="s">
        <v>360</v>
      </c>
      <c r="AJ59" t="s">
        <v>67</v>
      </c>
      <c r="AK59" s="10">
        <v>0.5</v>
      </c>
      <c r="AL59" t="s">
        <v>216</v>
      </c>
      <c r="AM59" s="10">
        <v>20000</v>
      </c>
      <c r="AN59" s="19">
        <v>10000</v>
      </c>
      <c r="AY59" s="20" t="s">
        <v>28</v>
      </c>
      <c r="AZ59" t="s">
        <v>29</v>
      </c>
      <c r="BA59" t="s">
        <v>4</v>
      </c>
      <c r="BB59" s="10">
        <v>3</v>
      </c>
      <c r="BC59" t="s">
        <v>30</v>
      </c>
      <c r="BD59" s="10">
        <v>19760</v>
      </c>
      <c r="BE59" s="19">
        <v>59280</v>
      </c>
      <c r="BF59" s="19"/>
      <c r="BQ59" s="20"/>
      <c r="BT59" s="10"/>
      <c r="BV59" s="10"/>
      <c r="BW59" s="19"/>
      <c r="BX59" s="19"/>
    </row>
    <row r="60" spans="15:76" ht="15" thickBot="1" x14ac:dyDescent="0.4">
      <c r="O60" s="20" t="s">
        <v>223</v>
      </c>
      <c r="P60" t="s">
        <v>223</v>
      </c>
      <c r="Q60" t="s">
        <v>223</v>
      </c>
      <c r="R60" t="s">
        <v>223</v>
      </c>
      <c r="S60" t="s">
        <v>223</v>
      </c>
      <c r="T60" t="s">
        <v>223</v>
      </c>
      <c r="U60" t="s">
        <v>224</v>
      </c>
      <c r="V60" s="19">
        <v>5000</v>
      </c>
      <c r="AG60" s="20">
        <v>3</v>
      </c>
      <c r="AH60" t="s">
        <v>238</v>
      </c>
      <c r="AI60" t="s">
        <v>239</v>
      </c>
      <c r="AJ60" t="s">
        <v>67</v>
      </c>
      <c r="AK60" s="10">
        <v>0.2</v>
      </c>
      <c r="AL60" t="s">
        <v>74</v>
      </c>
      <c r="AM60" s="10">
        <v>7330.6451666599996</v>
      </c>
      <c r="AN60" s="19">
        <v>1466.1290329999999</v>
      </c>
      <c r="AY60" s="20" t="s">
        <v>33</v>
      </c>
      <c r="AZ60" t="s">
        <v>34</v>
      </c>
      <c r="BA60" t="s">
        <v>4</v>
      </c>
      <c r="BB60" s="10">
        <v>3</v>
      </c>
      <c r="BC60" t="s">
        <v>30</v>
      </c>
      <c r="BD60" s="10">
        <v>13000</v>
      </c>
      <c r="BE60" s="19">
        <v>39000</v>
      </c>
      <c r="BF60" s="24"/>
      <c r="BQ60" s="20"/>
      <c r="BT60" s="10"/>
      <c r="BV60" s="10"/>
      <c r="BW60" s="19"/>
      <c r="BX60" s="19"/>
    </row>
    <row r="61" spans="15:76" ht="15" thickBot="1" x14ac:dyDescent="0.4">
      <c r="O61" s="22"/>
      <c r="P61" s="23"/>
      <c r="Q61" s="23"/>
      <c r="R61" s="23"/>
      <c r="S61" s="23"/>
      <c r="T61" s="23"/>
      <c r="U61" s="23"/>
      <c r="V61" s="24"/>
      <c r="AG61" s="20">
        <v>4</v>
      </c>
      <c r="AH61" t="s">
        <v>246</v>
      </c>
      <c r="AI61" t="s">
        <v>247</v>
      </c>
      <c r="AJ61" t="s">
        <v>67</v>
      </c>
      <c r="AK61" s="10">
        <v>2</v>
      </c>
      <c r="AL61" t="s">
        <v>5</v>
      </c>
      <c r="AM61" s="10">
        <v>3035.7869000000001</v>
      </c>
      <c r="AN61" s="19">
        <v>6071.5738000000001</v>
      </c>
      <c r="AY61" s="20" t="s">
        <v>57</v>
      </c>
      <c r="AZ61" t="s">
        <v>58</v>
      </c>
      <c r="BA61" t="s">
        <v>41</v>
      </c>
      <c r="BB61" s="10">
        <v>3</v>
      </c>
      <c r="BC61" t="s">
        <v>5</v>
      </c>
      <c r="BD61" s="10">
        <v>7698.5586000000012</v>
      </c>
      <c r="BE61" s="19">
        <v>23095.675800000001</v>
      </c>
      <c r="BQ61" s="20"/>
      <c r="BT61" s="10"/>
      <c r="BV61" s="10"/>
      <c r="BW61" s="19"/>
      <c r="BX61" s="19"/>
    </row>
    <row r="62" spans="15:76" ht="15" thickBot="1" x14ac:dyDescent="0.4">
      <c r="AG62" s="20">
        <v>5</v>
      </c>
      <c r="AH62" t="s">
        <v>92</v>
      </c>
      <c r="AI62" t="s">
        <v>93</v>
      </c>
      <c r="AJ62" t="s">
        <v>67</v>
      </c>
      <c r="AK62" s="10">
        <v>11</v>
      </c>
      <c r="AL62" t="s">
        <v>94</v>
      </c>
      <c r="AM62" s="10">
        <v>11850.833099999998</v>
      </c>
      <c r="AN62" s="19">
        <v>130359.16409999999</v>
      </c>
      <c r="AY62" s="22" t="s">
        <v>61</v>
      </c>
      <c r="AZ62" s="23" t="s">
        <v>62</v>
      </c>
      <c r="BA62" s="23" t="s">
        <v>41</v>
      </c>
      <c r="BB62" s="23">
        <v>1</v>
      </c>
      <c r="BC62" s="23" t="s">
        <v>5</v>
      </c>
      <c r="BD62" s="23">
        <v>19613.8773</v>
      </c>
      <c r="BE62" s="24">
        <v>19613.8773</v>
      </c>
      <c r="BQ62" s="22"/>
      <c r="BR62" s="23"/>
      <c r="BS62" s="23"/>
      <c r="BT62" s="23"/>
      <c r="BU62" s="23"/>
      <c r="BV62" s="23"/>
      <c r="BW62" s="24"/>
      <c r="BX62" s="19"/>
    </row>
    <row r="63" spans="15:76" ht="15" thickBot="1" x14ac:dyDescent="0.4">
      <c r="AG63" s="20">
        <v>6</v>
      </c>
      <c r="AH63" t="s">
        <v>361</v>
      </c>
      <c r="AI63" t="s">
        <v>362</v>
      </c>
      <c r="AJ63" t="s">
        <v>67</v>
      </c>
      <c r="AK63">
        <v>2</v>
      </c>
      <c r="AL63" t="s">
        <v>363</v>
      </c>
      <c r="AM63">
        <v>60</v>
      </c>
      <c r="AN63" s="19">
        <v>120</v>
      </c>
      <c r="BF63" s="17"/>
      <c r="BQ63" s="20"/>
      <c r="BX63" s="19"/>
    </row>
    <row r="64" spans="15:76" ht="15" thickBot="1" x14ac:dyDescent="0.4">
      <c r="O64" s="84" t="s">
        <v>0</v>
      </c>
      <c r="P64" s="85"/>
      <c r="Q64" s="85"/>
      <c r="R64" s="85"/>
      <c r="S64" s="85"/>
      <c r="T64" s="16"/>
      <c r="U64" s="16"/>
      <c r="V64" s="17"/>
      <c r="AG64" s="22" t="s">
        <v>223</v>
      </c>
      <c r="AH64" s="23" t="s">
        <v>223</v>
      </c>
      <c r="AI64" s="23" t="s">
        <v>223</v>
      </c>
      <c r="AJ64" s="23" t="s">
        <v>223</v>
      </c>
      <c r="AK64" s="23" t="s">
        <v>223</v>
      </c>
      <c r="AL64" s="23" t="s">
        <v>223</v>
      </c>
      <c r="AM64" s="23" t="s">
        <v>224</v>
      </c>
      <c r="AN64" s="24">
        <v>150780.26693300001</v>
      </c>
      <c r="AY64" s="82"/>
      <c r="AZ64" s="87"/>
      <c r="BA64" s="87"/>
      <c r="BB64" s="87"/>
      <c r="BC64" s="87"/>
      <c r="BF64" s="19"/>
      <c r="BQ64" s="22"/>
      <c r="BR64" s="23"/>
      <c r="BS64" s="23"/>
      <c r="BT64" s="23"/>
      <c r="BU64" s="23"/>
      <c r="BV64" s="23"/>
      <c r="BW64" s="23"/>
      <c r="BX64" s="24"/>
    </row>
    <row r="65" spans="15:76" x14ac:dyDescent="0.35">
      <c r="O65" s="82" t="s">
        <v>1</v>
      </c>
      <c r="P65" s="87"/>
      <c r="Q65" s="87"/>
      <c r="R65" s="87"/>
      <c r="S65" s="87"/>
      <c r="V65" s="19"/>
      <c r="AY65" s="20"/>
      <c r="BF65" s="19"/>
    </row>
    <row r="66" spans="15:76" ht="15" thickBot="1" x14ac:dyDescent="0.4">
      <c r="O66" s="20"/>
      <c r="V66" s="19"/>
      <c r="AY66" s="82"/>
      <c r="AZ66" s="87"/>
      <c r="BF66" s="19"/>
    </row>
    <row r="67" spans="15:76" x14ac:dyDescent="0.35">
      <c r="O67" s="82" t="s">
        <v>10</v>
      </c>
      <c r="P67" s="87" t="s">
        <v>11</v>
      </c>
      <c r="Q67" t="s">
        <v>788</v>
      </c>
      <c r="V67" s="19"/>
      <c r="AG67" s="84" t="s">
        <v>0</v>
      </c>
      <c r="AH67" s="85"/>
      <c r="AI67" s="85"/>
      <c r="AJ67" s="85"/>
      <c r="AK67" s="85"/>
      <c r="AL67" s="16"/>
      <c r="AM67" s="16"/>
      <c r="AN67" s="17"/>
      <c r="AY67" s="82"/>
      <c r="AZ67" s="87"/>
      <c r="BF67" s="19"/>
      <c r="BQ67" s="84"/>
      <c r="BR67" s="85"/>
      <c r="BS67" s="85"/>
      <c r="BT67" s="85"/>
      <c r="BU67" s="85"/>
      <c r="BV67" s="16"/>
      <c r="BW67" s="16"/>
      <c r="BX67" s="17"/>
    </row>
    <row r="68" spans="15:76" x14ac:dyDescent="0.35">
      <c r="O68" s="82" t="s">
        <v>16</v>
      </c>
      <c r="P68" s="87" t="s">
        <v>11</v>
      </c>
      <c r="Q68" t="s">
        <v>17</v>
      </c>
      <c r="V68" s="19"/>
      <c r="AG68" s="82" t="s">
        <v>1</v>
      </c>
      <c r="AH68" s="87"/>
      <c r="AI68" s="87"/>
      <c r="AJ68" s="87"/>
      <c r="AK68" s="87"/>
      <c r="AN68" s="19"/>
      <c r="AY68" s="82"/>
      <c r="AZ68" s="87"/>
      <c r="BF68" s="19"/>
      <c r="BQ68" s="82"/>
      <c r="BR68" s="87"/>
      <c r="BS68" s="87"/>
      <c r="BT68" s="87"/>
      <c r="BU68" s="87"/>
      <c r="BX68" s="19"/>
    </row>
    <row r="69" spans="15:76" x14ac:dyDescent="0.35">
      <c r="O69" s="82" t="s">
        <v>21</v>
      </c>
      <c r="P69" s="87" t="s">
        <v>11</v>
      </c>
      <c r="Q69" t="s">
        <v>769</v>
      </c>
      <c r="V69" s="19"/>
      <c r="AG69" s="20"/>
      <c r="AN69" s="19"/>
      <c r="AY69" s="82"/>
      <c r="AZ69" s="87"/>
      <c r="BF69" s="19"/>
      <c r="BQ69" s="20"/>
      <c r="BX69" s="19"/>
    </row>
    <row r="70" spans="15:76" x14ac:dyDescent="0.35">
      <c r="O70" s="82" t="s">
        <v>26</v>
      </c>
      <c r="P70" s="87" t="s">
        <v>11</v>
      </c>
      <c r="Q70" t="s">
        <v>789</v>
      </c>
      <c r="V70" s="19"/>
      <c r="AG70" s="82" t="s">
        <v>10</v>
      </c>
      <c r="AH70" s="87" t="s">
        <v>11</v>
      </c>
      <c r="AI70" t="s">
        <v>790</v>
      </c>
      <c r="AN70" s="19"/>
      <c r="AY70" s="82"/>
      <c r="AZ70" s="87"/>
      <c r="BF70" s="19"/>
      <c r="BQ70" s="82"/>
      <c r="BR70" s="87"/>
      <c r="BX70" s="19"/>
    </row>
    <row r="71" spans="15:76" x14ac:dyDescent="0.35">
      <c r="O71" s="82" t="s">
        <v>31</v>
      </c>
      <c r="P71" s="87" t="s">
        <v>11</v>
      </c>
      <c r="Q71" t="s">
        <v>109</v>
      </c>
      <c r="V71" s="19"/>
      <c r="AG71" s="82" t="s">
        <v>16</v>
      </c>
      <c r="AH71" s="87" t="s">
        <v>11</v>
      </c>
      <c r="AI71" t="s">
        <v>211</v>
      </c>
      <c r="AN71" s="19"/>
      <c r="AY71" s="82"/>
      <c r="AZ71" s="87"/>
      <c r="BF71" s="19"/>
      <c r="BQ71" s="82"/>
      <c r="BR71" s="87"/>
      <c r="BX71" s="19"/>
    </row>
    <row r="72" spans="15:76" x14ac:dyDescent="0.35">
      <c r="O72" s="82" t="s">
        <v>35</v>
      </c>
      <c r="P72" s="87" t="s">
        <v>11</v>
      </c>
      <c r="Q72" t="s">
        <v>791</v>
      </c>
      <c r="V72" s="19"/>
      <c r="AG72" s="82" t="s">
        <v>21</v>
      </c>
      <c r="AH72" s="87" t="s">
        <v>11</v>
      </c>
      <c r="AI72" t="s">
        <v>769</v>
      </c>
      <c r="AN72" s="19"/>
      <c r="AY72" s="20"/>
      <c r="BF72" s="19"/>
      <c r="BQ72" s="82"/>
      <c r="BR72" s="87"/>
      <c r="BX72" s="19"/>
    </row>
    <row r="73" spans="15:76" x14ac:dyDescent="0.35">
      <c r="O73" s="20"/>
      <c r="V73" s="19"/>
      <c r="AG73" s="82" t="s">
        <v>26</v>
      </c>
      <c r="AH73" s="87" t="s">
        <v>11</v>
      </c>
      <c r="AI73" t="s">
        <v>792</v>
      </c>
      <c r="AN73" s="19"/>
      <c r="AY73" s="20"/>
      <c r="BF73" s="19"/>
      <c r="BQ73" s="82"/>
      <c r="BR73" s="87"/>
      <c r="BX73" s="19"/>
    </row>
    <row r="74" spans="15:76" x14ac:dyDescent="0.35">
      <c r="O74" s="20" t="s">
        <v>42</v>
      </c>
      <c r="P74" t="s">
        <v>43</v>
      </c>
      <c r="Q74" t="s">
        <v>44</v>
      </c>
      <c r="R74" t="s">
        <v>45</v>
      </c>
      <c r="S74" t="s">
        <v>46</v>
      </c>
      <c r="T74" t="s">
        <v>47</v>
      </c>
      <c r="U74" t="s">
        <v>48</v>
      </c>
      <c r="V74" s="19" t="s">
        <v>49</v>
      </c>
      <c r="AG74" s="82" t="s">
        <v>31</v>
      </c>
      <c r="AH74" s="87" t="s">
        <v>11</v>
      </c>
      <c r="AI74" t="s">
        <v>32</v>
      </c>
      <c r="AN74" s="19"/>
      <c r="AY74" s="20"/>
      <c r="BC74" s="10"/>
      <c r="BE74" s="10"/>
      <c r="BF74" s="19"/>
      <c r="BQ74" s="82"/>
      <c r="BR74" s="87"/>
      <c r="BX74" s="19"/>
    </row>
    <row r="75" spans="15:76" x14ac:dyDescent="0.35">
      <c r="O75" s="20">
        <v>1</v>
      </c>
      <c r="P75" t="s">
        <v>70</v>
      </c>
      <c r="Q75" t="s">
        <v>71</v>
      </c>
      <c r="R75" t="s">
        <v>67</v>
      </c>
      <c r="S75" s="10">
        <v>1</v>
      </c>
      <c r="T75" t="s">
        <v>5</v>
      </c>
      <c r="U75" s="10">
        <v>9000</v>
      </c>
      <c r="V75" s="19">
        <v>9000</v>
      </c>
      <c r="AG75" s="82" t="s">
        <v>35</v>
      </c>
      <c r="AH75" s="87" t="s">
        <v>11</v>
      </c>
      <c r="AI75" t="s">
        <v>793</v>
      </c>
      <c r="AN75" s="19"/>
      <c r="AY75" s="20"/>
      <c r="BC75" s="10"/>
      <c r="BE75" s="10"/>
      <c r="BF75" s="19"/>
      <c r="BQ75" s="82"/>
      <c r="BR75" s="87"/>
      <c r="BX75" s="19"/>
    </row>
    <row r="76" spans="15:76" x14ac:dyDescent="0.35">
      <c r="O76" s="20">
        <v>2</v>
      </c>
      <c r="P76" t="s">
        <v>388</v>
      </c>
      <c r="Q76" t="s">
        <v>389</v>
      </c>
      <c r="R76" t="s">
        <v>67</v>
      </c>
      <c r="S76" s="10">
        <v>2</v>
      </c>
      <c r="T76" t="s">
        <v>20</v>
      </c>
      <c r="U76" s="10">
        <v>2763.4</v>
      </c>
      <c r="V76" s="19">
        <v>5526.8</v>
      </c>
      <c r="AG76" s="20"/>
      <c r="AN76" s="19"/>
      <c r="AY76" s="20"/>
      <c r="BC76" s="10"/>
      <c r="BE76" s="10"/>
      <c r="BF76" s="19"/>
      <c r="BQ76" s="20"/>
      <c r="BX76" s="19"/>
    </row>
    <row r="77" spans="15:76" x14ac:dyDescent="0.35">
      <c r="O77" s="20">
        <v>3</v>
      </c>
      <c r="P77" t="s">
        <v>72</v>
      </c>
      <c r="Q77" t="s">
        <v>73</v>
      </c>
      <c r="R77" t="s">
        <v>67</v>
      </c>
      <c r="S77" s="10">
        <v>1</v>
      </c>
      <c r="T77" t="s">
        <v>74</v>
      </c>
      <c r="U77" s="10">
        <v>3013.424500000001</v>
      </c>
      <c r="V77" s="19">
        <v>3013.4245000000001</v>
      </c>
      <c r="AG77" s="20" t="s">
        <v>42</v>
      </c>
      <c r="AH77" t="s">
        <v>43</v>
      </c>
      <c r="AI77" t="s">
        <v>44</v>
      </c>
      <c r="AJ77" t="s">
        <v>45</v>
      </c>
      <c r="AK77" t="s">
        <v>46</v>
      </c>
      <c r="AL77" t="s">
        <v>47</v>
      </c>
      <c r="AM77" t="s">
        <v>48</v>
      </c>
      <c r="AN77" s="19" t="s">
        <v>49</v>
      </c>
      <c r="AY77" s="20"/>
      <c r="BC77" s="10"/>
      <c r="BE77" s="10"/>
      <c r="BF77" s="19"/>
      <c r="BQ77" s="20"/>
      <c r="BX77" s="19"/>
    </row>
    <row r="78" spans="15:76" x14ac:dyDescent="0.35">
      <c r="O78" s="20">
        <v>4</v>
      </c>
      <c r="P78" t="s">
        <v>81</v>
      </c>
      <c r="Q78" t="s">
        <v>82</v>
      </c>
      <c r="R78" t="s">
        <v>67</v>
      </c>
      <c r="S78" s="10">
        <v>2</v>
      </c>
      <c r="T78" t="s">
        <v>20</v>
      </c>
      <c r="U78" s="10">
        <v>9580.9778000000006</v>
      </c>
      <c r="V78" s="19">
        <v>19161.955600000001</v>
      </c>
      <c r="AG78" s="20">
        <v>1</v>
      </c>
      <c r="AH78" t="s">
        <v>57</v>
      </c>
      <c r="AI78" t="s">
        <v>58</v>
      </c>
      <c r="AJ78" t="s">
        <v>41</v>
      </c>
      <c r="AK78">
        <v>0.6</v>
      </c>
      <c r="AL78" t="s">
        <v>5</v>
      </c>
      <c r="AM78">
        <v>7699.4135999999999</v>
      </c>
      <c r="AN78" s="19">
        <v>4619.6481599999997</v>
      </c>
      <c r="AY78" s="20"/>
      <c r="BC78" s="10"/>
      <c r="BE78" s="10"/>
      <c r="BF78" s="19"/>
      <c r="BQ78" s="20"/>
      <c r="BX78" s="19"/>
    </row>
    <row r="79" spans="15:76" ht="15" thickBot="1" x14ac:dyDescent="0.4">
      <c r="O79" s="20">
        <v>5</v>
      </c>
      <c r="P79" t="s">
        <v>357</v>
      </c>
      <c r="Q79" t="s">
        <v>358</v>
      </c>
      <c r="R79" t="s">
        <v>67</v>
      </c>
      <c r="S79" s="10">
        <v>0.2</v>
      </c>
      <c r="T79" t="s">
        <v>5</v>
      </c>
      <c r="U79" s="10">
        <v>29000</v>
      </c>
      <c r="V79" s="19">
        <v>5800</v>
      </c>
      <c r="AG79" s="22" t="s">
        <v>223</v>
      </c>
      <c r="AH79" s="23" t="s">
        <v>223</v>
      </c>
      <c r="AI79" s="23" t="s">
        <v>223</v>
      </c>
      <c r="AJ79" s="23" t="s">
        <v>223</v>
      </c>
      <c r="AK79" s="23" t="s">
        <v>223</v>
      </c>
      <c r="AL79" s="23" t="s">
        <v>223</v>
      </c>
      <c r="AM79" s="23" t="s">
        <v>224</v>
      </c>
      <c r="AN79" s="24">
        <v>4619.6481599999997</v>
      </c>
      <c r="AY79" s="20"/>
      <c r="BC79" s="10"/>
      <c r="BE79" s="10"/>
      <c r="BF79" s="19"/>
      <c r="BQ79" s="22"/>
      <c r="BR79" s="23"/>
      <c r="BS79" s="23"/>
      <c r="BT79" s="23"/>
      <c r="BU79" s="23"/>
      <c r="BV79" s="23"/>
      <c r="BW79" s="23"/>
      <c r="BX79" s="24"/>
    </row>
    <row r="80" spans="15:76" x14ac:dyDescent="0.35">
      <c r="O80" s="20">
        <v>6</v>
      </c>
      <c r="P80" t="s">
        <v>359</v>
      </c>
      <c r="Q80" t="s">
        <v>360</v>
      </c>
      <c r="R80" t="s">
        <v>67</v>
      </c>
      <c r="S80" s="10">
        <v>0.2</v>
      </c>
      <c r="T80" t="s">
        <v>216</v>
      </c>
      <c r="U80" s="10">
        <v>7000</v>
      </c>
      <c r="V80" s="19">
        <v>1400</v>
      </c>
      <c r="AY80" s="20"/>
      <c r="BC80" s="10"/>
      <c r="BE80" s="10"/>
      <c r="BF80" s="19"/>
    </row>
    <row r="81" spans="15:76" ht="15" thickBot="1" x14ac:dyDescent="0.4">
      <c r="O81" s="20">
        <v>7</v>
      </c>
      <c r="P81" t="s">
        <v>238</v>
      </c>
      <c r="Q81" t="s">
        <v>239</v>
      </c>
      <c r="R81" t="s">
        <v>67</v>
      </c>
      <c r="S81" s="10">
        <v>0.3</v>
      </c>
      <c r="T81" t="s">
        <v>74</v>
      </c>
      <c r="U81" s="10">
        <v>7330.6451666599996</v>
      </c>
      <c r="V81" s="19">
        <v>2199.19355</v>
      </c>
      <c r="AY81" s="20"/>
      <c r="BC81" s="10"/>
      <c r="BE81" s="10"/>
      <c r="BF81" s="19"/>
    </row>
    <row r="82" spans="15:76" x14ac:dyDescent="0.35">
      <c r="O82" s="20">
        <v>8</v>
      </c>
      <c r="P82" t="s">
        <v>85</v>
      </c>
      <c r="Q82" t="s">
        <v>86</v>
      </c>
      <c r="R82" t="s">
        <v>67</v>
      </c>
      <c r="S82" s="10">
        <v>1</v>
      </c>
      <c r="T82" t="s">
        <v>87</v>
      </c>
      <c r="U82" s="10">
        <v>18500</v>
      </c>
      <c r="V82" s="19">
        <v>18500</v>
      </c>
      <c r="AG82" s="84" t="s">
        <v>0</v>
      </c>
      <c r="AH82" s="85"/>
      <c r="AI82" s="85"/>
      <c r="AJ82" s="85"/>
      <c r="AK82" s="85"/>
      <c r="AL82" s="16"/>
      <c r="AM82" s="16"/>
      <c r="AN82" s="17"/>
      <c r="AY82" s="20"/>
      <c r="BC82" s="10"/>
      <c r="BE82" s="10"/>
      <c r="BF82" s="19"/>
      <c r="BQ82" s="84"/>
      <c r="BR82" s="85"/>
      <c r="BS82" s="85"/>
      <c r="BT82" s="85"/>
      <c r="BU82" s="85"/>
      <c r="BV82" s="16"/>
      <c r="BW82" s="16"/>
      <c r="BX82" s="17"/>
    </row>
    <row r="83" spans="15:76" x14ac:dyDescent="0.35">
      <c r="O83" s="20">
        <v>9</v>
      </c>
      <c r="P83" t="s">
        <v>242</v>
      </c>
      <c r="Q83" t="s">
        <v>243</v>
      </c>
      <c r="R83" t="s">
        <v>67</v>
      </c>
      <c r="S83" s="10">
        <v>2</v>
      </c>
      <c r="T83" t="s">
        <v>87</v>
      </c>
      <c r="U83" s="10">
        <v>14500</v>
      </c>
      <c r="V83" s="19">
        <v>29000</v>
      </c>
      <c r="AG83" s="82" t="s">
        <v>1</v>
      </c>
      <c r="AH83" s="87"/>
      <c r="AI83" s="87"/>
      <c r="AJ83" s="87"/>
      <c r="AK83" s="87"/>
      <c r="AN83" s="19"/>
      <c r="AY83" s="20"/>
      <c r="BC83" s="10"/>
      <c r="BE83" s="10"/>
      <c r="BF83" s="19"/>
      <c r="BQ83" s="82"/>
      <c r="BR83" s="87"/>
      <c r="BS83" s="87"/>
      <c r="BT83" s="87"/>
      <c r="BU83" s="87"/>
      <c r="BX83" s="19"/>
    </row>
    <row r="84" spans="15:76" x14ac:dyDescent="0.35">
      <c r="O84" s="20">
        <v>10</v>
      </c>
      <c r="P84" t="s">
        <v>246</v>
      </c>
      <c r="Q84" t="s">
        <v>247</v>
      </c>
      <c r="R84" t="s">
        <v>67</v>
      </c>
      <c r="S84" s="10">
        <v>2</v>
      </c>
      <c r="T84" t="s">
        <v>5</v>
      </c>
      <c r="U84" s="10">
        <v>1414.9346</v>
      </c>
      <c r="V84" s="19">
        <v>2829.8692000000001</v>
      </c>
      <c r="AG84" s="20"/>
      <c r="AN84" s="19"/>
      <c r="AY84" s="20"/>
      <c r="BC84" s="10"/>
      <c r="BE84" s="10"/>
      <c r="BF84" s="19"/>
      <c r="BQ84" s="20"/>
      <c r="BX84" s="19"/>
    </row>
    <row r="85" spans="15:76" x14ac:dyDescent="0.35">
      <c r="O85" s="20">
        <v>11</v>
      </c>
      <c r="P85" t="s">
        <v>92</v>
      </c>
      <c r="Q85" t="s">
        <v>93</v>
      </c>
      <c r="R85" t="s">
        <v>67</v>
      </c>
      <c r="S85" s="10">
        <v>18</v>
      </c>
      <c r="T85" t="s">
        <v>94</v>
      </c>
      <c r="U85" s="10">
        <v>11850.833099999998</v>
      </c>
      <c r="V85" s="19">
        <v>213314.9958</v>
      </c>
      <c r="AG85" s="82" t="s">
        <v>10</v>
      </c>
      <c r="AH85" s="87" t="s">
        <v>11</v>
      </c>
      <c r="AI85" t="s">
        <v>794</v>
      </c>
      <c r="AN85" s="19"/>
      <c r="AY85" s="20"/>
      <c r="BF85" s="19"/>
      <c r="BQ85" s="82"/>
      <c r="BR85" s="87"/>
      <c r="BX85" s="19"/>
    </row>
    <row r="86" spans="15:76" ht="15" thickBot="1" x14ac:dyDescent="0.4">
      <c r="O86" s="20">
        <v>12</v>
      </c>
      <c r="P86" t="s">
        <v>366</v>
      </c>
      <c r="Q86" t="s">
        <v>367</v>
      </c>
      <c r="R86" t="s">
        <v>67</v>
      </c>
      <c r="S86">
        <v>1</v>
      </c>
      <c r="T86" t="s">
        <v>94</v>
      </c>
      <c r="U86">
        <v>2283.1999999999998</v>
      </c>
      <c r="V86" s="19">
        <v>2283.1999999999998</v>
      </c>
      <c r="AG86" s="82" t="s">
        <v>16</v>
      </c>
      <c r="AH86" s="87" t="s">
        <v>11</v>
      </c>
      <c r="AI86" t="s">
        <v>211</v>
      </c>
      <c r="AN86" s="19"/>
      <c r="AY86" s="22"/>
      <c r="AZ86" s="23"/>
      <c r="BA86" s="23"/>
      <c r="BB86" s="23"/>
      <c r="BC86" s="23"/>
      <c r="BD86" s="23"/>
      <c r="BE86" s="23"/>
      <c r="BF86" s="24"/>
      <c r="BQ86" s="82"/>
      <c r="BR86" s="87"/>
      <c r="BX86" s="19"/>
    </row>
    <row r="87" spans="15:76" ht="15" thickBot="1" x14ac:dyDescent="0.4">
      <c r="O87" s="22" t="s">
        <v>223</v>
      </c>
      <c r="P87" s="23" t="s">
        <v>223</v>
      </c>
      <c r="Q87" s="23" t="s">
        <v>223</v>
      </c>
      <c r="R87" s="23" t="s">
        <v>223</v>
      </c>
      <c r="S87" s="23" t="s">
        <v>223</v>
      </c>
      <c r="T87" s="23" t="s">
        <v>223</v>
      </c>
      <c r="U87" s="23" t="s">
        <v>224</v>
      </c>
      <c r="V87" s="24">
        <v>312029.43865000003</v>
      </c>
      <c r="AG87" s="82" t="s">
        <v>21</v>
      </c>
      <c r="AH87" s="87" t="s">
        <v>11</v>
      </c>
      <c r="AI87" t="s">
        <v>769</v>
      </c>
      <c r="AN87" s="19"/>
      <c r="BQ87" s="82"/>
      <c r="BR87" s="87"/>
      <c r="BX87" s="19"/>
    </row>
    <row r="88" spans="15:76" x14ac:dyDescent="0.35">
      <c r="AG88" s="82" t="s">
        <v>26</v>
      </c>
      <c r="AH88" s="87" t="s">
        <v>11</v>
      </c>
      <c r="AI88" t="s">
        <v>795</v>
      </c>
      <c r="AN88" s="19"/>
      <c r="BQ88" s="82"/>
      <c r="BR88" s="87"/>
      <c r="BX88" s="19"/>
    </row>
    <row r="89" spans="15:76" x14ac:dyDescent="0.35">
      <c r="AG89" s="82" t="s">
        <v>31</v>
      </c>
      <c r="AH89" s="87" t="s">
        <v>11</v>
      </c>
      <c r="AI89" t="s">
        <v>109</v>
      </c>
      <c r="AN89" s="19"/>
      <c r="BQ89" s="82"/>
      <c r="BR89" s="87"/>
      <c r="BX89" s="19"/>
    </row>
    <row r="90" spans="15:76" x14ac:dyDescent="0.35">
      <c r="AG90" s="82" t="s">
        <v>35</v>
      </c>
      <c r="AH90" s="87" t="s">
        <v>11</v>
      </c>
      <c r="AI90" t="s">
        <v>796</v>
      </c>
      <c r="AN90" s="19"/>
      <c r="BQ90" s="82"/>
      <c r="BR90" s="87"/>
      <c r="BX90" s="19"/>
    </row>
    <row r="91" spans="15:76" x14ac:dyDescent="0.35">
      <c r="AG91" s="20"/>
      <c r="AN91" s="19"/>
      <c r="BQ91" s="20"/>
      <c r="BX91" s="19"/>
    </row>
    <row r="92" spans="15:76" x14ac:dyDescent="0.35">
      <c r="AG92" s="20" t="s">
        <v>42</v>
      </c>
      <c r="AH92" t="s">
        <v>43</v>
      </c>
      <c r="AI92" t="s">
        <v>44</v>
      </c>
      <c r="AJ92" t="s">
        <v>45</v>
      </c>
      <c r="AK92" t="s">
        <v>46</v>
      </c>
      <c r="AL92" t="s">
        <v>47</v>
      </c>
      <c r="AM92" t="s">
        <v>48</v>
      </c>
      <c r="AN92" s="19" t="s">
        <v>49</v>
      </c>
      <c r="BQ92" s="20"/>
      <c r="BX92" s="19"/>
    </row>
    <row r="93" spans="15:76" x14ac:dyDescent="0.35">
      <c r="AG93" s="20">
        <v>1</v>
      </c>
      <c r="AH93" t="s">
        <v>72</v>
      </c>
      <c r="AI93" t="s">
        <v>73</v>
      </c>
      <c r="AJ93" t="s">
        <v>67</v>
      </c>
      <c r="AK93" s="10">
        <v>1</v>
      </c>
      <c r="AL93" t="s">
        <v>74</v>
      </c>
      <c r="AM93" s="10">
        <v>3013.424500000001</v>
      </c>
      <c r="AN93" s="19">
        <v>3013.4245000000001</v>
      </c>
      <c r="BQ93" s="20"/>
      <c r="BU93" s="10"/>
      <c r="BW93" s="10"/>
      <c r="BX93" s="19"/>
    </row>
    <row r="94" spans="15:76" x14ac:dyDescent="0.35">
      <c r="AG94" s="20">
        <v>2</v>
      </c>
      <c r="AH94" t="s">
        <v>325</v>
      </c>
      <c r="AI94" t="s">
        <v>326</v>
      </c>
      <c r="AJ94" t="s">
        <v>67</v>
      </c>
      <c r="AK94" s="10">
        <v>0.2</v>
      </c>
      <c r="AL94" t="s">
        <v>5</v>
      </c>
      <c r="AM94" s="10">
        <v>72948.051948049993</v>
      </c>
      <c r="AN94" s="19">
        <v>14589.61039</v>
      </c>
      <c r="BQ94" s="20"/>
      <c r="BU94" s="10"/>
      <c r="BW94" s="10"/>
      <c r="BX94" s="19"/>
    </row>
    <row r="95" spans="15:76" x14ac:dyDescent="0.35">
      <c r="AG95" s="20">
        <v>3</v>
      </c>
      <c r="AH95" t="s">
        <v>100</v>
      </c>
      <c r="AI95" t="s">
        <v>101</v>
      </c>
      <c r="AJ95" t="s">
        <v>67</v>
      </c>
      <c r="AK95" s="10">
        <v>0.2</v>
      </c>
      <c r="AL95" t="s">
        <v>87</v>
      </c>
      <c r="AM95" s="10">
        <v>7750.0000000000009</v>
      </c>
      <c r="AN95" s="19">
        <v>1550</v>
      </c>
      <c r="BQ95" s="20"/>
      <c r="BU95" s="10"/>
      <c r="BW95" s="10"/>
      <c r="BX95" s="19"/>
    </row>
    <row r="96" spans="15:76" x14ac:dyDescent="0.35">
      <c r="AG96" s="20">
        <v>4</v>
      </c>
      <c r="AH96" t="s">
        <v>102</v>
      </c>
      <c r="AI96" t="s">
        <v>103</v>
      </c>
      <c r="AJ96" t="s">
        <v>67</v>
      </c>
      <c r="AK96" s="10">
        <v>0.2</v>
      </c>
      <c r="AL96" t="s">
        <v>87</v>
      </c>
      <c r="AM96" s="10">
        <v>8000</v>
      </c>
      <c r="AN96" s="19">
        <v>1600</v>
      </c>
      <c r="BQ96" s="20"/>
      <c r="BU96" s="10"/>
      <c r="BW96" s="10"/>
      <c r="BX96" s="19"/>
    </row>
    <row r="97" spans="33:76" x14ac:dyDescent="0.35">
      <c r="AG97" s="20">
        <v>5</v>
      </c>
      <c r="AH97" t="s">
        <v>361</v>
      </c>
      <c r="AI97" t="s">
        <v>362</v>
      </c>
      <c r="AJ97" t="s">
        <v>67</v>
      </c>
      <c r="AK97" s="10">
        <v>10</v>
      </c>
      <c r="AL97" t="s">
        <v>363</v>
      </c>
      <c r="AM97" s="10">
        <v>60</v>
      </c>
      <c r="AN97" s="19">
        <v>600</v>
      </c>
      <c r="BQ97" s="20"/>
      <c r="BU97" s="10"/>
      <c r="BW97" s="10"/>
      <c r="BX97" s="19"/>
    </row>
    <row r="98" spans="33:76" x14ac:dyDescent="0.35">
      <c r="AG98" s="20">
        <v>6</v>
      </c>
      <c r="AH98" t="s">
        <v>744</v>
      </c>
      <c r="AI98" t="s">
        <v>745</v>
      </c>
      <c r="AJ98" t="s">
        <v>67</v>
      </c>
      <c r="AK98">
        <v>2</v>
      </c>
      <c r="AL98" t="s">
        <v>52</v>
      </c>
      <c r="AM98">
        <v>10730.499</v>
      </c>
      <c r="AN98" s="19">
        <v>21460.998</v>
      </c>
      <c r="BQ98" s="20"/>
      <c r="BX98" s="19"/>
    </row>
    <row r="99" spans="33:76" ht="15" thickBot="1" x14ac:dyDescent="0.4">
      <c r="AG99" s="22" t="s">
        <v>223</v>
      </c>
      <c r="AH99" s="23" t="s">
        <v>223</v>
      </c>
      <c r="AI99" s="23" t="s">
        <v>223</v>
      </c>
      <c r="AJ99" s="23" t="s">
        <v>223</v>
      </c>
      <c r="AK99" s="23" t="s">
        <v>223</v>
      </c>
      <c r="AL99" s="23" t="s">
        <v>223</v>
      </c>
      <c r="AM99" s="23" t="s">
        <v>224</v>
      </c>
      <c r="AN99" s="24">
        <v>42814.032890000002</v>
      </c>
      <c r="BQ99" s="22"/>
      <c r="BR99" s="23"/>
      <c r="BS99" s="23"/>
      <c r="BT99" s="23"/>
      <c r="BU99" s="23"/>
      <c r="BV99" s="23"/>
      <c r="BW99" s="23"/>
      <c r="BX99" s="24"/>
    </row>
  </sheetData>
  <mergeCells count="95">
    <mergeCell ref="O2:S2"/>
    <mergeCell ref="AG2:AK2"/>
    <mergeCell ref="O3:S3"/>
    <mergeCell ref="AG3:AK3"/>
    <mergeCell ref="O7:P7"/>
    <mergeCell ref="AG7:AH7"/>
    <mergeCell ref="O8:P8"/>
    <mergeCell ref="AG8:AH8"/>
    <mergeCell ref="O5:P5"/>
    <mergeCell ref="AG5:AH5"/>
    <mergeCell ref="O6:P6"/>
    <mergeCell ref="AG6:AH6"/>
    <mergeCell ref="O22:S22"/>
    <mergeCell ref="O23:S23"/>
    <mergeCell ref="AG23:AK23"/>
    <mergeCell ref="O9:P9"/>
    <mergeCell ref="AG9:AH9"/>
    <mergeCell ref="O10:P10"/>
    <mergeCell ref="AG10:AH10"/>
    <mergeCell ref="O27:P27"/>
    <mergeCell ref="AG27:AH27"/>
    <mergeCell ref="O28:P28"/>
    <mergeCell ref="AG28:AH28"/>
    <mergeCell ref="AG24:AK24"/>
    <mergeCell ref="O25:P25"/>
    <mergeCell ref="O26:P26"/>
    <mergeCell ref="AG26:AH26"/>
    <mergeCell ref="AG31:AH31"/>
    <mergeCell ref="AG47:AK47"/>
    <mergeCell ref="O48:S48"/>
    <mergeCell ref="AG48:AK48"/>
    <mergeCell ref="O29:P29"/>
    <mergeCell ref="AG29:AH29"/>
    <mergeCell ref="O30:P30"/>
    <mergeCell ref="AG30:AH30"/>
    <mergeCell ref="O52:P52"/>
    <mergeCell ref="AG52:AH52"/>
    <mergeCell ref="O53:P53"/>
    <mergeCell ref="AG53:AH53"/>
    <mergeCell ref="O49:S49"/>
    <mergeCell ref="AG50:AH50"/>
    <mergeCell ref="O51:P51"/>
    <mergeCell ref="AG51:AH51"/>
    <mergeCell ref="O56:P56"/>
    <mergeCell ref="O64:S64"/>
    <mergeCell ref="AY64:BC64"/>
    <mergeCell ref="O65:S65"/>
    <mergeCell ref="O54:P54"/>
    <mergeCell ref="AG54:AH54"/>
    <mergeCell ref="O55:P55"/>
    <mergeCell ref="AG55:AH55"/>
    <mergeCell ref="BQ70:BR70"/>
    <mergeCell ref="AY66:AZ66"/>
    <mergeCell ref="O67:P67"/>
    <mergeCell ref="AG67:AK67"/>
    <mergeCell ref="AY67:AZ67"/>
    <mergeCell ref="BQ67:BU67"/>
    <mergeCell ref="O68:P68"/>
    <mergeCell ref="AG68:AK68"/>
    <mergeCell ref="AY68:AZ68"/>
    <mergeCell ref="BQ68:BU68"/>
    <mergeCell ref="O69:P69"/>
    <mergeCell ref="AY69:AZ69"/>
    <mergeCell ref="O70:P70"/>
    <mergeCell ref="AG70:AH70"/>
    <mergeCell ref="AY70:AZ70"/>
    <mergeCell ref="O71:P71"/>
    <mergeCell ref="AG71:AH71"/>
    <mergeCell ref="AY71:AZ71"/>
    <mergeCell ref="BQ71:BR71"/>
    <mergeCell ref="O72:P72"/>
    <mergeCell ref="AG72:AH72"/>
    <mergeCell ref="BQ72:BR72"/>
    <mergeCell ref="AG73:AH73"/>
    <mergeCell ref="BQ73:BR73"/>
    <mergeCell ref="AG74:AH74"/>
    <mergeCell ref="BQ74:BR74"/>
    <mergeCell ref="AG75:AH75"/>
    <mergeCell ref="BQ75:BR75"/>
    <mergeCell ref="AG82:AK82"/>
    <mergeCell ref="BQ82:BU82"/>
    <mergeCell ref="AG83:AK83"/>
    <mergeCell ref="BQ83:BU83"/>
    <mergeCell ref="AG85:AH85"/>
    <mergeCell ref="BQ85:BR85"/>
    <mergeCell ref="AG89:AH89"/>
    <mergeCell ref="BQ89:BR89"/>
    <mergeCell ref="AG90:AH90"/>
    <mergeCell ref="BQ90:BR90"/>
    <mergeCell ref="AG86:AH86"/>
    <mergeCell ref="BQ86:BR86"/>
    <mergeCell ref="AG87:AH87"/>
    <mergeCell ref="BQ87:BR87"/>
    <mergeCell ref="AG88:AH88"/>
    <mergeCell ref="BQ88:BR88"/>
  </mergeCells>
  <conditionalFormatting sqref="J6:J43">
    <cfRule type="containsText" dxfId="11" priority="5" operator="containsText" text="tidak ada perubahan">
      <formula>NOT(ISERROR(SEARCH("tidak ada perubahan",J6)))</formula>
    </cfRule>
    <cfRule type="containsText" dxfId="10" priority="6" operator="containsText" text="penurunan iu">
      <formula>NOT(ISERROR(SEARCH("penurunan iu",J6)))</formula>
    </cfRule>
    <cfRule type="containsText" dxfId="9" priority="7" operator="containsText" text="kenaikan iu">
      <formula>NOT(ISERROR(SEARCH("kenaikan iu",J6)))</formula>
    </cfRule>
  </conditionalFormatting>
  <conditionalFormatting sqref="H6:H43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6:I43">
    <cfRule type="expression" dxfId="8" priority="3">
      <formula>CELL("row")=ROW()</formula>
    </cfRule>
  </conditionalFormatting>
  <conditionalFormatting sqref="K6:K43">
    <cfRule type="expression" dxfId="7" priority="1">
      <formula>CELL("row")=ROW()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0FC69-BB06-4C50-9F02-2DD75EC7F492}">
  <sheetPr codeName="Sheet12"/>
  <dimension ref="A1:BC162"/>
  <sheetViews>
    <sheetView showGridLines="0" topLeftCell="A2" zoomScale="60" zoomScaleNormal="60" workbookViewId="0">
      <selection activeCell="K6" sqref="K6:K89"/>
    </sheetView>
  </sheetViews>
  <sheetFormatPr defaultRowHeight="14.5" x14ac:dyDescent="0.35"/>
  <cols>
    <col min="1" max="1" width="15.7265625" bestFit="1" customWidth="1"/>
    <col min="2" max="2" width="49.90625" bestFit="1" customWidth="1"/>
    <col min="3" max="3" width="30.1796875" bestFit="1" customWidth="1"/>
    <col min="5" max="5" width="12.54296875" bestFit="1" customWidth="1"/>
    <col min="7" max="7" width="12.453125" bestFit="1" customWidth="1"/>
    <col min="9" max="9" width="14.1796875" customWidth="1"/>
    <col min="10" max="10" width="18.90625" bestFit="1" customWidth="1"/>
    <col min="11" max="11" width="60" bestFit="1" customWidth="1"/>
  </cols>
  <sheetData>
    <row r="1" spans="1:55" ht="15" thickBot="1" x14ac:dyDescent="0.4"/>
    <row r="2" spans="1:55" x14ac:dyDescent="0.35">
      <c r="O2" s="84" t="s">
        <v>0</v>
      </c>
      <c r="P2" s="85"/>
      <c r="Q2" s="85"/>
      <c r="R2" s="85"/>
      <c r="S2" s="85"/>
      <c r="T2" s="16"/>
      <c r="U2" s="16"/>
      <c r="V2" s="17"/>
      <c r="X2" s="25" t="s">
        <v>65</v>
      </c>
      <c r="Y2" s="16" t="s">
        <v>66</v>
      </c>
      <c r="Z2" s="16" t="s">
        <v>67</v>
      </c>
      <c r="AA2" s="26">
        <v>26</v>
      </c>
      <c r="AB2" s="16" t="s">
        <v>20</v>
      </c>
      <c r="AC2" s="26">
        <v>320</v>
      </c>
      <c r="AD2" s="17">
        <v>8320</v>
      </c>
      <c r="AF2" s="84" t="s">
        <v>0</v>
      </c>
      <c r="AG2" s="85"/>
      <c r="AH2" s="85"/>
      <c r="AI2" s="85"/>
      <c r="AJ2" s="85"/>
      <c r="AK2" s="16"/>
      <c r="AL2" s="16"/>
      <c r="AM2" s="17"/>
      <c r="AO2" s="25" t="s">
        <v>65</v>
      </c>
      <c r="AP2" s="16" t="s">
        <v>66</v>
      </c>
      <c r="AQ2" s="16" t="s">
        <v>67</v>
      </c>
      <c r="AR2" s="26">
        <v>20</v>
      </c>
      <c r="AS2" s="16" t="s">
        <v>20</v>
      </c>
      <c r="AT2" s="26">
        <v>320</v>
      </c>
      <c r="AU2" s="17">
        <v>6400</v>
      </c>
      <c r="AW2" s="25" t="s">
        <v>65</v>
      </c>
      <c r="AX2" s="16" t="s">
        <v>66</v>
      </c>
      <c r="AY2" s="16" t="s">
        <v>67</v>
      </c>
      <c r="AZ2" s="26">
        <v>20</v>
      </c>
      <c r="BA2" s="16" t="s">
        <v>20</v>
      </c>
      <c r="BB2" s="26">
        <v>320</v>
      </c>
      <c r="BC2" s="17">
        <v>6400</v>
      </c>
    </row>
    <row r="3" spans="1:55" ht="21" x14ac:dyDescent="0.5">
      <c r="B3" s="14" t="s">
        <v>931</v>
      </c>
      <c r="O3" s="82" t="s">
        <v>1</v>
      </c>
      <c r="P3" s="87"/>
      <c r="Q3" s="87"/>
      <c r="R3" s="87"/>
      <c r="S3" s="87"/>
      <c r="V3" s="19"/>
      <c r="X3" s="20" t="s">
        <v>68</v>
      </c>
      <c r="Y3" t="s">
        <v>69</v>
      </c>
      <c r="Z3" t="s">
        <v>67</v>
      </c>
      <c r="AA3" s="10">
        <v>0.1</v>
      </c>
      <c r="AB3" t="s">
        <v>5</v>
      </c>
      <c r="AC3" s="10">
        <v>18750</v>
      </c>
      <c r="AD3" s="19">
        <v>1875</v>
      </c>
      <c r="AF3" s="82" t="s">
        <v>1</v>
      </c>
      <c r="AG3" s="83"/>
      <c r="AH3" s="83"/>
      <c r="AI3" s="83"/>
      <c r="AJ3" s="83"/>
      <c r="AK3" s="18"/>
      <c r="AL3" s="18"/>
      <c r="AM3" s="19"/>
      <c r="AO3" s="20" t="s">
        <v>68</v>
      </c>
      <c r="AP3" s="18" t="s">
        <v>69</v>
      </c>
      <c r="AQ3" s="18" t="s">
        <v>67</v>
      </c>
      <c r="AR3" s="21">
        <v>0.05</v>
      </c>
      <c r="AS3" s="18" t="s">
        <v>5</v>
      </c>
      <c r="AT3" s="21">
        <v>18750</v>
      </c>
      <c r="AU3" s="19">
        <v>937.5</v>
      </c>
      <c r="AW3" s="20" t="s">
        <v>68</v>
      </c>
      <c r="AX3" s="18" t="s">
        <v>69</v>
      </c>
      <c r="AY3" s="18" t="s">
        <v>67</v>
      </c>
      <c r="AZ3" s="21">
        <v>0.05</v>
      </c>
      <c r="BA3" s="18" t="s">
        <v>5</v>
      </c>
      <c r="BB3" s="21">
        <v>18750</v>
      </c>
      <c r="BC3" s="19">
        <v>937.5</v>
      </c>
    </row>
    <row r="4" spans="1:55" ht="15" thickBot="1" x14ac:dyDescent="0.4">
      <c r="O4" s="20"/>
      <c r="V4" s="19"/>
      <c r="X4" s="20" t="s">
        <v>355</v>
      </c>
      <c r="Y4" t="s">
        <v>356</v>
      </c>
      <c r="Z4" t="s">
        <v>67</v>
      </c>
      <c r="AA4" s="10">
        <v>0.5</v>
      </c>
      <c r="AB4" t="s">
        <v>160</v>
      </c>
      <c r="AC4" s="10">
        <v>4428.5713999999998</v>
      </c>
      <c r="AD4" s="19">
        <v>2214.2856999999999</v>
      </c>
      <c r="AF4" s="20"/>
      <c r="AG4" s="18"/>
      <c r="AH4" s="18"/>
      <c r="AI4" s="18"/>
      <c r="AJ4" s="18"/>
      <c r="AK4" s="18"/>
      <c r="AL4" s="18"/>
      <c r="AM4" s="19"/>
      <c r="AO4" s="20" t="s">
        <v>70</v>
      </c>
      <c r="AP4" s="18" t="s">
        <v>71</v>
      </c>
      <c r="AQ4" s="18" t="s">
        <v>67</v>
      </c>
      <c r="AR4" s="21">
        <v>1</v>
      </c>
      <c r="AS4" s="18" t="s">
        <v>5</v>
      </c>
      <c r="AT4" s="21">
        <v>8935.6887999999999</v>
      </c>
      <c r="AU4" s="19">
        <v>8935.6887999999999</v>
      </c>
      <c r="AW4" s="20" t="s">
        <v>70</v>
      </c>
      <c r="AX4" s="18" t="s">
        <v>71</v>
      </c>
      <c r="AY4" s="18" t="s">
        <v>67</v>
      </c>
      <c r="AZ4" s="21">
        <v>1</v>
      </c>
      <c r="BA4" s="18" t="s">
        <v>5</v>
      </c>
      <c r="BB4" s="21">
        <v>8935.6887999999999</v>
      </c>
      <c r="BC4" s="19">
        <v>8935.6887999999999</v>
      </c>
    </row>
    <row r="5" spans="1:55" ht="15" thickTop="1" x14ac:dyDescent="0.35">
      <c r="A5" s="74" t="s">
        <v>200</v>
      </c>
      <c r="B5" s="75" t="s">
        <v>201</v>
      </c>
      <c r="C5" s="75" t="s">
        <v>202</v>
      </c>
      <c r="D5" s="75" t="s">
        <v>203</v>
      </c>
      <c r="E5" s="75" t="s">
        <v>204</v>
      </c>
      <c r="F5" s="73" t="s">
        <v>206</v>
      </c>
      <c r="G5" s="73" t="s">
        <v>470</v>
      </c>
      <c r="H5" s="73" t="s">
        <v>207</v>
      </c>
      <c r="I5" s="75" t="s">
        <v>208</v>
      </c>
      <c r="J5" s="75" t="s">
        <v>209</v>
      </c>
      <c r="K5" s="76" t="s">
        <v>862</v>
      </c>
      <c r="O5" s="82" t="s">
        <v>10</v>
      </c>
      <c r="P5" s="87" t="s">
        <v>11</v>
      </c>
      <c r="Q5" t="s">
        <v>797</v>
      </c>
      <c r="V5" s="19"/>
      <c r="X5" s="20" t="s">
        <v>230</v>
      </c>
      <c r="Y5" t="s">
        <v>231</v>
      </c>
      <c r="Z5" t="s">
        <v>67</v>
      </c>
      <c r="AA5" s="10">
        <v>3</v>
      </c>
      <c r="AB5" t="s">
        <v>5</v>
      </c>
      <c r="AC5" s="10">
        <v>9333.3333000000002</v>
      </c>
      <c r="AD5" s="19">
        <v>27999.999899999999</v>
      </c>
      <c r="AF5" s="82" t="s">
        <v>10</v>
      </c>
      <c r="AG5" s="83" t="s">
        <v>11</v>
      </c>
      <c r="AH5" s="18" t="s">
        <v>899</v>
      </c>
      <c r="AI5" s="18"/>
      <c r="AJ5" s="18"/>
      <c r="AK5" s="18"/>
      <c r="AL5" s="18"/>
      <c r="AM5" s="19"/>
      <c r="AO5" s="20" t="s">
        <v>230</v>
      </c>
      <c r="AP5" s="18" t="s">
        <v>231</v>
      </c>
      <c r="AQ5" s="18" t="s">
        <v>67</v>
      </c>
      <c r="AR5" s="21">
        <v>1</v>
      </c>
      <c r="AS5" s="18" t="s">
        <v>5</v>
      </c>
      <c r="AT5" s="21">
        <v>9333.3333000000002</v>
      </c>
      <c r="AU5" s="19">
        <v>9333.3333000000002</v>
      </c>
      <c r="AW5" s="20" t="s">
        <v>230</v>
      </c>
      <c r="AX5" s="18" t="s">
        <v>231</v>
      </c>
      <c r="AY5" s="18" t="s">
        <v>67</v>
      </c>
      <c r="AZ5" s="21">
        <v>1</v>
      </c>
      <c r="BA5" s="18" t="s">
        <v>5</v>
      </c>
      <c r="BB5" s="21">
        <v>9333.3333000000002</v>
      </c>
      <c r="BC5" s="19">
        <v>9333.3333000000002</v>
      </c>
    </row>
    <row r="6" spans="1:55" x14ac:dyDescent="0.35">
      <c r="A6" s="38" t="str" cm="1">
        <f t="array" ref="A6:A109">_xlfn.UNIQUE(_xlfn._xlws.FILTER(AW2:AW300, AW2:AW300 &lt;&gt; ""))</f>
        <v>STA00003</v>
      </c>
      <c r="B6" s="31" t="str">
        <f>_xlfn.XLOOKUP(A6, AW$2:AW$300, AX$2:AX$300, "", 0)</f>
        <v>AMPLOP COKLAT</v>
      </c>
      <c r="C6" s="31" t="str">
        <f>_xlfn.XLOOKUP(A6, AW$2:AW$300, AY$2:AY$300, "", 0)</f>
        <v>STATIONARY AND OFFICE SUPPLIES</v>
      </c>
      <c r="D6" s="39" t="str">
        <f>_xlfn.XLOOKUP(A6, AW$2:AW$300, BA$2:BA$300, "", 0)</f>
        <v>pcs</v>
      </c>
      <c r="E6" s="47">
        <f>_xlfn.XLOOKUP(A6, AW$2:AW$300, BB$2:BB$300, "", 0)</f>
        <v>320</v>
      </c>
      <c r="F6" s="48">
        <f>_xlfn.XLOOKUP(A6, X$2:X$300, AA$2:AA$300, "0", 0)</f>
        <v>26</v>
      </c>
      <c r="G6" s="48">
        <f>_xlfn.XLOOKUP(A6, AO$2:AO$300, AR$2:AR$300, "0", 0)</f>
        <v>20</v>
      </c>
      <c r="H6" s="48">
        <f>G6-F6</f>
        <v>-6</v>
      </c>
      <c r="I6" s="40">
        <f>H6*E6</f>
        <v>-1920</v>
      </c>
      <c r="J6" s="39" t="str">
        <f>CHOOSE(SIGN(G6 - F6) + 2, "Penurunan IU", "Tidak Ada Perubahan", "Kenaikan IU")</f>
        <v>Penurunan IU</v>
      </c>
      <c r="K6" s="71" t="s">
        <v>1030</v>
      </c>
      <c r="O6" s="82" t="s">
        <v>16</v>
      </c>
      <c r="P6" s="87" t="s">
        <v>11</v>
      </c>
      <c r="Q6" t="s">
        <v>17</v>
      </c>
      <c r="V6" s="19"/>
      <c r="X6" s="20" t="s">
        <v>388</v>
      </c>
      <c r="Y6" t="s">
        <v>389</v>
      </c>
      <c r="Z6" t="s">
        <v>67</v>
      </c>
      <c r="AA6" s="10">
        <v>3</v>
      </c>
      <c r="AB6" t="s">
        <v>20</v>
      </c>
      <c r="AC6" s="10">
        <v>2639</v>
      </c>
      <c r="AD6" s="19">
        <v>7917</v>
      </c>
      <c r="AF6" s="82" t="s">
        <v>16</v>
      </c>
      <c r="AG6" s="83" t="s">
        <v>11</v>
      </c>
      <c r="AH6" s="18" t="s">
        <v>211</v>
      </c>
      <c r="AI6" s="18"/>
      <c r="AJ6" s="18"/>
      <c r="AK6" s="18"/>
      <c r="AL6" s="18"/>
      <c r="AM6" s="19"/>
      <c r="AO6" s="20" t="s">
        <v>72</v>
      </c>
      <c r="AP6" s="18" t="s">
        <v>73</v>
      </c>
      <c r="AQ6" s="18" t="s">
        <v>67</v>
      </c>
      <c r="AR6" s="21">
        <v>7</v>
      </c>
      <c r="AS6" s="18" t="s">
        <v>74</v>
      </c>
      <c r="AT6" s="21">
        <v>2943.75</v>
      </c>
      <c r="AU6" s="19">
        <v>20606.25</v>
      </c>
      <c r="AW6" s="20" t="s">
        <v>72</v>
      </c>
      <c r="AX6" s="18" t="s">
        <v>73</v>
      </c>
      <c r="AY6" s="18" t="s">
        <v>67</v>
      </c>
      <c r="AZ6" s="21">
        <v>7</v>
      </c>
      <c r="BA6" s="18" t="s">
        <v>74</v>
      </c>
      <c r="BB6" s="21">
        <v>2943.75</v>
      </c>
      <c r="BC6" s="19">
        <v>20606.25</v>
      </c>
    </row>
    <row r="7" spans="1:55" x14ac:dyDescent="0.35">
      <c r="A7" s="38" t="str">
        <v>STA00009</v>
      </c>
      <c r="B7" s="31" t="str">
        <f t="shared" ref="B7:B70" si="0">_xlfn.XLOOKUP(A7, AW$2:AW$300, AX$2:AX$300, "", 0)</f>
        <v>AMPLOP PUTIH 104</v>
      </c>
      <c r="C7" s="31" t="str">
        <f t="shared" ref="C7:C70" si="1">_xlfn.XLOOKUP(A7, AW$2:AW$300, AY$2:AY$300, "", 0)</f>
        <v>STATIONARY AND OFFICE SUPPLIES</v>
      </c>
      <c r="D7" s="39" t="str">
        <f t="shared" ref="D7:D70" si="2">_xlfn.XLOOKUP(A7, AW$2:AW$300, BA$2:BA$300, "", 0)</f>
        <v>pack</v>
      </c>
      <c r="E7" s="47">
        <f t="shared" ref="E7:E70" si="3">_xlfn.XLOOKUP(A7, AW$2:AW$300, BB$2:BB$300, "", 0)</f>
        <v>18750</v>
      </c>
      <c r="F7" s="48">
        <f t="shared" ref="F7:F70" si="4">_xlfn.XLOOKUP(A7, X$2:X$300, AA$2:AA$300, "0", 0)</f>
        <v>0.1</v>
      </c>
      <c r="G7" s="48">
        <f t="shared" ref="G7:G70" si="5">_xlfn.XLOOKUP(A7, AO$2:AO$300, AR$2:AR$300, "0", 0)</f>
        <v>0.05</v>
      </c>
      <c r="H7" s="48">
        <f t="shared" ref="H7:H70" si="6">G7-F7</f>
        <v>-0.05</v>
      </c>
      <c r="I7" s="40">
        <f t="shared" ref="I7:I70" si="7">H7*E7</f>
        <v>-937.5</v>
      </c>
      <c r="J7" s="39" t="str">
        <f t="shared" ref="J7:J70" si="8">CHOOSE(SIGN(G7 - F7) + 2, "Penurunan IU", "Tidak Ada Perubahan", "Kenaikan IU")</f>
        <v>Penurunan IU</v>
      </c>
      <c r="K7" s="71" t="s">
        <v>1030</v>
      </c>
      <c r="O7" s="82" t="s">
        <v>21</v>
      </c>
      <c r="P7" s="87" t="s">
        <v>11</v>
      </c>
      <c r="Q7" t="s">
        <v>798</v>
      </c>
      <c r="V7" s="19"/>
      <c r="X7" s="20" t="s">
        <v>72</v>
      </c>
      <c r="Y7" t="s">
        <v>73</v>
      </c>
      <c r="Z7" t="s">
        <v>67</v>
      </c>
      <c r="AA7" s="10">
        <v>13</v>
      </c>
      <c r="AB7" t="s">
        <v>74</v>
      </c>
      <c r="AC7" s="10">
        <v>3000</v>
      </c>
      <c r="AD7" s="19">
        <v>39000</v>
      </c>
      <c r="AF7" s="82" t="s">
        <v>21</v>
      </c>
      <c r="AG7" s="83" t="s">
        <v>11</v>
      </c>
      <c r="AH7" s="18" t="s">
        <v>798</v>
      </c>
      <c r="AI7" s="18"/>
      <c r="AJ7" s="18"/>
      <c r="AK7" s="18"/>
      <c r="AL7" s="18"/>
      <c r="AM7" s="19"/>
      <c r="AO7" s="20" t="s">
        <v>236</v>
      </c>
      <c r="AP7" s="18" t="s">
        <v>237</v>
      </c>
      <c r="AQ7" s="18" t="s">
        <v>67</v>
      </c>
      <c r="AR7" s="21">
        <v>0.5</v>
      </c>
      <c r="AS7" s="18" t="s">
        <v>20</v>
      </c>
      <c r="AT7" s="21">
        <v>7500</v>
      </c>
      <c r="AU7" s="19">
        <v>3750</v>
      </c>
      <c r="AW7" s="20" t="s">
        <v>236</v>
      </c>
      <c r="AX7" s="18" t="s">
        <v>237</v>
      </c>
      <c r="AY7" s="18" t="s">
        <v>67</v>
      </c>
      <c r="AZ7" s="21">
        <v>0.5</v>
      </c>
      <c r="BA7" s="18" t="s">
        <v>20</v>
      </c>
      <c r="BB7" s="21">
        <v>7500</v>
      </c>
      <c r="BC7" s="19">
        <v>3750</v>
      </c>
    </row>
    <row r="8" spans="1:55" x14ac:dyDescent="0.35">
      <c r="A8" s="38" t="str">
        <v>STA00019</v>
      </c>
      <c r="B8" s="31" t="str">
        <f t="shared" si="0"/>
        <v>BATERAI AAA</v>
      </c>
      <c r="C8" s="31" t="str">
        <f t="shared" si="1"/>
        <v>STATIONARY AND OFFICE SUPPLIES</v>
      </c>
      <c r="D8" s="39" t="str">
        <f t="shared" si="2"/>
        <v>pack</v>
      </c>
      <c r="E8" s="47">
        <f t="shared" si="3"/>
        <v>8935.6887999999999</v>
      </c>
      <c r="F8" s="48" t="str">
        <f t="shared" si="4"/>
        <v>0</v>
      </c>
      <c r="G8" s="48">
        <f t="shared" si="5"/>
        <v>1</v>
      </c>
      <c r="H8" s="48">
        <f t="shared" si="6"/>
        <v>1</v>
      </c>
      <c r="I8" s="40">
        <f t="shared" si="7"/>
        <v>8935.6887999999999</v>
      </c>
      <c r="J8" s="39" t="str">
        <f t="shared" si="8"/>
        <v>Kenaikan IU</v>
      </c>
      <c r="K8" s="71" t="s">
        <v>1031</v>
      </c>
      <c r="O8" s="82" t="s">
        <v>26</v>
      </c>
      <c r="P8" s="87" t="s">
        <v>11</v>
      </c>
      <c r="Q8" t="s">
        <v>799</v>
      </c>
      <c r="V8" s="19"/>
      <c r="X8" s="20" t="s">
        <v>234</v>
      </c>
      <c r="Y8" t="s">
        <v>235</v>
      </c>
      <c r="Z8" t="s">
        <v>67</v>
      </c>
      <c r="AA8" s="10">
        <v>1</v>
      </c>
      <c r="AB8" t="s">
        <v>20</v>
      </c>
      <c r="AC8" s="10">
        <v>5000</v>
      </c>
      <c r="AD8" s="19">
        <v>5000</v>
      </c>
      <c r="AF8" s="82" t="s">
        <v>26</v>
      </c>
      <c r="AG8" s="83" t="s">
        <v>11</v>
      </c>
      <c r="AH8" s="18" t="s">
        <v>900</v>
      </c>
      <c r="AI8" s="18"/>
      <c r="AJ8" s="18"/>
      <c r="AK8" s="18"/>
      <c r="AL8" s="18"/>
      <c r="AM8" s="19"/>
      <c r="AO8" s="20" t="s">
        <v>357</v>
      </c>
      <c r="AP8" s="18" t="s">
        <v>358</v>
      </c>
      <c r="AQ8" s="18" t="s">
        <v>67</v>
      </c>
      <c r="AR8" s="21">
        <v>0.2</v>
      </c>
      <c r="AS8" s="18" t="s">
        <v>5</v>
      </c>
      <c r="AT8" s="21">
        <v>31100</v>
      </c>
      <c r="AU8" s="19">
        <v>6220</v>
      </c>
      <c r="AW8" s="20" t="s">
        <v>357</v>
      </c>
      <c r="AX8" s="18" t="s">
        <v>358</v>
      </c>
      <c r="AY8" s="18" t="s">
        <v>67</v>
      </c>
      <c r="AZ8" s="21">
        <v>0.2</v>
      </c>
      <c r="BA8" s="18" t="s">
        <v>5</v>
      </c>
      <c r="BB8" s="21">
        <v>31100</v>
      </c>
      <c r="BC8" s="19">
        <v>6220</v>
      </c>
    </row>
    <row r="9" spans="1:55" x14ac:dyDescent="0.35">
      <c r="A9" s="38" t="str">
        <v>STA00020</v>
      </c>
      <c r="B9" s="31" t="str">
        <f t="shared" si="0"/>
        <v>BATERAI AA</v>
      </c>
      <c r="C9" s="31" t="str">
        <f t="shared" si="1"/>
        <v>STATIONARY AND OFFICE SUPPLIES</v>
      </c>
      <c r="D9" s="39" t="str">
        <f t="shared" si="2"/>
        <v>pack</v>
      </c>
      <c r="E9" s="47">
        <f t="shared" si="3"/>
        <v>9333.3333000000002</v>
      </c>
      <c r="F9" s="48">
        <f t="shared" si="4"/>
        <v>3</v>
      </c>
      <c r="G9" s="48">
        <f t="shared" si="5"/>
        <v>1</v>
      </c>
      <c r="H9" s="48">
        <f t="shared" si="6"/>
        <v>-2</v>
      </c>
      <c r="I9" s="40">
        <f t="shared" si="7"/>
        <v>-18666.6666</v>
      </c>
      <c r="J9" s="39" t="str">
        <f t="shared" si="8"/>
        <v>Penurunan IU</v>
      </c>
      <c r="K9" s="71" t="s">
        <v>1032</v>
      </c>
      <c r="O9" s="82" t="s">
        <v>31</v>
      </c>
      <c r="P9" s="87" t="s">
        <v>11</v>
      </c>
      <c r="Q9" t="s">
        <v>32</v>
      </c>
      <c r="V9" s="19"/>
      <c r="X9" s="20" t="s">
        <v>77</v>
      </c>
      <c r="Y9" t="s">
        <v>78</v>
      </c>
      <c r="Z9" t="s">
        <v>67</v>
      </c>
      <c r="AA9" s="10">
        <v>1</v>
      </c>
      <c r="AB9" t="s">
        <v>20</v>
      </c>
      <c r="AC9" s="10">
        <v>6500</v>
      </c>
      <c r="AD9" s="19">
        <v>6500</v>
      </c>
      <c r="AF9" s="82" t="s">
        <v>31</v>
      </c>
      <c r="AG9" s="83" t="s">
        <v>11</v>
      </c>
      <c r="AH9" s="18" t="s">
        <v>109</v>
      </c>
      <c r="AI9" s="18"/>
      <c r="AJ9" s="18"/>
      <c r="AK9" s="18"/>
      <c r="AL9" s="18"/>
      <c r="AM9" s="19"/>
      <c r="AO9" s="20" t="s">
        <v>85</v>
      </c>
      <c r="AP9" s="18" t="s">
        <v>86</v>
      </c>
      <c r="AQ9" s="18" t="s">
        <v>67</v>
      </c>
      <c r="AR9" s="21">
        <v>0.1</v>
      </c>
      <c r="AS9" s="18" t="s">
        <v>87</v>
      </c>
      <c r="AT9" s="21">
        <v>16792.6829</v>
      </c>
      <c r="AU9" s="19">
        <v>1679.26829</v>
      </c>
      <c r="AW9" s="20" t="s">
        <v>85</v>
      </c>
      <c r="AX9" s="18" t="s">
        <v>86</v>
      </c>
      <c r="AY9" s="18" t="s">
        <v>67</v>
      </c>
      <c r="AZ9" s="21">
        <v>0.1</v>
      </c>
      <c r="BA9" s="18" t="s">
        <v>87</v>
      </c>
      <c r="BB9" s="21">
        <v>16792.6829</v>
      </c>
      <c r="BC9" s="19">
        <v>1679.26829</v>
      </c>
    </row>
    <row r="10" spans="1:55" x14ac:dyDescent="0.35">
      <c r="A10" s="38" t="str">
        <v>STA00028</v>
      </c>
      <c r="B10" s="31" t="str">
        <f t="shared" si="0"/>
        <v>SOLATIP KECIL 12 MM</v>
      </c>
      <c r="C10" s="31" t="str">
        <f t="shared" si="1"/>
        <v>STATIONARY AND OFFICE SUPPLIES</v>
      </c>
      <c r="D10" s="39" t="str">
        <f t="shared" si="2"/>
        <v>roll</v>
      </c>
      <c r="E10" s="47">
        <f t="shared" si="3"/>
        <v>2943.75</v>
      </c>
      <c r="F10" s="48">
        <f t="shared" si="4"/>
        <v>13</v>
      </c>
      <c r="G10" s="48">
        <f t="shared" si="5"/>
        <v>7</v>
      </c>
      <c r="H10" s="48">
        <f t="shared" si="6"/>
        <v>-6</v>
      </c>
      <c r="I10" s="40">
        <f t="shared" si="7"/>
        <v>-17662.5</v>
      </c>
      <c r="J10" s="39" t="str">
        <f t="shared" si="8"/>
        <v>Penurunan IU</v>
      </c>
      <c r="K10" s="71" t="s">
        <v>1030</v>
      </c>
      <c r="O10" s="82" t="s">
        <v>35</v>
      </c>
      <c r="P10" s="87" t="s">
        <v>11</v>
      </c>
      <c r="Q10" t="s">
        <v>800</v>
      </c>
      <c r="V10" s="19"/>
      <c r="X10" s="20" t="s">
        <v>393</v>
      </c>
      <c r="Y10" t="s">
        <v>394</v>
      </c>
      <c r="Z10" t="s">
        <v>67</v>
      </c>
      <c r="AA10" s="10">
        <v>1</v>
      </c>
      <c r="AB10" t="s">
        <v>20</v>
      </c>
      <c r="AC10" s="10">
        <v>12500</v>
      </c>
      <c r="AD10" s="19">
        <v>12500</v>
      </c>
      <c r="AF10" s="82" t="s">
        <v>35</v>
      </c>
      <c r="AG10" s="83" t="s">
        <v>11</v>
      </c>
      <c r="AH10" s="18" t="s">
        <v>901</v>
      </c>
      <c r="AI10" s="18"/>
      <c r="AJ10" s="18"/>
      <c r="AK10" s="18"/>
      <c r="AL10" s="18"/>
      <c r="AM10" s="19"/>
      <c r="AO10" s="20" t="s">
        <v>242</v>
      </c>
      <c r="AP10" s="18" t="s">
        <v>243</v>
      </c>
      <c r="AQ10" s="18" t="s">
        <v>67</v>
      </c>
      <c r="AR10" s="21">
        <v>0.1</v>
      </c>
      <c r="AS10" s="18" t="s">
        <v>87</v>
      </c>
      <c r="AT10" s="21">
        <v>14500</v>
      </c>
      <c r="AU10" s="19">
        <v>1450</v>
      </c>
      <c r="AW10" s="20" t="s">
        <v>242</v>
      </c>
      <c r="AX10" s="18" t="s">
        <v>243</v>
      </c>
      <c r="AY10" s="18" t="s">
        <v>67</v>
      </c>
      <c r="AZ10" s="21">
        <v>0.1</v>
      </c>
      <c r="BA10" s="18" t="s">
        <v>87</v>
      </c>
      <c r="BB10" s="21">
        <v>14500</v>
      </c>
      <c r="BC10" s="19">
        <v>1450</v>
      </c>
    </row>
    <row r="11" spans="1:55" x14ac:dyDescent="0.35">
      <c r="A11" s="38" t="str">
        <v>STA00035</v>
      </c>
      <c r="B11" s="31" t="str">
        <f t="shared" si="0"/>
        <v>LAKBAN BENING</v>
      </c>
      <c r="C11" s="31" t="str">
        <f t="shared" si="1"/>
        <v>STATIONARY AND OFFICE SUPPLIES</v>
      </c>
      <c r="D11" s="39" t="str">
        <f t="shared" si="2"/>
        <v>pcs</v>
      </c>
      <c r="E11" s="47">
        <f t="shared" si="3"/>
        <v>7500</v>
      </c>
      <c r="F11" s="48" t="str">
        <f t="shared" si="4"/>
        <v>0</v>
      </c>
      <c r="G11" s="48">
        <f t="shared" si="5"/>
        <v>0.5</v>
      </c>
      <c r="H11" s="48">
        <f t="shared" si="6"/>
        <v>0.5</v>
      </c>
      <c r="I11" s="40">
        <f t="shared" si="7"/>
        <v>3750</v>
      </c>
      <c r="J11" s="39" t="str">
        <f t="shared" si="8"/>
        <v>Kenaikan IU</v>
      </c>
      <c r="K11" s="71" t="s">
        <v>1033</v>
      </c>
      <c r="O11" s="20"/>
      <c r="V11" s="19"/>
      <c r="X11" s="20" t="s">
        <v>512</v>
      </c>
      <c r="Y11" t="s">
        <v>513</v>
      </c>
      <c r="Z11" t="s">
        <v>67</v>
      </c>
      <c r="AA11" s="10">
        <v>1</v>
      </c>
      <c r="AB11" t="s">
        <v>486</v>
      </c>
      <c r="AC11" s="10">
        <v>29000</v>
      </c>
      <c r="AD11" s="19">
        <v>29000</v>
      </c>
      <c r="AF11" s="20"/>
      <c r="AG11" s="18"/>
      <c r="AH11" s="18"/>
      <c r="AI11" s="18"/>
      <c r="AJ11" s="18"/>
      <c r="AK11" s="18"/>
      <c r="AL11" s="18"/>
      <c r="AM11" s="19"/>
      <c r="AO11" s="20" t="s">
        <v>246</v>
      </c>
      <c r="AP11" s="18" t="s">
        <v>247</v>
      </c>
      <c r="AQ11" s="18" t="s">
        <v>67</v>
      </c>
      <c r="AR11" s="21">
        <v>1</v>
      </c>
      <c r="AS11" s="18" t="s">
        <v>5</v>
      </c>
      <c r="AT11" s="21">
        <v>1400</v>
      </c>
      <c r="AU11" s="19">
        <v>1400</v>
      </c>
      <c r="AW11" s="20" t="s">
        <v>246</v>
      </c>
      <c r="AX11" s="18" t="s">
        <v>247</v>
      </c>
      <c r="AY11" s="18" t="s">
        <v>67</v>
      </c>
      <c r="AZ11" s="21">
        <v>1</v>
      </c>
      <c r="BA11" s="18" t="s">
        <v>5</v>
      </c>
      <c r="BB11" s="21">
        <v>1400</v>
      </c>
      <c r="BC11" s="19">
        <v>1400</v>
      </c>
    </row>
    <row r="12" spans="1:55" x14ac:dyDescent="0.35">
      <c r="A12" s="38" t="str">
        <v>STA00042</v>
      </c>
      <c r="B12" s="31" t="str">
        <f t="shared" si="0"/>
        <v>KARET GELANG</v>
      </c>
      <c r="C12" s="31" t="str">
        <f t="shared" si="1"/>
        <v>STATIONARY AND OFFICE SUPPLIES</v>
      </c>
      <c r="D12" s="39" t="str">
        <f t="shared" si="2"/>
        <v>pack</v>
      </c>
      <c r="E12" s="47">
        <f t="shared" si="3"/>
        <v>31100</v>
      </c>
      <c r="F12" s="48">
        <f t="shared" si="4"/>
        <v>0.1</v>
      </c>
      <c r="G12" s="48">
        <f t="shared" si="5"/>
        <v>0.2</v>
      </c>
      <c r="H12" s="48">
        <f t="shared" si="6"/>
        <v>0.1</v>
      </c>
      <c r="I12" s="40">
        <f t="shared" si="7"/>
        <v>3110</v>
      </c>
      <c r="J12" s="39" t="str">
        <f t="shared" si="8"/>
        <v>Kenaikan IU</v>
      </c>
      <c r="K12" s="71" t="s">
        <v>1034</v>
      </c>
      <c r="O12" s="20" t="s">
        <v>42</v>
      </c>
      <c r="P12" t="s">
        <v>43</v>
      </c>
      <c r="Q12" t="s">
        <v>44</v>
      </c>
      <c r="R12" t="s">
        <v>45</v>
      </c>
      <c r="S12" t="s">
        <v>46</v>
      </c>
      <c r="T12" t="s">
        <v>47</v>
      </c>
      <c r="U12" t="s">
        <v>48</v>
      </c>
      <c r="V12" s="19" t="s">
        <v>49</v>
      </c>
      <c r="X12" s="20" t="s">
        <v>357</v>
      </c>
      <c r="Y12" t="s">
        <v>358</v>
      </c>
      <c r="Z12" t="s">
        <v>67</v>
      </c>
      <c r="AA12" s="10">
        <v>0.1</v>
      </c>
      <c r="AB12" t="s">
        <v>5</v>
      </c>
      <c r="AC12" s="10">
        <v>31100</v>
      </c>
      <c r="AD12" s="19">
        <v>3110</v>
      </c>
      <c r="AF12" s="20" t="s">
        <v>42</v>
      </c>
      <c r="AG12" s="18" t="s">
        <v>43</v>
      </c>
      <c r="AH12" s="18" t="s">
        <v>44</v>
      </c>
      <c r="AI12" s="18" t="s">
        <v>45</v>
      </c>
      <c r="AJ12" s="18" t="s">
        <v>46</v>
      </c>
      <c r="AK12" s="18" t="s">
        <v>47</v>
      </c>
      <c r="AL12" s="18" t="s">
        <v>48</v>
      </c>
      <c r="AM12" s="19" t="s">
        <v>49</v>
      </c>
      <c r="AO12" s="20" t="s">
        <v>327</v>
      </c>
      <c r="AP12" s="18" t="s">
        <v>328</v>
      </c>
      <c r="AQ12" s="18" t="s">
        <v>67</v>
      </c>
      <c r="AR12" s="21">
        <v>2</v>
      </c>
      <c r="AS12" s="18" t="s">
        <v>5</v>
      </c>
      <c r="AT12" s="21">
        <v>5861.1111000000001</v>
      </c>
      <c r="AU12" s="19">
        <v>11722.2222</v>
      </c>
      <c r="AW12" s="20" t="s">
        <v>327</v>
      </c>
      <c r="AX12" s="18" t="s">
        <v>328</v>
      </c>
      <c r="AY12" s="18" t="s">
        <v>67</v>
      </c>
      <c r="AZ12" s="21">
        <v>2</v>
      </c>
      <c r="BA12" s="18" t="s">
        <v>5</v>
      </c>
      <c r="BB12" s="21">
        <v>5861.1111000000001</v>
      </c>
      <c r="BC12" s="19">
        <v>11722.2222</v>
      </c>
    </row>
    <row r="13" spans="1:55" x14ac:dyDescent="0.35">
      <c r="A13" s="38" t="str">
        <v>STA00051</v>
      </c>
      <c r="B13" s="31" t="str">
        <f t="shared" si="0"/>
        <v>PANADOL HIJAU</v>
      </c>
      <c r="C13" s="31" t="str">
        <f t="shared" si="1"/>
        <v>STATIONARY AND OFFICE SUPPLIES</v>
      </c>
      <c r="D13" s="39" t="str">
        <f t="shared" si="2"/>
        <v>str</v>
      </c>
      <c r="E13" s="47">
        <f t="shared" si="3"/>
        <v>16792.6829</v>
      </c>
      <c r="F13" s="48">
        <f t="shared" si="4"/>
        <v>1.5</v>
      </c>
      <c r="G13" s="48">
        <f t="shared" si="5"/>
        <v>0.1</v>
      </c>
      <c r="H13" s="48">
        <f t="shared" si="6"/>
        <v>-1.4</v>
      </c>
      <c r="I13" s="40">
        <f t="shared" si="7"/>
        <v>-23509.75606</v>
      </c>
      <c r="J13" s="39" t="str">
        <f t="shared" si="8"/>
        <v>Penurunan IU</v>
      </c>
      <c r="K13" s="71" t="s">
        <v>1035</v>
      </c>
      <c r="O13" s="20">
        <v>1</v>
      </c>
      <c r="P13" t="s">
        <v>214</v>
      </c>
      <c r="Q13" t="s">
        <v>215</v>
      </c>
      <c r="R13" t="s">
        <v>4</v>
      </c>
      <c r="S13" s="10">
        <v>8</v>
      </c>
      <c r="T13" t="s">
        <v>216</v>
      </c>
      <c r="U13" s="10">
        <v>55300</v>
      </c>
      <c r="V13" s="19">
        <v>442400</v>
      </c>
      <c r="X13" s="20" t="s">
        <v>624</v>
      </c>
      <c r="Y13" t="s">
        <v>625</v>
      </c>
      <c r="Z13" t="s">
        <v>67</v>
      </c>
      <c r="AA13" s="10">
        <v>0.5</v>
      </c>
      <c r="AB13" t="s">
        <v>5</v>
      </c>
      <c r="AC13" s="10">
        <v>13000</v>
      </c>
      <c r="AD13" s="19">
        <v>6500</v>
      </c>
      <c r="AF13" s="20">
        <v>1</v>
      </c>
      <c r="AG13" s="18" t="s">
        <v>65</v>
      </c>
      <c r="AH13" s="18" t="s">
        <v>66</v>
      </c>
      <c r="AI13" s="18" t="s">
        <v>67</v>
      </c>
      <c r="AJ13" s="21">
        <v>20</v>
      </c>
      <c r="AK13" s="18" t="s">
        <v>20</v>
      </c>
      <c r="AL13" s="21">
        <v>320</v>
      </c>
      <c r="AM13" s="19">
        <v>6400</v>
      </c>
      <c r="AO13" s="20" t="s">
        <v>90</v>
      </c>
      <c r="AP13" s="18" t="s">
        <v>91</v>
      </c>
      <c r="AQ13" s="18" t="s">
        <v>67</v>
      </c>
      <c r="AR13" s="21">
        <v>2</v>
      </c>
      <c r="AS13" s="18" t="s">
        <v>5</v>
      </c>
      <c r="AT13" s="21">
        <v>6139.4736999999996</v>
      </c>
      <c r="AU13" s="19">
        <v>12278.947399999999</v>
      </c>
      <c r="AW13" s="20" t="s">
        <v>90</v>
      </c>
      <c r="AX13" s="18" t="s">
        <v>91</v>
      </c>
      <c r="AY13" s="18" t="s">
        <v>67</v>
      </c>
      <c r="AZ13" s="21">
        <v>2</v>
      </c>
      <c r="BA13" s="18" t="s">
        <v>5</v>
      </c>
      <c r="BB13" s="21">
        <v>6139.4736999999996</v>
      </c>
      <c r="BC13" s="19">
        <v>12278.947399999999</v>
      </c>
    </row>
    <row r="14" spans="1:55" x14ac:dyDescent="0.35">
      <c r="A14" s="38" t="str">
        <v>STA00052</v>
      </c>
      <c r="B14" s="31" t="str">
        <f t="shared" si="0"/>
        <v>PANADOL MERAH</v>
      </c>
      <c r="C14" s="31" t="str">
        <f t="shared" si="1"/>
        <v>STATIONARY AND OFFICE SUPPLIES</v>
      </c>
      <c r="D14" s="39" t="str">
        <f t="shared" si="2"/>
        <v>str</v>
      </c>
      <c r="E14" s="47">
        <f t="shared" si="3"/>
        <v>14500</v>
      </c>
      <c r="F14" s="48">
        <f t="shared" si="4"/>
        <v>2.9</v>
      </c>
      <c r="G14" s="48">
        <f t="shared" si="5"/>
        <v>0.1</v>
      </c>
      <c r="H14" s="48">
        <f t="shared" si="6"/>
        <v>-2.8</v>
      </c>
      <c r="I14" s="40">
        <f t="shared" si="7"/>
        <v>-40600</v>
      </c>
      <c r="J14" s="39" t="str">
        <f t="shared" si="8"/>
        <v>Penurunan IU</v>
      </c>
      <c r="K14" s="71" t="s">
        <v>1036</v>
      </c>
      <c r="O14" s="20">
        <v>2</v>
      </c>
      <c r="P14" t="s">
        <v>2</v>
      </c>
      <c r="Q14" t="s">
        <v>3</v>
      </c>
      <c r="R14" t="s">
        <v>4</v>
      </c>
      <c r="S14" s="10">
        <v>7.5</v>
      </c>
      <c r="T14" t="s">
        <v>5</v>
      </c>
      <c r="U14" s="10">
        <v>24011.567011764706</v>
      </c>
      <c r="V14" s="19">
        <v>180086.752588</v>
      </c>
      <c r="X14" s="20" t="s">
        <v>238</v>
      </c>
      <c r="Y14" t="s">
        <v>239</v>
      </c>
      <c r="Z14" t="s">
        <v>67</v>
      </c>
      <c r="AA14" s="10">
        <v>1</v>
      </c>
      <c r="AB14" t="s">
        <v>74</v>
      </c>
      <c r="AC14" s="10">
        <v>13500</v>
      </c>
      <c r="AD14" s="19">
        <v>13500</v>
      </c>
      <c r="AF14" s="20">
        <v>2</v>
      </c>
      <c r="AG14" s="18" t="s">
        <v>68</v>
      </c>
      <c r="AH14" s="18" t="s">
        <v>69</v>
      </c>
      <c r="AI14" s="18" t="s">
        <v>67</v>
      </c>
      <c r="AJ14" s="21">
        <v>0.05</v>
      </c>
      <c r="AK14" s="18" t="s">
        <v>5</v>
      </c>
      <c r="AL14" s="21">
        <v>18750</v>
      </c>
      <c r="AM14" s="19">
        <v>937.5</v>
      </c>
      <c r="AO14" s="20" t="s">
        <v>92</v>
      </c>
      <c r="AP14" s="18" t="s">
        <v>93</v>
      </c>
      <c r="AQ14" s="18" t="s">
        <v>67</v>
      </c>
      <c r="AR14" s="21">
        <v>21</v>
      </c>
      <c r="AS14" s="18" t="s">
        <v>94</v>
      </c>
      <c r="AT14" s="21">
        <v>11800</v>
      </c>
      <c r="AU14" s="19">
        <v>247800</v>
      </c>
      <c r="AW14" s="20" t="s">
        <v>92</v>
      </c>
      <c r="AX14" s="18" t="s">
        <v>93</v>
      </c>
      <c r="AY14" s="18" t="s">
        <v>67</v>
      </c>
      <c r="AZ14" s="21">
        <v>21</v>
      </c>
      <c r="BA14" s="18" t="s">
        <v>94</v>
      </c>
      <c r="BB14" s="21">
        <v>11800</v>
      </c>
      <c r="BC14" s="19">
        <v>247800</v>
      </c>
    </row>
    <row r="15" spans="1:55" x14ac:dyDescent="0.35">
      <c r="A15" s="38" t="str">
        <v>STA00057</v>
      </c>
      <c r="B15" s="31" t="str">
        <f t="shared" si="0"/>
        <v>ISI STAPLER</v>
      </c>
      <c r="C15" s="31" t="str">
        <f t="shared" si="1"/>
        <v>STATIONARY AND OFFICE SUPPLIES</v>
      </c>
      <c r="D15" s="39" t="str">
        <f t="shared" si="2"/>
        <v>pack</v>
      </c>
      <c r="E15" s="47">
        <f t="shared" si="3"/>
        <v>1400</v>
      </c>
      <c r="F15" s="48">
        <f t="shared" si="4"/>
        <v>1</v>
      </c>
      <c r="G15" s="48">
        <f t="shared" si="5"/>
        <v>1</v>
      </c>
      <c r="H15" s="48">
        <f t="shared" si="6"/>
        <v>0</v>
      </c>
      <c r="I15" s="40">
        <f t="shared" si="7"/>
        <v>0</v>
      </c>
      <c r="J15" s="39" t="str">
        <f t="shared" si="8"/>
        <v>Tidak Ada Perubahan</v>
      </c>
      <c r="K15" s="71" t="s">
        <v>1030</v>
      </c>
      <c r="O15" s="20">
        <v>3</v>
      </c>
      <c r="P15" t="s">
        <v>217</v>
      </c>
      <c r="Q15" t="s">
        <v>218</v>
      </c>
      <c r="R15" t="s">
        <v>4</v>
      </c>
      <c r="S15" s="10">
        <v>3</v>
      </c>
      <c r="T15" t="s">
        <v>9</v>
      </c>
      <c r="U15" s="10">
        <v>55293.148000000001</v>
      </c>
      <c r="V15" s="19">
        <v>165879.44399999999</v>
      </c>
      <c r="X15" s="20" t="s">
        <v>83</v>
      </c>
      <c r="Y15" t="s">
        <v>84</v>
      </c>
      <c r="Z15" t="s">
        <v>67</v>
      </c>
      <c r="AA15" s="10">
        <v>0.5</v>
      </c>
      <c r="AB15" t="s">
        <v>20</v>
      </c>
      <c r="AC15" s="10">
        <v>7250</v>
      </c>
      <c r="AD15" s="19">
        <v>3625</v>
      </c>
      <c r="AF15" s="20">
        <v>3</v>
      </c>
      <c r="AG15" s="18" t="s">
        <v>70</v>
      </c>
      <c r="AH15" s="18" t="s">
        <v>71</v>
      </c>
      <c r="AI15" s="18" t="s">
        <v>67</v>
      </c>
      <c r="AJ15" s="21">
        <v>1</v>
      </c>
      <c r="AK15" s="18" t="s">
        <v>5</v>
      </c>
      <c r="AL15" s="21">
        <v>8935.6887999999999</v>
      </c>
      <c r="AM15" s="19">
        <v>8935.6887999999999</v>
      </c>
      <c r="AO15" s="20" t="s">
        <v>100</v>
      </c>
      <c r="AP15" s="18" t="s">
        <v>101</v>
      </c>
      <c r="AQ15" s="18" t="s">
        <v>67</v>
      </c>
      <c r="AR15" s="21">
        <v>1</v>
      </c>
      <c r="AS15" s="18" t="s">
        <v>87</v>
      </c>
      <c r="AT15" s="21">
        <v>8344.2489999999998</v>
      </c>
      <c r="AU15" s="19">
        <v>8344.2489999999998</v>
      </c>
      <c r="AW15" s="20" t="s">
        <v>100</v>
      </c>
      <c r="AX15" s="18" t="s">
        <v>101</v>
      </c>
      <c r="AY15" s="18" t="s">
        <v>67</v>
      </c>
      <c r="AZ15" s="21">
        <v>1</v>
      </c>
      <c r="BA15" s="18" t="s">
        <v>87</v>
      </c>
      <c r="BB15" s="21">
        <v>8344.2489999999998</v>
      </c>
      <c r="BC15" s="19">
        <v>8344.2489999999998</v>
      </c>
    </row>
    <row r="16" spans="1:55" x14ac:dyDescent="0.35">
      <c r="A16" s="38" t="str">
        <v>STA00074</v>
      </c>
      <c r="B16" s="31" t="str">
        <f t="shared" si="0"/>
        <v>LABEL/STICKER TOM &amp; JERRY 103</v>
      </c>
      <c r="C16" s="31" t="str">
        <f t="shared" si="1"/>
        <v>STATIONARY AND OFFICE SUPPLIES</v>
      </c>
      <c r="D16" s="39" t="str">
        <f t="shared" si="2"/>
        <v>pack</v>
      </c>
      <c r="E16" s="47">
        <f t="shared" si="3"/>
        <v>5861.1111000000001</v>
      </c>
      <c r="F16" s="48">
        <f t="shared" si="4"/>
        <v>7</v>
      </c>
      <c r="G16" s="48">
        <f t="shared" si="5"/>
        <v>2</v>
      </c>
      <c r="H16" s="48">
        <f t="shared" si="6"/>
        <v>-5</v>
      </c>
      <c r="I16" s="40">
        <f t="shared" si="7"/>
        <v>-29305.555500000002</v>
      </c>
      <c r="J16" s="39" t="str">
        <f t="shared" si="8"/>
        <v>Penurunan IU</v>
      </c>
      <c r="K16" s="71" t="s">
        <v>1030</v>
      </c>
      <c r="O16" s="20">
        <v>4</v>
      </c>
      <c r="P16" t="s">
        <v>7</v>
      </c>
      <c r="Q16" t="s">
        <v>8</v>
      </c>
      <c r="R16" t="s">
        <v>4</v>
      </c>
      <c r="S16" s="10">
        <v>1.5</v>
      </c>
      <c r="T16" t="s">
        <v>9</v>
      </c>
      <c r="U16" s="10">
        <v>133200</v>
      </c>
      <c r="V16" s="19">
        <v>199800</v>
      </c>
      <c r="X16" s="20" t="s">
        <v>85</v>
      </c>
      <c r="Y16" t="s">
        <v>86</v>
      </c>
      <c r="Z16" t="s">
        <v>67</v>
      </c>
      <c r="AA16" s="10">
        <v>1.5</v>
      </c>
      <c r="AB16" t="s">
        <v>87</v>
      </c>
      <c r="AC16" s="10">
        <v>18500</v>
      </c>
      <c r="AD16" s="19">
        <v>27750</v>
      </c>
      <c r="AF16" s="20">
        <v>4</v>
      </c>
      <c r="AG16" s="18" t="s">
        <v>230</v>
      </c>
      <c r="AH16" s="18" t="s">
        <v>231</v>
      </c>
      <c r="AI16" s="18" t="s">
        <v>67</v>
      </c>
      <c r="AJ16" s="21">
        <v>1</v>
      </c>
      <c r="AK16" s="18" t="s">
        <v>5</v>
      </c>
      <c r="AL16" s="21">
        <v>9333.3333000000002</v>
      </c>
      <c r="AM16" s="19">
        <v>9333.3333000000002</v>
      </c>
      <c r="AO16" s="20" t="s">
        <v>107</v>
      </c>
      <c r="AP16" s="18" t="s">
        <v>108</v>
      </c>
      <c r="AQ16" s="18" t="s">
        <v>67</v>
      </c>
      <c r="AR16" s="18">
        <v>1</v>
      </c>
      <c r="AS16" s="18" t="s">
        <v>5</v>
      </c>
      <c r="AT16" s="18">
        <v>16250</v>
      </c>
      <c r="AU16" s="19">
        <v>16250</v>
      </c>
      <c r="AW16" s="20" t="s">
        <v>107</v>
      </c>
      <c r="AX16" s="18" t="s">
        <v>108</v>
      </c>
      <c r="AY16" s="18" t="s">
        <v>67</v>
      </c>
      <c r="AZ16" s="18">
        <v>1</v>
      </c>
      <c r="BA16" s="18" t="s">
        <v>5</v>
      </c>
      <c r="BB16" s="18">
        <v>16250</v>
      </c>
      <c r="BC16" s="19">
        <v>16250</v>
      </c>
    </row>
    <row r="17" spans="1:55" x14ac:dyDescent="0.35">
      <c r="A17" s="38" t="str">
        <v>STA00075</v>
      </c>
      <c r="B17" s="31" t="str">
        <f t="shared" si="0"/>
        <v>LABEL/STICKER TOM &amp; JERRY 109</v>
      </c>
      <c r="C17" s="31" t="str">
        <f t="shared" si="1"/>
        <v>STATIONARY AND OFFICE SUPPLIES</v>
      </c>
      <c r="D17" s="39" t="str">
        <f t="shared" si="2"/>
        <v>pack</v>
      </c>
      <c r="E17" s="47">
        <f t="shared" si="3"/>
        <v>6139.4736999999996</v>
      </c>
      <c r="F17" s="48">
        <f t="shared" si="4"/>
        <v>2</v>
      </c>
      <c r="G17" s="48">
        <f t="shared" si="5"/>
        <v>2</v>
      </c>
      <c r="H17" s="48">
        <f t="shared" si="6"/>
        <v>0</v>
      </c>
      <c r="I17" s="40">
        <f t="shared" si="7"/>
        <v>0</v>
      </c>
      <c r="J17" s="39" t="str">
        <f t="shared" si="8"/>
        <v>Tidak Ada Perubahan</v>
      </c>
      <c r="K17" s="71" t="s">
        <v>1030</v>
      </c>
      <c r="O17" s="20">
        <v>5</v>
      </c>
      <c r="P17" t="s">
        <v>13</v>
      </c>
      <c r="Q17" t="s">
        <v>14</v>
      </c>
      <c r="R17" t="s">
        <v>4</v>
      </c>
      <c r="S17" s="10">
        <v>0.9</v>
      </c>
      <c r="T17" t="s">
        <v>15</v>
      </c>
      <c r="U17" s="10">
        <v>77700</v>
      </c>
      <c r="V17" s="19">
        <v>69930</v>
      </c>
      <c r="X17" s="20" t="s">
        <v>242</v>
      </c>
      <c r="Y17" t="s">
        <v>243</v>
      </c>
      <c r="Z17" t="s">
        <v>67</v>
      </c>
      <c r="AA17" s="10">
        <v>2.9</v>
      </c>
      <c r="AB17" t="s">
        <v>87</v>
      </c>
      <c r="AC17" s="10">
        <v>14500</v>
      </c>
      <c r="AD17" s="19">
        <v>42050</v>
      </c>
      <c r="AF17" s="20">
        <v>5</v>
      </c>
      <c r="AG17" s="18" t="s">
        <v>72</v>
      </c>
      <c r="AH17" s="18" t="s">
        <v>73</v>
      </c>
      <c r="AI17" s="18" t="s">
        <v>67</v>
      </c>
      <c r="AJ17" s="21">
        <v>7</v>
      </c>
      <c r="AK17" s="18" t="s">
        <v>74</v>
      </c>
      <c r="AL17" s="21">
        <v>2943.75</v>
      </c>
      <c r="AM17" s="19">
        <v>20606.25</v>
      </c>
      <c r="AO17" s="20" t="s">
        <v>115</v>
      </c>
      <c r="AP17" s="18" t="s">
        <v>116</v>
      </c>
      <c r="AQ17" s="18" t="s">
        <v>117</v>
      </c>
      <c r="AR17" s="21">
        <v>2127</v>
      </c>
      <c r="AS17" s="18" t="s">
        <v>52</v>
      </c>
      <c r="AT17" s="21">
        <v>626.74</v>
      </c>
      <c r="AU17" s="19">
        <v>1333075.98</v>
      </c>
      <c r="AW17" s="20" t="s">
        <v>115</v>
      </c>
      <c r="AX17" s="18" t="s">
        <v>116</v>
      </c>
      <c r="AY17" s="18" t="s">
        <v>117</v>
      </c>
      <c r="AZ17" s="21">
        <v>2127</v>
      </c>
      <c r="BA17" s="18" t="s">
        <v>52</v>
      </c>
      <c r="BB17" s="21">
        <v>626.74</v>
      </c>
      <c r="BC17" s="19">
        <v>1333075.98</v>
      </c>
    </row>
    <row r="18" spans="1:55" x14ac:dyDescent="0.35">
      <c r="A18" s="38" t="str">
        <v>STA00080</v>
      </c>
      <c r="B18" s="31" t="str">
        <f t="shared" si="0"/>
        <v>KERTAS THERMAL 80 X 80</v>
      </c>
      <c r="C18" s="31" t="str">
        <f t="shared" si="1"/>
        <v>STATIONARY AND OFFICE SUPPLIES</v>
      </c>
      <c r="D18" s="39" t="str">
        <f t="shared" si="2"/>
        <v>ROLL</v>
      </c>
      <c r="E18" s="47">
        <f t="shared" si="3"/>
        <v>11800</v>
      </c>
      <c r="F18" s="48">
        <f t="shared" si="4"/>
        <v>66</v>
      </c>
      <c r="G18" s="48">
        <f t="shared" si="5"/>
        <v>21</v>
      </c>
      <c r="H18" s="48">
        <f t="shared" si="6"/>
        <v>-45</v>
      </c>
      <c r="I18" s="40">
        <f t="shared" si="7"/>
        <v>-531000</v>
      </c>
      <c r="J18" s="39" t="str">
        <f t="shared" si="8"/>
        <v>Penurunan IU</v>
      </c>
      <c r="K18" s="71" t="s">
        <v>1037</v>
      </c>
      <c r="O18" s="20">
        <v>6</v>
      </c>
      <c r="P18" t="s">
        <v>18</v>
      </c>
      <c r="Q18" t="s">
        <v>19</v>
      </c>
      <c r="R18" t="s">
        <v>4</v>
      </c>
      <c r="S18" s="10">
        <v>0.4</v>
      </c>
      <c r="T18" t="s">
        <v>20</v>
      </c>
      <c r="U18" s="10">
        <v>151400</v>
      </c>
      <c r="V18" s="19">
        <v>60560</v>
      </c>
      <c r="X18" s="20" t="s">
        <v>244</v>
      </c>
      <c r="Y18" t="s">
        <v>245</v>
      </c>
      <c r="Z18" t="s">
        <v>67</v>
      </c>
      <c r="AA18" s="10">
        <v>3</v>
      </c>
      <c r="AB18" t="s">
        <v>20</v>
      </c>
      <c r="AC18" s="10">
        <v>6000</v>
      </c>
      <c r="AD18" s="19">
        <v>18000</v>
      </c>
      <c r="AF18" s="20">
        <v>6</v>
      </c>
      <c r="AG18" s="18" t="s">
        <v>236</v>
      </c>
      <c r="AH18" s="18" t="s">
        <v>237</v>
      </c>
      <c r="AI18" s="18" t="s">
        <v>67</v>
      </c>
      <c r="AJ18" s="21">
        <v>0.5</v>
      </c>
      <c r="AK18" s="18" t="s">
        <v>20</v>
      </c>
      <c r="AL18" s="21">
        <v>7500</v>
      </c>
      <c r="AM18" s="19">
        <v>3750</v>
      </c>
      <c r="AO18" s="20" t="s">
        <v>706</v>
      </c>
      <c r="AP18" s="18" t="s">
        <v>707</v>
      </c>
      <c r="AQ18" s="18" t="s">
        <v>117</v>
      </c>
      <c r="AR18" s="21">
        <v>415</v>
      </c>
      <c r="AS18" s="18" t="s">
        <v>20</v>
      </c>
      <c r="AT18" s="21">
        <v>500</v>
      </c>
      <c r="AU18" s="19">
        <v>207500</v>
      </c>
      <c r="AW18" s="20" t="s">
        <v>706</v>
      </c>
      <c r="AX18" s="18" t="s">
        <v>707</v>
      </c>
      <c r="AY18" s="18" t="s">
        <v>117</v>
      </c>
      <c r="AZ18" s="21">
        <v>415</v>
      </c>
      <c r="BA18" s="18" t="s">
        <v>20</v>
      </c>
      <c r="BB18" s="21">
        <v>500</v>
      </c>
      <c r="BC18" s="19">
        <v>207500</v>
      </c>
    </row>
    <row r="19" spans="1:55" x14ac:dyDescent="0.35">
      <c r="A19" s="38" t="str">
        <v>STA00094</v>
      </c>
      <c r="B19" s="31" t="str">
        <f t="shared" si="0"/>
        <v>OBAT PROMAG</v>
      </c>
      <c r="C19" s="31" t="str">
        <f t="shared" si="1"/>
        <v>STATIONARY AND OFFICE SUPPLIES</v>
      </c>
      <c r="D19" s="39" t="str">
        <f t="shared" si="2"/>
        <v>str</v>
      </c>
      <c r="E19" s="47">
        <f t="shared" si="3"/>
        <v>8344.2489999999998</v>
      </c>
      <c r="F19" s="48" t="str">
        <f t="shared" si="4"/>
        <v>0</v>
      </c>
      <c r="G19" s="48">
        <f t="shared" si="5"/>
        <v>1</v>
      </c>
      <c r="H19" s="48">
        <f t="shared" si="6"/>
        <v>1</v>
      </c>
      <c r="I19" s="40">
        <f t="shared" si="7"/>
        <v>8344.2489999999998</v>
      </c>
      <c r="J19" s="39" t="str">
        <f t="shared" si="8"/>
        <v>Kenaikan IU</v>
      </c>
      <c r="K19" s="71" t="s">
        <v>1033</v>
      </c>
      <c r="O19" s="20">
        <v>7</v>
      </c>
      <c r="P19" t="s">
        <v>219</v>
      </c>
      <c r="Q19" t="s">
        <v>220</v>
      </c>
      <c r="R19" t="s">
        <v>4</v>
      </c>
      <c r="S19" s="10">
        <v>5</v>
      </c>
      <c r="T19" t="s">
        <v>25</v>
      </c>
      <c r="U19" s="10">
        <v>57626.909099999997</v>
      </c>
      <c r="V19" s="19">
        <v>288134.54550000001</v>
      </c>
      <c r="X19" s="20" t="s">
        <v>246</v>
      </c>
      <c r="Y19" t="s">
        <v>247</v>
      </c>
      <c r="Z19" t="s">
        <v>67</v>
      </c>
      <c r="AA19" s="10">
        <v>1</v>
      </c>
      <c r="AB19" t="s">
        <v>5</v>
      </c>
      <c r="AC19" s="10">
        <v>1400</v>
      </c>
      <c r="AD19" s="19">
        <v>1400</v>
      </c>
      <c r="AF19" s="20">
        <v>7</v>
      </c>
      <c r="AG19" s="18" t="s">
        <v>357</v>
      </c>
      <c r="AH19" s="18" t="s">
        <v>358</v>
      </c>
      <c r="AI19" s="18" t="s">
        <v>67</v>
      </c>
      <c r="AJ19" s="21">
        <v>0.2</v>
      </c>
      <c r="AK19" s="18" t="s">
        <v>5</v>
      </c>
      <c r="AL19" s="21">
        <v>31100</v>
      </c>
      <c r="AM19" s="19">
        <v>6220</v>
      </c>
      <c r="AO19" s="20" t="s">
        <v>121</v>
      </c>
      <c r="AP19" s="18" t="s">
        <v>122</v>
      </c>
      <c r="AQ19" s="18" t="s">
        <v>123</v>
      </c>
      <c r="AR19" s="21">
        <v>1</v>
      </c>
      <c r="AS19" s="18" t="s">
        <v>5</v>
      </c>
      <c r="AT19" s="21">
        <v>5000</v>
      </c>
      <c r="AU19" s="19">
        <v>5000</v>
      </c>
      <c r="AW19" s="20" t="s">
        <v>121</v>
      </c>
      <c r="AX19" s="18" t="s">
        <v>122</v>
      </c>
      <c r="AY19" s="18" t="s">
        <v>123</v>
      </c>
      <c r="AZ19" s="21">
        <v>1</v>
      </c>
      <c r="BA19" s="18" t="s">
        <v>5</v>
      </c>
      <c r="BB19" s="21">
        <v>5000</v>
      </c>
      <c r="BC19" s="19">
        <v>5000</v>
      </c>
    </row>
    <row r="20" spans="1:55" x14ac:dyDescent="0.35">
      <c r="A20" s="38" t="str">
        <v>STA00109</v>
      </c>
      <c r="B20" s="31" t="str">
        <f t="shared" si="0"/>
        <v>STOCK CARD</v>
      </c>
      <c r="C20" s="31" t="str">
        <f t="shared" si="1"/>
        <v>STATIONARY AND OFFICE SUPPLIES</v>
      </c>
      <c r="D20" s="39" t="str">
        <f t="shared" si="2"/>
        <v>pack</v>
      </c>
      <c r="E20" s="47">
        <f t="shared" si="3"/>
        <v>16250</v>
      </c>
      <c r="F20" s="48">
        <f t="shared" si="4"/>
        <v>1.5</v>
      </c>
      <c r="G20" s="48">
        <f t="shared" si="5"/>
        <v>1</v>
      </c>
      <c r="H20" s="48">
        <f t="shared" si="6"/>
        <v>-0.5</v>
      </c>
      <c r="I20" s="40">
        <f t="shared" si="7"/>
        <v>-8125</v>
      </c>
      <c r="J20" s="39" t="str">
        <f t="shared" si="8"/>
        <v>Penurunan IU</v>
      </c>
      <c r="K20" s="71" t="s">
        <v>1038</v>
      </c>
      <c r="O20" s="20">
        <v>8</v>
      </c>
      <c r="P20" t="s">
        <v>23</v>
      </c>
      <c r="Q20" t="s">
        <v>24</v>
      </c>
      <c r="R20" t="s">
        <v>4</v>
      </c>
      <c r="S20" s="10">
        <v>59</v>
      </c>
      <c r="T20" t="s">
        <v>25</v>
      </c>
      <c r="U20" s="10">
        <v>17760</v>
      </c>
      <c r="V20" s="19">
        <v>1047840</v>
      </c>
      <c r="X20" s="20" t="s">
        <v>327</v>
      </c>
      <c r="Y20" t="s">
        <v>328</v>
      </c>
      <c r="Z20" t="s">
        <v>67</v>
      </c>
      <c r="AA20" s="10">
        <v>7</v>
      </c>
      <c r="AB20" t="s">
        <v>5</v>
      </c>
      <c r="AC20" s="10">
        <v>6250</v>
      </c>
      <c r="AD20" s="19">
        <v>43750</v>
      </c>
      <c r="AF20" s="20">
        <v>8</v>
      </c>
      <c r="AG20" s="18" t="s">
        <v>85</v>
      </c>
      <c r="AH20" s="18" t="s">
        <v>86</v>
      </c>
      <c r="AI20" s="18" t="s">
        <v>67</v>
      </c>
      <c r="AJ20" s="21">
        <v>0.1</v>
      </c>
      <c r="AK20" s="18" t="s">
        <v>87</v>
      </c>
      <c r="AL20" s="21">
        <v>16792.6829</v>
      </c>
      <c r="AM20" s="19">
        <v>1679.26829</v>
      </c>
      <c r="AO20" s="20" t="s">
        <v>124</v>
      </c>
      <c r="AP20" s="18" t="s">
        <v>125</v>
      </c>
      <c r="AQ20" s="18" t="s">
        <v>123</v>
      </c>
      <c r="AR20" s="21">
        <v>14</v>
      </c>
      <c r="AS20" s="18" t="s">
        <v>5</v>
      </c>
      <c r="AT20" s="21">
        <v>5606.6450999999997</v>
      </c>
      <c r="AU20" s="19">
        <v>78493.031400000007</v>
      </c>
      <c r="AW20" s="20" t="s">
        <v>124</v>
      </c>
      <c r="AX20" s="18" t="s">
        <v>125</v>
      </c>
      <c r="AY20" s="18" t="s">
        <v>123</v>
      </c>
      <c r="AZ20" s="21">
        <v>14</v>
      </c>
      <c r="BA20" s="18" t="s">
        <v>5</v>
      </c>
      <c r="BB20" s="21">
        <v>5606.6450999999997</v>
      </c>
      <c r="BC20" s="19">
        <v>78493.031400000007</v>
      </c>
    </row>
    <row r="21" spans="1:55" x14ac:dyDescent="0.35">
      <c r="A21" s="38" t="str">
        <v>MKT00032</v>
      </c>
      <c r="B21" s="31" t="str">
        <f t="shared" si="0"/>
        <v>FLYER A5</v>
      </c>
      <c r="C21" s="31" t="str">
        <f t="shared" si="1"/>
        <v>MARKETING</v>
      </c>
      <c r="D21" s="39" t="str">
        <f t="shared" si="2"/>
        <v>lembar</v>
      </c>
      <c r="E21" s="47">
        <f t="shared" si="3"/>
        <v>626.74</v>
      </c>
      <c r="F21" s="48">
        <f t="shared" si="4"/>
        <v>900</v>
      </c>
      <c r="G21" s="48">
        <f t="shared" si="5"/>
        <v>2127</v>
      </c>
      <c r="H21" s="48">
        <f t="shared" si="6"/>
        <v>1227</v>
      </c>
      <c r="I21" s="40">
        <f t="shared" si="7"/>
        <v>769009.98</v>
      </c>
      <c r="J21" s="39" t="str">
        <f t="shared" si="8"/>
        <v>Kenaikan IU</v>
      </c>
      <c r="K21" s="71" t="s">
        <v>1038</v>
      </c>
      <c r="O21" s="20">
        <v>9</v>
      </c>
      <c r="P21" t="s">
        <v>28</v>
      </c>
      <c r="Q21" t="s">
        <v>29</v>
      </c>
      <c r="R21" t="s">
        <v>4</v>
      </c>
      <c r="S21" s="10">
        <v>19</v>
      </c>
      <c r="T21" t="s">
        <v>30</v>
      </c>
      <c r="U21" s="10">
        <v>19760</v>
      </c>
      <c r="V21" s="19">
        <v>375440</v>
      </c>
      <c r="X21" s="20" t="s">
        <v>90</v>
      </c>
      <c r="Y21" t="s">
        <v>91</v>
      </c>
      <c r="Z21" t="s">
        <v>67</v>
      </c>
      <c r="AA21" s="10">
        <v>2</v>
      </c>
      <c r="AB21" t="s">
        <v>5</v>
      </c>
      <c r="AC21" s="10">
        <v>6250</v>
      </c>
      <c r="AD21" s="19">
        <v>12500</v>
      </c>
      <c r="AF21" s="20">
        <v>9</v>
      </c>
      <c r="AG21" s="18" t="s">
        <v>242</v>
      </c>
      <c r="AH21" s="18" t="s">
        <v>243</v>
      </c>
      <c r="AI21" s="18" t="s">
        <v>67</v>
      </c>
      <c r="AJ21" s="21">
        <v>0.1</v>
      </c>
      <c r="AK21" s="18" t="s">
        <v>87</v>
      </c>
      <c r="AL21" s="21">
        <v>14500</v>
      </c>
      <c r="AM21" s="19">
        <v>1450</v>
      </c>
      <c r="AO21" s="20" t="s">
        <v>126</v>
      </c>
      <c r="AP21" s="18" t="s">
        <v>127</v>
      </c>
      <c r="AQ21" s="18" t="s">
        <v>123</v>
      </c>
      <c r="AR21" s="21">
        <v>20</v>
      </c>
      <c r="AS21" s="18" t="s">
        <v>5</v>
      </c>
      <c r="AT21" s="21">
        <v>6822.1023999999998</v>
      </c>
      <c r="AU21" s="19">
        <v>136442.04800000001</v>
      </c>
      <c r="AW21" s="20" t="s">
        <v>126</v>
      </c>
      <c r="AX21" s="18" t="s">
        <v>127</v>
      </c>
      <c r="AY21" s="18" t="s">
        <v>123</v>
      </c>
      <c r="AZ21" s="21">
        <v>20</v>
      </c>
      <c r="BA21" s="18" t="s">
        <v>5</v>
      </c>
      <c r="BB21" s="21">
        <v>6822.1023999999998</v>
      </c>
      <c r="BC21" s="19">
        <v>136442.04800000001</v>
      </c>
    </row>
    <row r="22" spans="1:55" x14ac:dyDescent="0.35">
      <c r="A22" s="38" t="str">
        <v>MKT00048</v>
      </c>
      <c r="B22" s="31" t="str">
        <f t="shared" si="0"/>
        <v>VOUCHER 50000 HANGUKSU</v>
      </c>
      <c r="C22" s="31" t="str">
        <f t="shared" si="1"/>
        <v>MARKETING</v>
      </c>
      <c r="D22" s="39" t="str">
        <f t="shared" si="2"/>
        <v>pcs</v>
      </c>
      <c r="E22" s="47">
        <f t="shared" si="3"/>
        <v>500</v>
      </c>
      <c r="F22" s="48" t="str">
        <f t="shared" si="4"/>
        <v>0</v>
      </c>
      <c r="G22" s="48">
        <f t="shared" si="5"/>
        <v>415</v>
      </c>
      <c r="H22" s="48">
        <f t="shared" si="6"/>
        <v>415</v>
      </c>
      <c r="I22" s="40">
        <f t="shared" si="7"/>
        <v>207500</v>
      </c>
      <c r="J22" s="39" t="str">
        <f t="shared" si="8"/>
        <v>Kenaikan IU</v>
      </c>
      <c r="K22" s="71" t="s">
        <v>1038</v>
      </c>
      <c r="O22" s="20">
        <v>10</v>
      </c>
      <c r="P22" t="s">
        <v>33</v>
      </c>
      <c r="Q22" t="s">
        <v>34</v>
      </c>
      <c r="R22" t="s">
        <v>4</v>
      </c>
      <c r="S22" s="10">
        <v>37</v>
      </c>
      <c r="T22" t="s">
        <v>30</v>
      </c>
      <c r="U22" s="10">
        <v>13000</v>
      </c>
      <c r="V22" s="19">
        <v>481000</v>
      </c>
      <c r="X22" s="20" t="s">
        <v>516</v>
      </c>
      <c r="Y22" t="s">
        <v>517</v>
      </c>
      <c r="Z22" t="s">
        <v>67</v>
      </c>
      <c r="AA22" s="10">
        <v>1</v>
      </c>
      <c r="AB22" t="s">
        <v>5</v>
      </c>
      <c r="AC22" s="10">
        <v>10000</v>
      </c>
      <c r="AD22" s="19">
        <v>10000</v>
      </c>
      <c r="AF22" s="20">
        <v>10</v>
      </c>
      <c r="AG22" s="18" t="s">
        <v>246</v>
      </c>
      <c r="AH22" s="18" t="s">
        <v>247</v>
      </c>
      <c r="AI22" s="18" t="s">
        <v>67</v>
      </c>
      <c r="AJ22" s="21">
        <v>1</v>
      </c>
      <c r="AK22" s="18" t="s">
        <v>5</v>
      </c>
      <c r="AL22" s="21">
        <v>1400</v>
      </c>
      <c r="AM22" s="19">
        <v>1400</v>
      </c>
      <c r="AO22" s="20" t="s">
        <v>128</v>
      </c>
      <c r="AP22" s="18" t="s">
        <v>129</v>
      </c>
      <c r="AQ22" s="18" t="s">
        <v>123</v>
      </c>
      <c r="AR22" s="21">
        <v>2</v>
      </c>
      <c r="AS22" s="18" t="s">
        <v>74</v>
      </c>
      <c r="AT22" s="21">
        <v>142062.4143</v>
      </c>
      <c r="AU22" s="19">
        <v>284124.82860000001</v>
      </c>
      <c r="AW22" s="20" t="s">
        <v>128</v>
      </c>
      <c r="AX22" s="18" t="s">
        <v>129</v>
      </c>
      <c r="AY22" s="18" t="s">
        <v>123</v>
      </c>
      <c r="AZ22" s="21">
        <v>2</v>
      </c>
      <c r="BA22" s="18" t="s">
        <v>74</v>
      </c>
      <c r="BB22" s="21">
        <v>142062.4143</v>
      </c>
      <c r="BC22" s="19">
        <v>284124.82860000001</v>
      </c>
    </row>
    <row r="23" spans="1:55" x14ac:dyDescent="0.35">
      <c r="A23" s="38" t="str">
        <v>NCG00018</v>
      </c>
      <c r="B23" s="31" t="str">
        <f t="shared" si="0"/>
        <v>SARUNG TANGAN PELASTIK</v>
      </c>
      <c r="C23" s="31" t="str">
        <f t="shared" si="1"/>
        <v>NCG</v>
      </c>
      <c r="D23" s="39" t="str">
        <f t="shared" si="2"/>
        <v>pack</v>
      </c>
      <c r="E23" s="47">
        <f t="shared" si="3"/>
        <v>5000</v>
      </c>
      <c r="F23" s="48">
        <f t="shared" si="4"/>
        <v>5</v>
      </c>
      <c r="G23" s="48">
        <f t="shared" si="5"/>
        <v>1</v>
      </c>
      <c r="H23" s="48">
        <f t="shared" si="6"/>
        <v>-4</v>
      </c>
      <c r="I23" s="40">
        <f t="shared" si="7"/>
        <v>-20000</v>
      </c>
      <c r="J23" s="39" t="str">
        <f t="shared" si="8"/>
        <v>Penurunan IU</v>
      </c>
      <c r="K23" s="71" t="s">
        <v>1039</v>
      </c>
      <c r="O23" s="20">
        <v>11</v>
      </c>
      <c r="P23" t="s">
        <v>50</v>
      </c>
      <c r="Q23" t="s">
        <v>51</v>
      </c>
      <c r="R23" t="s">
        <v>41</v>
      </c>
      <c r="S23" s="10">
        <v>6</v>
      </c>
      <c r="T23" t="s">
        <v>52</v>
      </c>
      <c r="U23" s="10">
        <v>20500</v>
      </c>
      <c r="V23" s="19">
        <v>123000</v>
      </c>
      <c r="X23" s="20" t="s">
        <v>92</v>
      </c>
      <c r="Y23" t="s">
        <v>93</v>
      </c>
      <c r="Z23" t="s">
        <v>67</v>
      </c>
      <c r="AA23" s="10">
        <v>66</v>
      </c>
      <c r="AB23" t="s">
        <v>94</v>
      </c>
      <c r="AC23" s="10">
        <v>11800</v>
      </c>
      <c r="AD23" s="19">
        <v>778800</v>
      </c>
      <c r="AF23" s="20">
        <v>11</v>
      </c>
      <c r="AG23" s="18" t="s">
        <v>327</v>
      </c>
      <c r="AH23" s="18" t="s">
        <v>328</v>
      </c>
      <c r="AI23" s="18" t="s">
        <v>67</v>
      </c>
      <c r="AJ23" s="21">
        <v>2</v>
      </c>
      <c r="AK23" s="18" t="s">
        <v>5</v>
      </c>
      <c r="AL23" s="21">
        <v>5861.1111000000001</v>
      </c>
      <c r="AM23" s="19">
        <v>11722.2222</v>
      </c>
      <c r="AO23" s="20" t="s">
        <v>130</v>
      </c>
      <c r="AP23" s="18" t="s">
        <v>131</v>
      </c>
      <c r="AQ23" s="18" t="s">
        <v>123</v>
      </c>
      <c r="AR23" s="21">
        <v>30</v>
      </c>
      <c r="AS23" s="18" t="s">
        <v>5</v>
      </c>
      <c r="AT23" s="21">
        <v>6354.5238999999992</v>
      </c>
      <c r="AU23" s="19">
        <v>190635.717</v>
      </c>
      <c r="AW23" s="20" t="s">
        <v>130</v>
      </c>
      <c r="AX23" s="18" t="s">
        <v>131</v>
      </c>
      <c r="AY23" s="18" t="s">
        <v>123</v>
      </c>
      <c r="AZ23" s="21">
        <v>30</v>
      </c>
      <c r="BA23" s="18" t="s">
        <v>5</v>
      </c>
      <c r="BB23" s="21">
        <v>6354.5238999999992</v>
      </c>
      <c r="BC23" s="19">
        <v>190635.717</v>
      </c>
    </row>
    <row r="24" spans="1:55" x14ac:dyDescent="0.35">
      <c r="A24" s="38" t="str">
        <v>NCGK0001</v>
      </c>
      <c r="B24" s="31" t="str">
        <f t="shared" si="0"/>
        <v>PLASTIK PE 2 KG 20 x 35 (Kitchen)</v>
      </c>
      <c r="C24" s="31" t="str">
        <f t="shared" si="1"/>
        <v>NCG</v>
      </c>
      <c r="D24" s="39" t="str">
        <f t="shared" si="2"/>
        <v>pack</v>
      </c>
      <c r="E24" s="47">
        <f t="shared" si="3"/>
        <v>5606.6450999999997</v>
      </c>
      <c r="F24" s="48">
        <f t="shared" si="4"/>
        <v>20</v>
      </c>
      <c r="G24" s="48">
        <f t="shared" si="5"/>
        <v>14</v>
      </c>
      <c r="H24" s="48">
        <f t="shared" si="6"/>
        <v>-6</v>
      </c>
      <c r="I24" s="40">
        <f t="shared" si="7"/>
        <v>-33639.870599999995</v>
      </c>
      <c r="J24" s="39" t="str">
        <f t="shared" si="8"/>
        <v>Penurunan IU</v>
      </c>
      <c r="K24" s="71" t="s">
        <v>1040</v>
      </c>
      <c r="O24" s="20">
        <v>12</v>
      </c>
      <c r="P24" t="s">
        <v>306</v>
      </c>
      <c r="Q24" t="s">
        <v>307</v>
      </c>
      <c r="R24" t="s">
        <v>41</v>
      </c>
      <c r="S24" s="10">
        <v>1</v>
      </c>
      <c r="T24" t="s">
        <v>20</v>
      </c>
      <c r="U24" s="10">
        <v>7612.5015000000003</v>
      </c>
      <c r="V24" s="19">
        <v>7612.5015000000003</v>
      </c>
      <c r="X24" s="20" t="s">
        <v>518</v>
      </c>
      <c r="Y24" t="s">
        <v>519</v>
      </c>
      <c r="Z24" t="s">
        <v>67</v>
      </c>
      <c r="AA24" s="10">
        <v>1</v>
      </c>
      <c r="AB24" t="s">
        <v>98</v>
      </c>
      <c r="AC24" s="10">
        <v>18000</v>
      </c>
      <c r="AD24" s="19">
        <v>18000</v>
      </c>
      <c r="AF24" s="20">
        <v>12</v>
      </c>
      <c r="AG24" s="18" t="s">
        <v>90</v>
      </c>
      <c r="AH24" s="18" t="s">
        <v>91</v>
      </c>
      <c r="AI24" s="18" t="s">
        <v>67</v>
      </c>
      <c r="AJ24" s="21">
        <v>2</v>
      </c>
      <c r="AK24" s="18" t="s">
        <v>5</v>
      </c>
      <c r="AL24" s="21">
        <v>6139.4736999999996</v>
      </c>
      <c r="AM24" s="19">
        <v>12278.947399999999</v>
      </c>
      <c r="AO24" s="20" t="s">
        <v>132</v>
      </c>
      <c r="AP24" s="18" t="s">
        <v>133</v>
      </c>
      <c r="AQ24" s="18" t="s">
        <v>123</v>
      </c>
      <c r="AR24" s="21">
        <v>54</v>
      </c>
      <c r="AS24" s="18" t="s">
        <v>134</v>
      </c>
      <c r="AT24" s="21">
        <v>12999.9943</v>
      </c>
      <c r="AU24" s="19">
        <v>701999.69220000005</v>
      </c>
      <c r="AW24" s="20" t="s">
        <v>132</v>
      </c>
      <c r="AX24" s="18" t="s">
        <v>133</v>
      </c>
      <c r="AY24" s="18" t="s">
        <v>123</v>
      </c>
      <c r="AZ24" s="21">
        <v>54</v>
      </c>
      <c r="BA24" s="18" t="s">
        <v>134</v>
      </c>
      <c r="BB24" s="21">
        <v>12999.9943</v>
      </c>
      <c r="BC24" s="19">
        <v>701999.69220000005</v>
      </c>
    </row>
    <row r="25" spans="1:55" x14ac:dyDescent="0.35">
      <c r="A25" s="38" t="str">
        <v>NCGK0003</v>
      </c>
      <c r="B25" s="31" t="str">
        <f t="shared" si="0"/>
        <v>PLASTIK PE 1 KG 15 x 30</v>
      </c>
      <c r="C25" s="31" t="str">
        <f t="shared" si="1"/>
        <v>NCG</v>
      </c>
      <c r="D25" s="39" t="str">
        <f t="shared" si="2"/>
        <v>pack</v>
      </c>
      <c r="E25" s="47">
        <f t="shared" si="3"/>
        <v>6822.1023999999998</v>
      </c>
      <c r="F25" s="48">
        <f t="shared" si="4"/>
        <v>8</v>
      </c>
      <c r="G25" s="48">
        <f t="shared" si="5"/>
        <v>20</v>
      </c>
      <c r="H25" s="48">
        <f t="shared" si="6"/>
        <v>12</v>
      </c>
      <c r="I25" s="40">
        <f t="shared" si="7"/>
        <v>81865.228799999997</v>
      </c>
      <c r="J25" s="39" t="str">
        <f t="shared" si="8"/>
        <v>Kenaikan IU</v>
      </c>
      <c r="K25" s="71" t="s">
        <v>1030</v>
      </c>
      <c r="O25" s="20">
        <v>13</v>
      </c>
      <c r="P25" t="s">
        <v>53</v>
      </c>
      <c r="Q25" t="s">
        <v>54</v>
      </c>
      <c r="R25" t="s">
        <v>41</v>
      </c>
      <c r="S25" s="10">
        <v>39</v>
      </c>
      <c r="T25" t="s">
        <v>20</v>
      </c>
      <c r="U25" s="10">
        <v>2283.2564000000002</v>
      </c>
      <c r="V25" s="19">
        <v>89046.999599999996</v>
      </c>
      <c r="X25" s="20" t="s">
        <v>520</v>
      </c>
      <c r="Y25" t="s">
        <v>521</v>
      </c>
      <c r="Z25" t="s">
        <v>67</v>
      </c>
      <c r="AA25" s="10">
        <v>1</v>
      </c>
      <c r="AB25" t="s">
        <v>5</v>
      </c>
      <c r="AC25" s="10">
        <v>10000</v>
      </c>
      <c r="AD25" s="19">
        <v>10000</v>
      </c>
      <c r="AF25" s="20">
        <v>13</v>
      </c>
      <c r="AG25" s="18" t="s">
        <v>92</v>
      </c>
      <c r="AH25" s="18" t="s">
        <v>93</v>
      </c>
      <c r="AI25" s="18" t="s">
        <v>67</v>
      </c>
      <c r="AJ25" s="21">
        <v>21</v>
      </c>
      <c r="AK25" s="18" t="s">
        <v>94</v>
      </c>
      <c r="AL25" s="21">
        <v>11800</v>
      </c>
      <c r="AM25" s="19">
        <v>247800</v>
      </c>
      <c r="AO25" s="20" t="s">
        <v>135</v>
      </c>
      <c r="AP25" s="18" t="s">
        <v>136</v>
      </c>
      <c r="AQ25" s="18" t="s">
        <v>123</v>
      </c>
      <c r="AR25" s="21">
        <v>26</v>
      </c>
      <c r="AS25" s="18" t="s">
        <v>5</v>
      </c>
      <c r="AT25" s="21">
        <v>5693.1962000000003</v>
      </c>
      <c r="AU25" s="19">
        <v>148023.1012</v>
      </c>
      <c r="AW25" s="20" t="s">
        <v>135</v>
      </c>
      <c r="AX25" s="18" t="s">
        <v>136</v>
      </c>
      <c r="AY25" s="18" t="s">
        <v>123</v>
      </c>
      <c r="AZ25" s="21">
        <v>26</v>
      </c>
      <c r="BA25" s="18" t="s">
        <v>5</v>
      </c>
      <c r="BB25" s="21">
        <v>5693.1962000000003</v>
      </c>
      <c r="BC25" s="19">
        <v>148023.1012</v>
      </c>
    </row>
    <row r="26" spans="1:55" x14ac:dyDescent="0.35">
      <c r="A26" s="38" t="str">
        <v>NCGK0005</v>
      </c>
      <c r="B26" s="31" t="str">
        <f t="shared" si="0"/>
        <v>CLING WRAP 45 x 50 @ 6 ROLL</v>
      </c>
      <c r="C26" s="31" t="str">
        <f t="shared" si="1"/>
        <v>NCG</v>
      </c>
      <c r="D26" s="39" t="str">
        <f t="shared" si="2"/>
        <v>roll</v>
      </c>
      <c r="E26" s="47">
        <f t="shared" si="3"/>
        <v>142062.4143</v>
      </c>
      <c r="F26" s="48">
        <f t="shared" si="4"/>
        <v>6</v>
      </c>
      <c r="G26" s="48">
        <f t="shared" si="5"/>
        <v>2</v>
      </c>
      <c r="H26" s="48">
        <f t="shared" si="6"/>
        <v>-4</v>
      </c>
      <c r="I26" s="40">
        <f t="shared" si="7"/>
        <v>-568249.65720000002</v>
      </c>
      <c r="J26" s="39" t="str">
        <f t="shared" si="8"/>
        <v>Penurunan IU</v>
      </c>
      <c r="K26" s="71" t="s">
        <v>1041</v>
      </c>
      <c r="O26" s="20">
        <v>14</v>
      </c>
      <c r="P26" t="s">
        <v>453</v>
      </c>
      <c r="Q26" t="s">
        <v>454</v>
      </c>
      <c r="R26" t="s">
        <v>41</v>
      </c>
      <c r="S26" s="10">
        <v>6</v>
      </c>
      <c r="T26" t="s">
        <v>267</v>
      </c>
      <c r="U26" s="10">
        <v>20478.39718</v>
      </c>
      <c r="V26" s="19">
        <v>122870.38308</v>
      </c>
      <c r="X26" s="20" t="s">
        <v>102</v>
      </c>
      <c r="Y26" t="s">
        <v>103</v>
      </c>
      <c r="Z26" t="s">
        <v>67</v>
      </c>
      <c r="AA26" s="10">
        <v>1</v>
      </c>
      <c r="AB26" t="s">
        <v>87</v>
      </c>
      <c r="AC26" s="10">
        <v>8000</v>
      </c>
      <c r="AD26" s="19">
        <v>8000</v>
      </c>
      <c r="AF26" s="20">
        <v>14</v>
      </c>
      <c r="AG26" s="18" t="s">
        <v>100</v>
      </c>
      <c r="AH26" s="18" t="s">
        <v>101</v>
      </c>
      <c r="AI26" s="18" t="s">
        <v>67</v>
      </c>
      <c r="AJ26" s="21">
        <v>1</v>
      </c>
      <c r="AK26" s="18" t="s">
        <v>87</v>
      </c>
      <c r="AL26" s="21">
        <v>8344.2489999999998</v>
      </c>
      <c r="AM26" s="19">
        <v>8344.2489999999998</v>
      </c>
      <c r="AO26" s="20" t="s">
        <v>137</v>
      </c>
      <c r="AP26" s="18" t="s">
        <v>138</v>
      </c>
      <c r="AQ26" s="18" t="s">
        <v>123</v>
      </c>
      <c r="AR26" s="21">
        <v>21</v>
      </c>
      <c r="AS26" s="18" t="s">
        <v>5</v>
      </c>
      <c r="AT26" s="21">
        <v>16078.4702</v>
      </c>
      <c r="AU26" s="19">
        <v>337647.87420000002</v>
      </c>
      <c r="AW26" s="20" t="s">
        <v>137</v>
      </c>
      <c r="AX26" s="18" t="s">
        <v>138</v>
      </c>
      <c r="AY26" s="18" t="s">
        <v>123</v>
      </c>
      <c r="AZ26" s="21">
        <v>21</v>
      </c>
      <c r="BA26" s="18" t="s">
        <v>5</v>
      </c>
      <c r="BB26" s="21">
        <v>16078.4702</v>
      </c>
      <c r="BC26" s="19">
        <v>337647.87420000002</v>
      </c>
    </row>
    <row r="27" spans="1:55" x14ac:dyDescent="0.35">
      <c r="A27" s="38" t="str">
        <v>NCGK0006</v>
      </c>
      <c r="B27" s="31" t="str">
        <f t="shared" si="0"/>
        <v>TISSUE SEE-U HANDTOWELS @ 20 PACK</v>
      </c>
      <c r="C27" s="31" t="str">
        <f t="shared" si="1"/>
        <v>NCG</v>
      </c>
      <c r="D27" s="39" t="str">
        <f t="shared" si="2"/>
        <v>pack</v>
      </c>
      <c r="E27" s="47">
        <f t="shared" si="3"/>
        <v>6354.5238999999992</v>
      </c>
      <c r="F27" s="48">
        <f t="shared" si="4"/>
        <v>72</v>
      </c>
      <c r="G27" s="48">
        <f t="shared" si="5"/>
        <v>30</v>
      </c>
      <c r="H27" s="48">
        <f t="shared" si="6"/>
        <v>-42</v>
      </c>
      <c r="I27" s="40">
        <f t="shared" si="7"/>
        <v>-266890.00379999995</v>
      </c>
      <c r="J27" s="39" t="str">
        <f t="shared" si="8"/>
        <v>Penurunan IU</v>
      </c>
      <c r="K27" s="71" t="s">
        <v>1038</v>
      </c>
      <c r="O27" s="20">
        <v>15</v>
      </c>
      <c r="P27" t="s">
        <v>407</v>
      </c>
      <c r="Q27" t="s">
        <v>408</v>
      </c>
      <c r="R27" t="s">
        <v>41</v>
      </c>
      <c r="S27" s="10">
        <v>3</v>
      </c>
      <c r="T27" t="s">
        <v>267</v>
      </c>
      <c r="U27" s="10">
        <v>35390.564100000003</v>
      </c>
      <c r="V27" s="19">
        <v>106171.6923</v>
      </c>
      <c r="X27" s="20" t="s">
        <v>628</v>
      </c>
      <c r="Y27" t="s">
        <v>629</v>
      </c>
      <c r="Z27" t="s">
        <v>67</v>
      </c>
      <c r="AA27" s="10">
        <v>1</v>
      </c>
      <c r="AB27" t="s">
        <v>20</v>
      </c>
      <c r="AC27" s="10">
        <v>28500</v>
      </c>
      <c r="AD27" s="19">
        <v>28500</v>
      </c>
      <c r="AF27" s="20">
        <v>15</v>
      </c>
      <c r="AG27" s="18" t="s">
        <v>107</v>
      </c>
      <c r="AH27" s="18" t="s">
        <v>108</v>
      </c>
      <c r="AI27" s="18" t="s">
        <v>67</v>
      </c>
      <c r="AJ27" s="18">
        <v>1</v>
      </c>
      <c r="AK27" s="18" t="s">
        <v>5</v>
      </c>
      <c r="AL27" s="18">
        <v>16250</v>
      </c>
      <c r="AM27" s="19">
        <v>16250</v>
      </c>
      <c r="AO27" s="20" t="s">
        <v>139</v>
      </c>
      <c r="AP27" s="18" t="s">
        <v>140</v>
      </c>
      <c r="AQ27" s="18" t="s">
        <v>123</v>
      </c>
      <c r="AR27" s="21">
        <v>20</v>
      </c>
      <c r="AS27" s="18" t="s">
        <v>5</v>
      </c>
      <c r="AT27" s="21">
        <v>42903.1463</v>
      </c>
      <c r="AU27" s="19">
        <v>858062.92599999998</v>
      </c>
      <c r="AW27" s="20" t="s">
        <v>139</v>
      </c>
      <c r="AX27" s="18" t="s">
        <v>140</v>
      </c>
      <c r="AY27" s="18" t="s">
        <v>123</v>
      </c>
      <c r="AZ27" s="21">
        <v>20</v>
      </c>
      <c r="BA27" s="18" t="s">
        <v>5</v>
      </c>
      <c r="BB27" s="21">
        <v>42903.1463</v>
      </c>
      <c r="BC27" s="19">
        <v>858062.92599999998</v>
      </c>
    </row>
    <row r="28" spans="1:55" ht="15" thickBot="1" x14ac:dyDescent="0.4">
      <c r="A28" s="38" t="str">
        <v>NCGK0007</v>
      </c>
      <c r="B28" s="31" t="str">
        <f t="shared" si="0"/>
        <v>GAS BUTANE PORTABLE PURITY 230G @24 CAN</v>
      </c>
      <c r="C28" s="31" t="str">
        <f t="shared" si="1"/>
        <v>NCG</v>
      </c>
      <c r="D28" s="39" t="str">
        <f t="shared" si="2"/>
        <v>can</v>
      </c>
      <c r="E28" s="47">
        <f t="shared" si="3"/>
        <v>12999.9943</v>
      </c>
      <c r="F28" s="48">
        <f t="shared" si="4"/>
        <v>16</v>
      </c>
      <c r="G28" s="48">
        <f t="shared" si="5"/>
        <v>54</v>
      </c>
      <c r="H28" s="48">
        <f t="shared" si="6"/>
        <v>38</v>
      </c>
      <c r="I28" s="40">
        <f t="shared" si="7"/>
        <v>493999.78340000001</v>
      </c>
      <c r="J28" s="39" t="str">
        <f t="shared" si="8"/>
        <v>Kenaikan IU</v>
      </c>
      <c r="K28" s="71" t="s">
        <v>1042</v>
      </c>
      <c r="O28" s="20">
        <v>16</v>
      </c>
      <c r="P28" t="s">
        <v>613</v>
      </c>
      <c r="Q28" t="s">
        <v>614</v>
      </c>
      <c r="R28" t="s">
        <v>41</v>
      </c>
      <c r="S28" s="10">
        <v>1</v>
      </c>
      <c r="T28" t="s">
        <v>267</v>
      </c>
      <c r="U28" s="10">
        <v>149000</v>
      </c>
      <c r="V28" s="19">
        <v>149000</v>
      </c>
      <c r="X28" s="20" t="s">
        <v>256</v>
      </c>
      <c r="Y28" t="s">
        <v>257</v>
      </c>
      <c r="Z28" t="s">
        <v>67</v>
      </c>
      <c r="AA28" s="10">
        <v>3</v>
      </c>
      <c r="AB28" t="s">
        <v>20</v>
      </c>
      <c r="AC28" s="10">
        <v>4043.4778000000001</v>
      </c>
      <c r="AD28" s="19">
        <v>12130.4334</v>
      </c>
      <c r="AF28" s="22" t="s">
        <v>223</v>
      </c>
      <c r="AG28" s="23" t="s">
        <v>223</v>
      </c>
      <c r="AH28" s="23" t="s">
        <v>223</v>
      </c>
      <c r="AI28" s="23" t="s">
        <v>223</v>
      </c>
      <c r="AJ28" s="23" t="s">
        <v>223</v>
      </c>
      <c r="AK28" s="23" t="s">
        <v>223</v>
      </c>
      <c r="AL28" s="23" t="s">
        <v>224</v>
      </c>
      <c r="AM28" s="24">
        <v>357107.45899000001</v>
      </c>
      <c r="AO28" s="20" t="s">
        <v>141</v>
      </c>
      <c r="AP28" s="18" t="s">
        <v>142</v>
      </c>
      <c r="AQ28" s="18" t="s">
        <v>123</v>
      </c>
      <c r="AR28" s="21">
        <v>8</v>
      </c>
      <c r="AS28" s="18" t="s">
        <v>5</v>
      </c>
      <c r="AT28" s="21">
        <v>42180.911</v>
      </c>
      <c r="AU28" s="19">
        <v>337447.288</v>
      </c>
      <c r="AW28" s="20" t="s">
        <v>141</v>
      </c>
      <c r="AX28" s="18" t="s">
        <v>142</v>
      </c>
      <c r="AY28" s="18" t="s">
        <v>123</v>
      </c>
      <c r="AZ28" s="21">
        <v>8</v>
      </c>
      <c r="BA28" s="18" t="s">
        <v>5</v>
      </c>
      <c r="BB28" s="21">
        <v>42180.911</v>
      </c>
      <c r="BC28" s="19">
        <v>337447.288</v>
      </c>
    </row>
    <row r="29" spans="1:55" x14ac:dyDescent="0.35">
      <c r="A29" s="38" t="str">
        <v>NCGK0008</v>
      </c>
      <c r="B29" s="31" t="str">
        <f t="shared" si="0"/>
        <v>PLASTIK PE 1/4 KG 10x20</v>
      </c>
      <c r="C29" s="31" t="str">
        <f t="shared" si="1"/>
        <v>NCG</v>
      </c>
      <c r="D29" s="39" t="str">
        <f t="shared" si="2"/>
        <v>pack</v>
      </c>
      <c r="E29" s="47">
        <f t="shared" si="3"/>
        <v>5693.1962000000003</v>
      </c>
      <c r="F29" s="48">
        <f t="shared" si="4"/>
        <v>22</v>
      </c>
      <c r="G29" s="48">
        <f t="shared" si="5"/>
        <v>26</v>
      </c>
      <c r="H29" s="48">
        <f t="shared" si="6"/>
        <v>4</v>
      </c>
      <c r="I29" s="40">
        <f t="shared" si="7"/>
        <v>22772.784800000001</v>
      </c>
      <c r="J29" s="39" t="str">
        <f t="shared" si="8"/>
        <v>Kenaikan IU</v>
      </c>
      <c r="K29" s="71" t="s">
        <v>1043</v>
      </c>
      <c r="O29" s="20">
        <v>17</v>
      </c>
      <c r="P29" t="s">
        <v>801</v>
      </c>
      <c r="Q29" t="s">
        <v>802</v>
      </c>
      <c r="R29" t="s">
        <v>41</v>
      </c>
      <c r="S29" s="10">
        <v>6</v>
      </c>
      <c r="T29" t="s">
        <v>20</v>
      </c>
      <c r="U29" s="10">
        <v>7610.1579000000002</v>
      </c>
      <c r="V29" s="19">
        <v>45660.947399999997</v>
      </c>
      <c r="X29" s="20" t="s">
        <v>522</v>
      </c>
      <c r="Y29" t="s">
        <v>523</v>
      </c>
      <c r="Z29" t="s">
        <v>67</v>
      </c>
      <c r="AA29" s="10">
        <v>1.4</v>
      </c>
      <c r="AB29" t="s">
        <v>160</v>
      </c>
      <c r="AC29" s="10">
        <v>10500</v>
      </c>
      <c r="AD29" s="19">
        <v>14700</v>
      </c>
      <c r="AO29" s="20" t="s">
        <v>143</v>
      </c>
      <c r="AP29" s="18" t="s">
        <v>144</v>
      </c>
      <c r="AQ29" s="18" t="s">
        <v>123</v>
      </c>
      <c r="AR29" s="21">
        <v>0.3</v>
      </c>
      <c r="AS29" s="18" t="s">
        <v>5</v>
      </c>
      <c r="AT29" s="21">
        <v>25952.173900000002</v>
      </c>
      <c r="AU29" s="19">
        <v>7785.6521700000003</v>
      </c>
      <c r="AW29" s="20" t="s">
        <v>143</v>
      </c>
      <c r="AX29" s="18" t="s">
        <v>144</v>
      </c>
      <c r="AY29" s="18" t="s">
        <v>123</v>
      </c>
      <c r="AZ29" s="21">
        <v>0.3</v>
      </c>
      <c r="BA29" s="18" t="s">
        <v>5</v>
      </c>
      <c r="BB29" s="21">
        <v>25952.173900000002</v>
      </c>
      <c r="BC29" s="19">
        <v>7785.6521700000003</v>
      </c>
    </row>
    <row r="30" spans="1:55" ht="15" thickBot="1" x14ac:dyDescent="0.4">
      <c r="A30" s="38" t="str">
        <v>NCGK0009</v>
      </c>
      <c r="B30" s="31" t="str">
        <f t="shared" si="0"/>
        <v>PLASTIK PE 10 KG 40 x 60</v>
      </c>
      <c r="C30" s="31" t="str">
        <f t="shared" si="1"/>
        <v>NCG</v>
      </c>
      <c r="D30" s="39" t="str">
        <f t="shared" si="2"/>
        <v>pack</v>
      </c>
      <c r="E30" s="47">
        <f t="shared" si="3"/>
        <v>16078.4702</v>
      </c>
      <c r="F30" s="48">
        <f t="shared" si="4"/>
        <v>33</v>
      </c>
      <c r="G30" s="48">
        <f t="shared" si="5"/>
        <v>21</v>
      </c>
      <c r="H30" s="48">
        <f t="shared" si="6"/>
        <v>-12</v>
      </c>
      <c r="I30" s="40">
        <f t="shared" si="7"/>
        <v>-192941.64240000001</v>
      </c>
      <c r="J30" s="39" t="str">
        <f t="shared" si="8"/>
        <v>Penurunan IU</v>
      </c>
      <c r="K30" s="71" t="s">
        <v>1034</v>
      </c>
      <c r="O30" s="20">
        <v>18</v>
      </c>
      <c r="P30" t="s">
        <v>57</v>
      </c>
      <c r="Q30" t="s">
        <v>58</v>
      </c>
      <c r="R30" t="s">
        <v>41</v>
      </c>
      <c r="S30" s="10">
        <v>10</v>
      </c>
      <c r="T30" t="s">
        <v>5</v>
      </c>
      <c r="U30" s="10">
        <v>7685.5288</v>
      </c>
      <c r="V30" s="19">
        <v>76855.288</v>
      </c>
      <c r="X30" s="20" t="s">
        <v>107</v>
      </c>
      <c r="Y30" t="s">
        <v>108</v>
      </c>
      <c r="Z30" t="s">
        <v>67</v>
      </c>
      <c r="AA30" s="10">
        <v>1.5</v>
      </c>
      <c r="AB30" t="s">
        <v>5</v>
      </c>
      <c r="AC30" s="10">
        <v>16250</v>
      </c>
      <c r="AD30" s="19">
        <v>24375</v>
      </c>
      <c r="AO30" s="20" t="s">
        <v>905</v>
      </c>
      <c r="AP30" s="18" t="s">
        <v>906</v>
      </c>
      <c r="AQ30" s="18" t="s">
        <v>123</v>
      </c>
      <c r="AR30" s="21">
        <v>1</v>
      </c>
      <c r="AS30" s="18" t="s">
        <v>20</v>
      </c>
      <c r="AT30" s="21">
        <v>45950</v>
      </c>
      <c r="AU30" s="19">
        <v>45950</v>
      </c>
      <c r="AW30" s="20" t="s">
        <v>905</v>
      </c>
      <c r="AX30" s="18" t="s">
        <v>906</v>
      </c>
      <c r="AY30" s="18" t="s">
        <v>123</v>
      </c>
      <c r="AZ30" s="21">
        <v>1</v>
      </c>
      <c r="BA30" s="18" t="s">
        <v>20</v>
      </c>
      <c r="BB30" s="21">
        <v>45950</v>
      </c>
      <c r="BC30" s="19">
        <v>45950</v>
      </c>
    </row>
    <row r="31" spans="1:55" x14ac:dyDescent="0.35">
      <c r="A31" s="38" t="str">
        <v>NCGK0011</v>
      </c>
      <c r="B31" s="31" t="str">
        <f t="shared" si="0"/>
        <v>HAND GLOVES NITRILE SIZE M</v>
      </c>
      <c r="C31" s="31" t="str">
        <f t="shared" si="1"/>
        <v>NCG</v>
      </c>
      <c r="D31" s="39" t="str">
        <f t="shared" si="2"/>
        <v>pack</v>
      </c>
      <c r="E31" s="47">
        <f t="shared" si="3"/>
        <v>42903.1463</v>
      </c>
      <c r="F31" s="48">
        <f t="shared" si="4"/>
        <v>16</v>
      </c>
      <c r="G31" s="48">
        <f t="shared" si="5"/>
        <v>20</v>
      </c>
      <c r="H31" s="48">
        <f t="shared" si="6"/>
        <v>4</v>
      </c>
      <c r="I31" s="40">
        <f t="shared" si="7"/>
        <v>171612.5852</v>
      </c>
      <c r="J31" s="39" t="str">
        <f t="shared" si="8"/>
        <v>Kenaikan IU</v>
      </c>
      <c r="K31" s="71" t="s">
        <v>1034</v>
      </c>
      <c r="O31" s="20">
        <v>19</v>
      </c>
      <c r="P31" t="s">
        <v>59</v>
      </c>
      <c r="Q31" t="s">
        <v>60</v>
      </c>
      <c r="R31" t="s">
        <v>41</v>
      </c>
      <c r="S31" s="10">
        <v>31.5</v>
      </c>
      <c r="T31" t="s">
        <v>5</v>
      </c>
      <c r="U31" s="10">
        <v>7700</v>
      </c>
      <c r="V31" s="19">
        <v>242550</v>
      </c>
      <c r="X31" s="20" t="s">
        <v>630</v>
      </c>
      <c r="Y31" t="s">
        <v>631</v>
      </c>
      <c r="Z31" t="s">
        <v>67</v>
      </c>
      <c r="AA31" s="10">
        <v>22</v>
      </c>
      <c r="AB31" t="s">
        <v>20</v>
      </c>
      <c r="AC31" s="10">
        <v>5489.5833000000011</v>
      </c>
      <c r="AD31" s="19">
        <v>120770.83259999999</v>
      </c>
      <c r="AF31" s="84" t="s">
        <v>0</v>
      </c>
      <c r="AG31" s="85"/>
      <c r="AH31" s="85"/>
      <c r="AI31" s="85"/>
      <c r="AJ31" s="85"/>
      <c r="AK31" s="16"/>
      <c r="AL31" s="16"/>
      <c r="AM31" s="17"/>
      <c r="AO31" s="20" t="s">
        <v>145</v>
      </c>
      <c r="AP31" s="18" t="s">
        <v>146</v>
      </c>
      <c r="AQ31" s="18" t="s">
        <v>123</v>
      </c>
      <c r="AR31" s="21">
        <v>54</v>
      </c>
      <c r="AS31" s="18" t="s">
        <v>5</v>
      </c>
      <c r="AT31" s="21">
        <v>4604.1441000000004</v>
      </c>
      <c r="AU31" s="19">
        <v>248623.78140000001</v>
      </c>
      <c r="AW31" s="20" t="s">
        <v>145</v>
      </c>
      <c r="AX31" s="18" t="s">
        <v>146</v>
      </c>
      <c r="AY31" s="18" t="s">
        <v>123</v>
      </c>
      <c r="AZ31" s="21">
        <v>54</v>
      </c>
      <c r="BA31" s="18" t="s">
        <v>5</v>
      </c>
      <c r="BB31" s="21">
        <v>4604.1441000000004</v>
      </c>
      <c r="BC31" s="19">
        <v>248623.78140000001</v>
      </c>
    </row>
    <row r="32" spans="1:55" x14ac:dyDescent="0.35">
      <c r="A32" s="38" t="str">
        <v>NCGK0012</v>
      </c>
      <c r="B32" s="31" t="str">
        <f t="shared" si="0"/>
        <v>HAND GLOVES NITRILE SIZE L</v>
      </c>
      <c r="C32" s="31" t="str">
        <f t="shared" si="1"/>
        <v>NCG</v>
      </c>
      <c r="D32" s="39" t="str">
        <f t="shared" si="2"/>
        <v>pack</v>
      </c>
      <c r="E32" s="47">
        <f t="shared" si="3"/>
        <v>42180.911</v>
      </c>
      <c r="F32" s="48">
        <f t="shared" si="4"/>
        <v>13</v>
      </c>
      <c r="G32" s="48">
        <f t="shared" si="5"/>
        <v>8</v>
      </c>
      <c r="H32" s="48">
        <f t="shared" si="6"/>
        <v>-5</v>
      </c>
      <c r="I32" s="40">
        <f t="shared" si="7"/>
        <v>-210904.55499999999</v>
      </c>
      <c r="J32" s="39" t="str">
        <f t="shared" si="8"/>
        <v>Penurunan IU</v>
      </c>
      <c r="K32" s="71" t="s">
        <v>1044</v>
      </c>
      <c r="O32" s="20">
        <v>20</v>
      </c>
      <c r="P32" t="s">
        <v>61</v>
      </c>
      <c r="Q32" t="s">
        <v>62</v>
      </c>
      <c r="R32" t="s">
        <v>41</v>
      </c>
      <c r="S32" s="10">
        <v>3</v>
      </c>
      <c r="T32" t="s">
        <v>5</v>
      </c>
      <c r="U32" s="10">
        <v>16991.427</v>
      </c>
      <c r="V32" s="19">
        <v>50974.281000000003</v>
      </c>
      <c r="X32" s="20" t="s">
        <v>364</v>
      </c>
      <c r="Y32" t="s">
        <v>365</v>
      </c>
      <c r="Z32" t="s">
        <v>67</v>
      </c>
      <c r="AA32" s="10">
        <v>2</v>
      </c>
      <c r="AB32" t="s">
        <v>52</v>
      </c>
      <c r="AC32" s="10">
        <v>19063.875499999998</v>
      </c>
      <c r="AD32" s="19">
        <v>38127.750999999997</v>
      </c>
      <c r="AF32" s="82" t="s">
        <v>1</v>
      </c>
      <c r="AG32" s="83"/>
      <c r="AH32" s="83"/>
      <c r="AI32" s="83"/>
      <c r="AJ32" s="83"/>
      <c r="AK32" s="18"/>
      <c r="AL32" s="18"/>
      <c r="AM32" s="19"/>
      <c r="AO32" s="20" t="s">
        <v>147</v>
      </c>
      <c r="AP32" s="18" t="s">
        <v>148</v>
      </c>
      <c r="AQ32" s="18" t="s">
        <v>123</v>
      </c>
      <c r="AR32" s="18">
        <v>1</v>
      </c>
      <c r="AS32" s="18" t="s">
        <v>5</v>
      </c>
      <c r="AT32" s="18">
        <v>15000</v>
      </c>
      <c r="AU32" s="19">
        <v>15000</v>
      </c>
      <c r="AW32" s="20" t="s">
        <v>147</v>
      </c>
      <c r="AX32" s="18" t="s">
        <v>148</v>
      </c>
      <c r="AY32" s="18" t="s">
        <v>123</v>
      </c>
      <c r="AZ32" s="18">
        <v>1</v>
      </c>
      <c r="BA32" s="18" t="s">
        <v>5</v>
      </c>
      <c r="BB32" s="18">
        <v>15000</v>
      </c>
      <c r="BC32" s="19">
        <v>15000</v>
      </c>
    </row>
    <row r="33" spans="1:55" x14ac:dyDescent="0.35">
      <c r="A33" s="38" t="str">
        <v>NCGK0016</v>
      </c>
      <c r="B33" s="31" t="str">
        <f t="shared" si="0"/>
        <v>HAIR NET @100 PCS</v>
      </c>
      <c r="C33" s="31" t="str">
        <f t="shared" si="1"/>
        <v>NCG</v>
      </c>
      <c r="D33" s="39" t="str">
        <f t="shared" si="2"/>
        <v>pack</v>
      </c>
      <c r="E33" s="47">
        <f t="shared" si="3"/>
        <v>25952.173900000002</v>
      </c>
      <c r="F33" s="48">
        <f t="shared" si="4"/>
        <v>0.2</v>
      </c>
      <c r="G33" s="48">
        <f t="shared" si="5"/>
        <v>0.3</v>
      </c>
      <c r="H33" s="48">
        <f t="shared" si="6"/>
        <v>9.9999999999999978E-2</v>
      </c>
      <c r="I33" s="40">
        <f t="shared" si="7"/>
        <v>2595.2173899999998</v>
      </c>
      <c r="J33" s="39" t="str">
        <f t="shared" si="8"/>
        <v>Kenaikan IU</v>
      </c>
      <c r="K33" s="71" t="s">
        <v>1045</v>
      </c>
      <c r="O33" s="20">
        <v>21</v>
      </c>
      <c r="P33" t="s">
        <v>312</v>
      </c>
      <c r="Q33" t="s">
        <v>313</v>
      </c>
      <c r="R33" t="s">
        <v>41</v>
      </c>
      <c r="S33" s="10">
        <v>3</v>
      </c>
      <c r="T33" t="s">
        <v>20</v>
      </c>
      <c r="U33" s="10">
        <v>29764.571399999997</v>
      </c>
      <c r="V33" s="19">
        <v>89293.714200000002</v>
      </c>
      <c r="X33" s="20" t="s">
        <v>803</v>
      </c>
      <c r="Y33" t="s">
        <v>804</v>
      </c>
      <c r="Z33" t="s">
        <v>67</v>
      </c>
      <c r="AA33" s="10">
        <v>1</v>
      </c>
      <c r="AB33" t="s">
        <v>20</v>
      </c>
      <c r="AC33" s="10">
        <v>5500</v>
      </c>
      <c r="AD33" s="19">
        <v>5500</v>
      </c>
      <c r="AF33" s="20"/>
      <c r="AG33" s="18"/>
      <c r="AH33" s="18"/>
      <c r="AI33" s="18"/>
      <c r="AJ33" s="18"/>
      <c r="AK33" s="18"/>
      <c r="AL33" s="18"/>
      <c r="AM33" s="19"/>
      <c r="AO33" s="20" t="s">
        <v>910</v>
      </c>
      <c r="AP33" s="18" t="s">
        <v>911</v>
      </c>
      <c r="AQ33" s="18" t="s">
        <v>894</v>
      </c>
      <c r="AR33" s="18">
        <v>1</v>
      </c>
      <c r="AS33" s="18" t="s">
        <v>267</v>
      </c>
      <c r="AT33" s="18">
        <v>603840</v>
      </c>
      <c r="AU33" s="19">
        <v>603840</v>
      </c>
      <c r="AW33" s="20" t="s">
        <v>910</v>
      </c>
      <c r="AX33" s="18" t="s">
        <v>911</v>
      </c>
      <c r="AY33" s="18" t="s">
        <v>894</v>
      </c>
      <c r="AZ33" s="18">
        <v>1</v>
      </c>
      <c r="BA33" s="18" t="s">
        <v>267</v>
      </c>
      <c r="BB33" s="18">
        <v>603840</v>
      </c>
      <c r="BC33" s="19">
        <v>603840</v>
      </c>
    </row>
    <row r="34" spans="1:55" x14ac:dyDescent="0.35">
      <c r="A34" s="38" t="str">
        <v>NCGK0017</v>
      </c>
      <c r="B34" s="31" t="str">
        <f t="shared" si="0"/>
        <v>REFILL PEMANTIK GAS KITCHEN</v>
      </c>
      <c r="C34" s="31" t="str">
        <f t="shared" si="1"/>
        <v>NCG</v>
      </c>
      <c r="D34" s="39" t="str">
        <f t="shared" si="2"/>
        <v>pcs</v>
      </c>
      <c r="E34" s="47">
        <f t="shared" si="3"/>
        <v>45950</v>
      </c>
      <c r="F34" s="48" t="str">
        <f t="shared" si="4"/>
        <v>0</v>
      </c>
      <c r="G34" s="48">
        <f t="shared" si="5"/>
        <v>1</v>
      </c>
      <c r="H34" s="48">
        <f t="shared" si="6"/>
        <v>1</v>
      </c>
      <c r="I34" s="40">
        <f t="shared" si="7"/>
        <v>45950</v>
      </c>
      <c r="J34" s="39" t="str">
        <f t="shared" si="8"/>
        <v>Kenaikan IU</v>
      </c>
      <c r="K34" s="71" t="s">
        <v>1034</v>
      </c>
      <c r="O34" s="20">
        <v>22</v>
      </c>
      <c r="P34" t="s">
        <v>805</v>
      </c>
      <c r="Q34" t="s">
        <v>806</v>
      </c>
      <c r="R34" t="s">
        <v>41</v>
      </c>
      <c r="S34">
        <v>1</v>
      </c>
      <c r="T34" t="s">
        <v>20</v>
      </c>
      <c r="U34">
        <v>155000</v>
      </c>
      <c r="V34" s="19">
        <v>155000</v>
      </c>
      <c r="X34" s="20" t="s">
        <v>807</v>
      </c>
      <c r="Y34" t="s">
        <v>808</v>
      </c>
      <c r="Z34" t="s">
        <v>67</v>
      </c>
      <c r="AA34" s="10">
        <v>1</v>
      </c>
      <c r="AB34" t="s">
        <v>20</v>
      </c>
      <c r="AC34" s="10">
        <v>18000</v>
      </c>
      <c r="AD34" s="19">
        <v>18000</v>
      </c>
      <c r="AF34" s="82" t="s">
        <v>10</v>
      </c>
      <c r="AG34" s="83" t="s">
        <v>11</v>
      </c>
      <c r="AH34" s="18" t="s">
        <v>902</v>
      </c>
      <c r="AI34" s="18"/>
      <c r="AJ34" s="18"/>
      <c r="AK34" s="18"/>
      <c r="AL34" s="18"/>
      <c r="AM34" s="19"/>
      <c r="AO34" s="20" t="s">
        <v>716</v>
      </c>
      <c r="AP34" s="18" t="s">
        <v>717</v>
      </c>
      <c r="AQ34" s="18" t="s">
        <v>165</v>
      </c>
      <c r="AR34" s="21">
        <v>1</v>
      </c>
      <c r="AS34" s="18" t="s">
        <v>20</v>
      </c>
      <c r="AT34" s="21">
        <v>69500</v>
      </c>
      <c r="AU34" s="19">
        <v>69500</v>
      </c>
      <c r="AW34" s="20" t="s">
        <v>716</v>
      </c>
      <c r="AX34" s="18" t="s">
        <v>717</v>
      </c>
      <c r="AY34" s="18" t="s">
        <v>165</v>
      </c>
      <c r="AZ34" s="21">
        <v>1</v>
      </c>
      <c r="BA34" s="18" t="s">
        <v>20</v>
      </c>
      <c r="BB34" s="21">
        <v>69500</v>
      </c>
      <c r="BC34" s="19">
        <v>69500</v>
      </c>
    </row>
    <row r="35" spans="1:55" ht="15" thickBot="1" x14ac:dyDescent="0.4">
      <c r="A35" s="38" t="str">
        <v>NCGS0001</v>
      </c>
      <c r="B35" s="31" t="str">
        <f t="shared" si="0"/>
        <v>TISSUE COCKTAIL NAPKIN 11x11 (48 PACK)</v>
      </c>
      <c r="C35" s="31" t="str">
        <f t="shared" si="1"/>
        <v>NCG</v>
      </c>
      <c r="D35" s="39" t="str">
        <f t="shared" si="2"/>
        <v>pack</v>
      </c>
      <c r="E35" s="47">
        <f t="shared" si="3"/>
        <v>4604.1441000000004</v>
      </c>
      <c r="F35" s="48">
        <f t="shared" si="4"/>
        <v>117</v>
      </c>
      <c r="G35" s="48">
        <f t="shared" si="5"/>
        <v>54</v>
      </c>
      <c r="H35" s="48">
        <f t="shared" si="6"/>
        <v>-63</v>
      </c>
      <c r="I35" s="40">
        <f t="shared" si="7"/>
        <v>-290061.07830000005</v>
      </c>
      <c r="J35" s="39" t="str">
        <f t="shared" si="8"/>
        <v>Penurunan IU</v>
      </c>
      <c r="K35" s="71" t="s">
        <v>1034</v>
      </c>
      <c r="O35" s="22" t="s">
        <v>223</v>
      </c>
      <c r="P35" s="23" t="s">
        <v>223</v>
      </c>
      <c r="Q35" s="23" t="s">
        <v>223</v>
      </c>
      <c r="R35" s="23" t="s">
        <v>223</v>
      </c>
      <c r="S35" s="23" t="s">
        <v>223</v>
      </c>
      <c r="T35" s="23" t="s">
        <v>223</v>
      </c>
      <c r="U35" s="23" t="s">
        <v>224</v>
      </c>
      <c r="V35" s="24">
        <v>4569106.5491680019</v>
      </c>
      <c r="X35" s="20" t="s">
        <v>258</v>
      </c>
      <c r="Y35" t="s">
        <v>259</v>
      </c>
      <c r="Z35" t="s">
        <v>67</v>
      </c>
      <c r="AA35" s="10">
        <v>2.5</v>
      </c>
      <c r="AB35" t="s">
        <v>5</v>
      </c>
      <c r="AC35" s="10">
        <v>24500</v>
      </c>
      <c r="AD35" s="19">
        <v>61250</v>
      </c>
      <c r="AF35" s="82" t="s">
        <v>16</v>
      </c>
      <c r="AG35" s="83" t="s">
        <v>11</v>
      </c>
      <c r="AH35" s="18" t="s">
        <v>211</v>
      </c>
      <c r="AI35" s="18"/>
      <c r="AJ35" s="18"/>
      <c r="AK35" s="18"/>
      <c r="AL35" s="18"/>
      <c r="AM35" s="19"/>
      <c r="AO35" s="20" t="s">
        <v>915</v>
      </c>
      <c r="AP35" s="18" t="s">
        <v>916</v>
      </c>
      <c r="AQ35" s="18" t="s">
        <v>165</v>
      </c>
      <c r="AR35" s="21">
        <v>3</v>
      </c>
      <c r="AS35" s="18" t="s">
        <v>20</v>
      </c>
      <c r="AT35" s="21">
        <v>47400</v>
      </c>
      <c r="AU35" s="19">
        <v>142200</v>
      </c>
      <c r="AW35" s="20" t="s">
        <v>915</v>
      </c>
      <c r="AX35" s="18" t="s">
        <v>916</v>
      </c>
      <c r="AY35" s="18" t="s">
        <v>165</v>
      </c>
      <c r="AZ35" s="21">
        <v>3</v>
      </c>
      <c r="BA35" s="18" t="s">
        <v>20</v>
      </c>
      <c r="BB35" s="21">
        <v>47400</v>
      </c>
      <c r="BC35" s="19">
        <v>142200</v>
      </c>
    </row>
    <row r="36" spans="1:55" x14ac:dyDescent="0.35">
      <c r="A36" s="38" t="str">
        <v>NCGS0002</v>
      </c>
      <c r="B36" s="31" t="str">
        <f t="shared" si="0"/>
        <v>TUSUK GIGI ION @ 500 PCS</v>
      </c>
      <c r="C36" s="31" t="str">
        <f t="shared" si="1"/>
        <v>NCG</v>
      </c>
      <c r="D36" s="39" t="str">
        <f t="shared" si="2"/>
        <v>pack</v>
      </c>
      <c r="E36" s="47">
        <f t="shared" si="3"/>
        <v>15000</v>
      </c>
      <c r="F36" s="48">
        <f t="shared" si="4"/>
        <v>1.6</v>
      </c>
      <c r="G36" s="48">
        <f t="shared" si="5"/>
        <v>1</v>
      </c>
      <c r="H36" s="48">
        <f t="shared" si="6"/>
        <v>-0.60000000000000009</v>
      </c>
      <c r="I36" s="40">
        <f t="shared" si="7"/>
        <v>-9000.0000000000018</v>
      </c>
      <c r="J36" s="39" t="str">
        <f t="shared" si="8"/>
        <v>Penurunan IU</v>
      </c>
      <c r="K36" s="71" t="s">
        <v>1046</v>
      </c>
      <c r="X36" s="20" t="s">
        <v>260</v>
      </c>
      <c r="Y36" t="s">
        <v>261</v>
      </c>
      <c r="Z36" t="s">
        <v>67</v>
      </c>
      <c r="AA36" s="10">
        <v>1</v>
      </c>
      <c r="AB36" t="s">
        <v>5</v>
      </c>
      <c r="AC36" s="10">
        <v>2100</v>
      </c>
      <c r="AD36" s="19">
        <v>2100</v>
      </c>
      <c r="AF36" s="82" t="s">
        <v>21</v>
      </c>
      <c r="AG36" s="83" t="s">
        <v>11</v>
      </c>
      <c r="AH36" s="18" t="s">
        <v>798</v>
      </c>
      <c r="AI36" s="18"/>
      <c r="AJ36" s="18"/>
      <c r="AK36" s="18"/>
      <c r="AL36" s="18"/>
      <c r="AM36" s="19"/>
      <c r="AO36" s="20" t="s">
        <v>917</v>
      </c>
      <c r="AP36" s="18" t="s">
        <v>918</v>
      </c>
      <c r="AQ36" s="18" t="s">
        <v>165</v>
      </c>
      <c r="AR36" s="21">
        <v>1</v>
      </c>
      <c r="AS36" s="18" t="s">
        <v>20</v>
      </c>
      <c r="AT36" s="21">
        <v>83610</v>
      </c>
      <c r="AU36" s="19">
        <v>83610</v>
      </c>
      <c r="AW36" s="20" t="s">
        <v>917</v>
      </c>
      <c r="AX36" s="18" t="s">
        <v>918</v>
      </c>
      <c r="AY36" s="18" t="s">
        <v>165</v>
      </c>
      <c r="AZ36" s="21">
        <v>1</v>
      </c>
      <c r="BA36" s="18" t="s">
        <v>20</v>
      </c>
      <c r="BB36" s="21">
        <v>83610</v>
      </c>
      <c r="BC36" s="19">
        <v>83610</v>
      </c>
    </row>
    <row r="37" spans="1:55" ht="15" thickBot="1" x14ac:dyDescent="0.4">
      <c r="A37" s="38" t="str">
        <v>AMC00021</v>
      </c>
      <c r="B37" s="31" t="str">
        <f t="shared" si="0"/>
        <v>KOMPOR INDUKSI GEA IC-2000</v>
      </c>
      <c r="C37" s="31" t="str">
        <f t="shared" si="1"/>
        <v>MACHINERY</v>
      </c>
      <c r="D37" s="39" t="str">
        <f t="shared" si="2"/>
        <v>unit</v>
      </c>
      <c r="E37" s="47">
        <f t="shared" si="3"/>
        <v>603840</v>
      </c>
      <c r="F37" s="48" t="str">
        <f t="shared" si="4"/>
        <v>0</v>
      </c>
      <c r="G37" s="48">
        <f t="shared" si="5"/>
        <v>1</v>
      </c>
      <c r="H37" s="48">
        <f t="shared" si="6"/>
        <v>1</v>
      </c>
      <c r="I37" s="40">
        <f t="shared" si="7"/>
        <v>603840</v>
      </c>
      <c r="J37" s="39" t="str">
        <f t="shared" si="8"/>
        <v>Kenaikan IU</v>
      </c>
      <c r="K37" s="71" t="s">
        <v>1047</v>
      </c>
      <c r="X37" s="20" t="s">
        <v>401</v>
      </c>
      <c r="Y37" t="s">
        <v>402</v>
      </c>
      <c r="Z37" t="s">
        <v>67</v>
      </c>
      <c r="AA37">
        <v>2</v>
      </c>
      <c r="AB37" t="s">
        <v>20</v>
      </c>
      <c r="AC37">
        <v>310.85000000000002</v>
      </c>
      <c r="AD37" s="19">
        <v>621.70000000000005</v>
      </c>
      <c r="AF37" s="82" t="s">
        <v>26</v>
      </c>
      <c r="AG37" s="83" t="s">
        <v>11</v>
      </c>
      <c r="AH37" s="18" t="s">
        <v>903</v>
      </c>
      <c r="AI37" s="18"/>
      <c r="AJ37" s="18"/>
      <c r="AK37" s="18"/>
      <c r="AL37" s="18"/>
      <c r="AM37" s="19"/>
      <c r="AO37" s="20" t="s">
        <v>847</v>
      </c>
      <c r="AP37" s="18" t="s">
        <v>848</v>
      </c>
      <c r="AQ37" s="18" t="s">
        <v>165</v>
      </c>
      <c r="AR37" s="21">
        <v>1</v>
      </c>
      <c r="AS37" s="18" t="s">
        <v>20</v>
      </c>
      <c r="AT37" s="21">
        <v>15500</v>
      </c>
      <c r="AU37" s="19">
        <v>15500</v>
      </c>
      <c r="AW37" s="20" t="s">
        <v>847</v>
      </c>
      <c r="AX37" s="18" t="s">
        <v>848</v>
      </c>
      <c r="AY37" s="18" t="s">
        <v>165</v>
      </c>
      <c r="AZ37" s="21">
        <v>1</v>
      </c>
      <c r="BA37" s="18" t="s">
        <v>20</v>
      </c>
      <c r="BB37" s="21">
        <v>15500</v>
      </c>
      <c r="BC37" s="19">
        <v>15500</v>
      </c>
    </row>
    <row r="38" spans="1:55" x14ac:dyDescent="0.35">
      <c r="A38" s="38" t="str">
        <v>KW00082</v>
      </c>
      <c r="B38" s="31" t="str">
        <f t="shared" si="0"/>
        <v>SAPU KUALI</v>
      </c>
      <c r="C38" s="31" t="str">
        <f t="shared" si="1"/>
        <v>KITCHENWARE TOOLS</v>
      </c>
      <c r="D38" s="39" t="str">
        <f t="shared" si="2"/>
        <v>pcs</v>
      </c>
      <c r="E38" s="47">
        <f t="shared" si="3"/>
        <v>69500</v>
      </c>
      <c r="F38" s="48">
        <f t="shared" si="4"/>
        <v>1</v>
      </c>
      <c r="G38" s="48">
        <f t="shared" si="5"/>
        <v>1</v>
      </c>
      <c r="H38" s="48">
        <f t="shared" si="6"/>
        <v>0</v>
      </c>
      <c r="I38" s="40">
        <f t="shared" si="7"/>
        <v>0</v>
      </c>
      <c r="J38" s="39" t="str">
        <f t="shared" si="8"/>
        <v>Tidak Ada Perubahan</v>
      </c>
      <c r="K38" s="71" t="s">
        <v>1047</v>
      </c>
      <c r="O38" s="84" t="s">
        <v>0</v>
      </c>
      <c r="P38" s="85"/>
      <c r="Q38" s="85"/>
      <c r="R38" s="85"/>
      <c r="S38" s="85"/>
      <c r="T38" s="16"/>
      <c r="U38" s="16"/>
      <c r="V38" s="17"/>
      <c r="X38" s="20" t="s">
        <v>284</v>
      </c>
      <c r="Y38" t="s">
        <v>285</v>
      </c>
      <c r="Z38" t="s">
        <v>165</v>
      </c>
      <c r="AA38" s="10">
        <v>2</v>
      </c>
      <c r="AB38" t="s">
        <v>20</v>
      </c>
      <c r="AC38" s="10">
        <v>17401.5681</v>
      </c>
      <c r="AD38" s="19">
        <v>34803.136200000001</v>
      </c>
      <c r="AF38" s="82" t="s">
        <v>31</v>
      </c>
      <c r="AG38" s="83" t="s">
        <v>11</v>
      </c>
      <c r="AH38" s="18" t="s">
        <v>186</v>
      </c>
      <c r="AI38" s="18"/>
      <c r="AJ38" s="18"/>
      <c r="AK38" s="18"/>
      <c r="AL38" s="18"/>
      <c r="AM38" s="19"/>
      <c r="AO38" s="20" t="s">
        <v>919</v>
      </c>
      <c r="AP38" s="18" t="s">
        <v>920</v>
      </c>
      <c r="AQ38" s="18" t="s">
        <v>165</v>
      </c>
      <c r="AR38" s="18">
        <v>1</v>
      </c>
      <c r="AS38" s="18" t="s">
        <v>20</v>
      </c>
      <c r="AT38" s="18">
        <v>134357.14499999999</v>
      </c>
      <c r="AU38" s="19">
        <v>134357.14499999999</v>
      </c>
      <c r="AW38" s="20" t="s">
        <v>919</v>
      </c>
      <c r="AX38" s="18" t="s">
        <v>920</v>
      </c>
      <c r="AY38" s="18" t="s">
        <v>165</v>
      </c>
      <c r="AZ38" s="18">
        <v>1</v>
      </c>
      <c r="BA38" s="18" t="s">
        <v>20</v>
      </c>
      <c r="BB38" s="18">
        <v>134357.14499999999</v>
      </c>
      <c r="BC38" s="19">
        <v>134357.14499999999</v>
      </c>
    </row>
    <row r="39" spans="1:55" x14ac:dyDescent="0.35">
      <c r="A39" s="38" t="str">
        <v>KW00092</v>
      </c>
      <c r="B39" s="31" t="str">
        <f t="shared" si="0"/>
        <v>GELAS UKUR 5 L</v>
      </c>
      <c r="C39" s="31" t="str">
        <f t="shared" si="1"/>
        <v>KITCHENWARE TOOLS</v>
      </c>
      <c r="D39" s="39" t="str">
        <f t="shared" si="2"/>
        <v>pcs</v>
      </c>
      <c r="E39" s="47">
        <f t="shared" si="3"/>
        <v>47400</v>
      </c>
      <c r="F39" s="48" t="str">
        <f t="shared" si="4"/>
        <v>0</v>
      </c>
      <c r="G39" s="48">
        <f t="shared" si="5"/>
        <v>3</v>
      </c>
      <c r="H39" s="48">
        <f t="shared" si="6"/>
        <v>3</v>
      </c>
      <c r="I39" s="40">
        <f t="shared" si="7"/>
        <v>142200</v>
      </c>
      <c r="J39" s="39" t="str">
        <f t="shared" si="8"/>
        <v>Kenaikan IU</v>
      </c>
      <c r="K39" s="71" t="s">
        <v>1047</v>
      </c>
      <c r="O39" s="82" t="s">
        <v>1</v>
      </c>
      <c r="P39" s="87"/>
      <c r="Q39" s="87"/>
      <c r="R39" s="87"/>
      <c r="S39" s="87"/>
      <c r="V39" s="19"/>
      <c r="X39" s="20" t="s">
        <v>716</v>
      </c>
      <c r="Y39" t="s">
        <v>717</v>
      </c>
      <c r="Z39" t="s">
        <v>165</v>
      </c>
      <c r="AA39" s="10">
        <v>1</v>
      </c>
      <c r="AB39" t="s">
        <v>20</v>
      </c>
      <c r="AC39" s="10">
        <v>69500</v>
      </c>
      <c r="AD39" s="19">
        <v>69500</v>
      </c>
      <c r="AF39" s="82" t="s">
        <v>35</v>
      </c>
      <c r="AG39" s="83" t="s">
        <v>11</v>
      </c>
      <c r="AH39" s="18" t="s">
        <v>904</v>
      </c>
      <c r="AI39" s="18"/>
      <c r="AJ39" s="18"/>
      <c r="AK39" s="18"/>
      <c r="AL39" s="18"/>
      <c r="AM39" s="19"/>
      <c r="AO39" s="20" t="s">
        <v>268</v>
      </c>
      <c r="AP39" s="18" t="s">
        <v>269</v>
      </c>
      <c r="AQ39" s="18" t="s">
        <v>151</v>
      </c>
      <c r="AR39" s="21">
        <v>1</v>
      </c>
      <c r="AS39" s="18" t="s">
        <v>87</v>
      </c>
      <c r="AT39" s="21">
        <v>5100</v>
      </c>
      <c r="AU39" s="19">
        <v>5100</v>
      </c>
      <c r="AW39" s="20" t="s">
        <v>268</v>
      </c>
      <c r="AX39" s="18" t="s">
        <v>269</v>
      </c>
      <c r="AY39" s="18" t="s">
        <v>151</v>
      </c>
      <c r="AZ39" s="21">
        <v>1</v>
      </c>
      <c r="BA39" s="18" t="s">
        <v>87</v>
      </c>
      <c r="BB39" s="21">
        <v>5100</v>
      </c>
      <c r="BC39" s="19">
        <v>5100</v>
      </c>
    </row>
    <row r="40" spans="1:55" x14ac:dyDescent="0.35">
      <c r="A40" s="38" t="str">
        <v>KW00114</v>
      </c>
      <c r="B40" s="31" t="str">
        <f t="shared" si="0"/>
        <v>PEELER VICTORINOX</v>
      </c>
      <c r="C40" s="31" t="str">
        <f t="shared" si="1"/>
        <v>KITCHENWARE TOOLS</v>
      </c>
      <c r="D40" s="39" t="str">
        <f t="shared" si="2"/>
        <v>pcs</v>
      </c>
      <c r="E40" s="47">
        <f t="shared" si="3"/>
        <v>83610</v>
      </c>
      <c r="F40" s="48" t="str">
        <f t="shared" si="4"/>
        <v>0</v>
      </c>
      <c r="G40" s="48">
        <f t="shared" si="5"/>
        <v>1</v>
      </c>
      <c r="H40" s="48">
        <f t="shared" si="6"/>
        <v>1</v>
      </c>
      <c r="I40" s="40">
        <f t="shared" si="7"/>
        <v>83610</v>
      </c>
      <c r="J40" s="39" t="str">
        <f t="shared" si="8"/>
        <v>Kenaikan IU</v>
      </c>
      <c r="K40" s="71" t="s">
        <v>1048</v>
      </c>
      <c r="O40" s="20"/>
      <c r="V40" s="19"/>
      <c r="X40" s="20" t="s">
        <v>296</v>
      </c>
      <c r="Y40" t="s">
        <v>297</v>
      </c>
      <c r="Z40" t="s">
        <v>165</v>
      </c>
      <c r="AA40" s="10">
        <v>1</v>
      </c>
      <c r="AB40" t="s">
        <v>20</v>
      </c>
      <c r="AC40" s="10">
        <v>16246.5131</v>
      </c>
      <c r="AD40" s="19">
        <v>16246.5131</v>
      </c>
      <c r="AF40" s="20"/>
      <c r="AG40" s="18"/>
      <c r="AH40" s="18"/>
      <c r="AI40" s="18"/>
      <c r="AJ40" s="18"/>
      <c r="AK40" s="18"/>
      <c r="AL40" s="18"/>
      <c r="AM40" s="19"/>
      <c r="AO40" s="20" t="s">
        <v>154</v>
      </c>
      <c r="AP40" s="18" t="s">
        <v>155</v>
      </c>
      <c r="AQ40" s="18" t="s">
        <v>151</v>
      </c>
      <c r="AR40" s="21">
        <v>90</v>
      </c>
      <c r="AS40" s="18" t="s">
        <v>20</v>
      </c>
      <c r="AT40" s="21">
        <v>977.65549999999996</v>
      </c>
      <c r="AU40" s="19">
        <v>87988.994999999995</v>
      </c>
      <c r="AW40" s="20" t="s">
        <v>154</v>
      </c>
      <c r="AX40" s="18" t="s">
        <v>155</v>
      </c>
      <c r="AY40" s="18" t="s">
        <v>151</v>
      </c>
      <c r="AZ40" s="21">
        <v>90</v>
      </c>
      <c r="BA40" s="18" t="s">
        <v>20</v>
      </c>
      <c r="BB40" s="21">
        <v>977.65549999999996</v>
      </c>
      <c r="BC40" s="19">
        <v>87988.994999999995</v>
      </c>
    </row>
    <row r="41" spans="1:55" x14ac:dyDescent="0.35">
      <c r="A41" s="38" t="str">
        <v>KW00115</v>
      </c>
      <c r="B41" s="31" t="str">
        <f t="shared" si="0"/>
        <v>SUMPIT JP / SUMPIT BAMBU</v>
      </c>
      <c r="C41" s="31" t="str">
        <f t="shared" si="1"/>
        <v>KITCHENWARE TOOLS</v>
      </c>
      <c r="D41" s="39" t="str">
        <f t="shared" si="2"/>
        <v>pcs</v>
      </c>
      <c r="E41" s="47">
        <f t="shared" si="3"/>
        <v>15500</v>
      </c>
      <c r="F41" s="48" t="str">
        <f t="shared" si="4"/>
        <v>0</v>
      </c>
      <c r="G41" s="48">
        <f t="shared" si="5"/>
        <v>1</v>
      </c>
      <c r="H41" s="48">
        <f t="shared" si="6"/>
        <v>1</v>
      </c>
      <c r="I41" s="40">
        <f t="shared" si="7"/>
        <v>15500</v>
      </c>
      <c r="J41" s="39" t="str">
        <f t="shared" si="8"/>
        <v>Kenaikan IU</v>
      </c>
      <c r="K41" s="71" t="s">
        <v>1048</v>
      </c>
      <c r="O41" s="82" t="s">
        <v>10</v>
      </c>
      <c r="P41" s="87" t="s">
        <v>11</v>
      </c>
      <c r="Q41" t="s">
        <v>809</v>
      </c>
      <c r="V41" s="19"/>
      <c r="X41" s="20" t="s">
        <v>184</v>
      </c>
      <c r="Y41" t="s">
        <v>185</v>
      </c>
      <c r="Z41" t="s">
        <v>182</v>
      </c>
      <c r="AA41" s="10">
        <v>15</v>
      </c>
      <c r="AB41" t="s">
        <v>20</v>
      </c>
      <c r="AC41" s="10">
        <v>1934.9772</v>
      </c>
      <c r="AD41" s="19">
        <v>29024.657999999999</v>
      </c>
      <c r="AF41" s="20" t="s">
        <v>42</v>
      </c>
      <c r="AG41" s="18" t="s">
        <v>43</v>
      </c>
      <c r="AH41" s="18" t="s">
        <v>44</v>
      </c>
      <c r="AI41" s="18" t="s">
        <v>45</v>
      </c>
      <c r="AJ41" s="18" t="s">
        <v>46</v>
      </c>
      <c r="AK41" s="18" t="s">
        <v>47</v>
      </c>
      <c r="AL41" s="18" t="s">
        <v>48</v>
      </c>
      <c r="AM41" s="19" t="s">
        <v>49</v>
      </c>
      <c r="AO41" s="20" t="s">
        <v>156</v>
      </c>
      <c r="AP41" s="18" t="s">
        <v>157</v>
      </c>
      <c r="AQ41" s="18" t="s">
        <v>151</v>
      </c>
      <c r="AR41" s="21">
        <v>13</v>
      </c>
      <c r="AS41" s="18" t="s">
        <v>20</v>
      </c>
      <c r="AT41" s="21">
        <v>2058.9</v>
      </c>
      <c r="AU41" s="19">
        <v>26765.7</v>
      </c>
      <c r="AW41" s="20" t="s">
        <v>156</v>
      </c>
      <c r="AX41" s="18" t="s">
        <v>157</v>
      </c>
      <c r="AY41" s="18" t="s">
        <v>151</v>
      </c>
      <c r="AZ41" s="21">
        <v>13</v>
      </c>
      <c r="BA41" s="18" t="s">
        <v>20</v>
      </c>
      <c r="BB41" s="21">
        <v>2058.9</v>
      </c>
      <c r="BC41" s="19">
        <v>26765.7</v>
      </c>
    </row>
    <row r="42" spans="1:55" x14ac:dyDescent="0.35">
      <c r="A42" s="38" t="str">
        <v>KW00159</v>
      </c>
      <c r="B42" s="31" t="str">
        <f t="shared" si="0"/>
        <v>RICE NET</v>
      </c>
      <c r="C42" s="31" t="str">
        <f t="shared" si="1"/>
        <v>KITCHENWARE TOOLS</v>
      </c>
      <c r="D42" s="39" t="str">
        <f t="shared" si="2"/>
        <v>pcs</v>
      </c>
      <c r="E42" s="47">
        <f t="shared" si="3"/>
        <v>134357.14499999999</v>
      </c>
      <c r="F42" s="48" t="str">
        <f t="shared" si="4"/>
        <v>0</v>
      </c>
      <c r="G42" s="48">
        <f t="shared" si="5"/>
        <v>1</v>
      </c>
      <c r="H42" s="48">
        <f t="shared" si="6"/>
        <v>1</v>
      </c>
      <c r="I42" s="40">
        <f t="shared" si="7"/>
        <v>134357.14499999999</v>
      </c>
      <c r="J42" s="39" t="str">
        <f t="shared" si="8"/>
        <v>Kenaikan IU</v>
      </c>
      <c r="K42" s="71" t="s">
        <v>1049</v>
      </c>
      <c r="O42" s="82" t="s">
        <v>16</v>
      </c>
      <c r="P42" s="87" t="s">
        <v>11</v>
      </c>
      <c r="Q42" t="s">
        <v>17</v>
      </c>
      <c r="V42" s="19"/>
      <c r="X42" s="20" t="s">
        <v>810</v>
      </c>
      <c r="Y42" t="s">
        <v>811</v>
      </c>
      <c r="Z42" t="s">
        <v>182</v>
      </c>
      <c r="AA42" s="10">
        <v>450</v>
      </c>
      <c r="AB42" t="s">
        <v>20</v>
      </c>
      <c r="AC42" s="10">
        <v>29.531300000000002</v>
      </c>
      <c r="AD42" s="19">
        <v>13289.084999999999</v>
      </c>
      <c r="AF42" s="20">
        <v>1</v>
      </c>
      <c r="AG42" s="18" t="s">
        <v>115</v>
      </c>
      <c r="AH42" s="18" t="s">
        <v>116</v>
      </c>
      <c r="AI42" s="18" t="s">
        <v>117</v>
      </c>
      <c r="AJ42" s="21">
        <v>2127</v>
      </c>
      <c r="AK42" s="18" t="s">
        <v>52</v>
      </c>
      <c r="AL42" s="21">
        <v>626.74</v>
      </c>
      <c r="AM42" s="19">
        <v>1333075.98</v>
      </c>
      <c r="AO42" s="20" t="s">
        <v>272</v>
      </c>
      <c r="AP42" s="18" t="s">
        <v>273</v>
      </c>
      <c r="AQ42" s="18" t="s">
        <v>151</v>
      </c>
      <c r="AR42" s="21">
        <v>4</v>
      </c>
      <c r="AS42" s="18" t="s">
        <v>5</v>
      </c>
      <c r="AT42" s="21">
        <v>2598.2925</v>
      </c>
      <c r="AU42" s="19">
        <v>10393.17</v>
      </c>
      <c r="AW42" s="20" t="s">
        <v>272</v>
      </c>
      <c r="AX42" s="18" t="s">
        <v>273</v>
      </c>
      <c r="AY42" s="18" t="s">
        <v>151</v>
      </c>
      <c r="AZ42" s="21">
        <v>4</v>
      </c>
      <c r="BA42" s="18" t="s">
        <v>5</v>
      </c>
      <c r="BB42" s="21">
        <v>2598.2925</v>
      </c>
      <c r="BC42" s="19">
        <v>10393.17</v>
      </c>
    </row>
    <row r="43" spans="1:55" x14ac:dyDescent="0.35">
      <c r="A43" s="38" t="str">
        <v>OTH00060</v>
      </c>
      <c r="B43" s="31" t="str">
        <f t="shared" si="0"/>
        <v>BODREX</v>
      </c>
      <c r="C43" s="31" t="str">
        <f t="shared" si="1"/>
        <v>OTHERS</v>
      </c>
      <c r="D43" s="39" t="str">
        <f t="shared" si="2"/>
        <v>str</v>
      </c>
      <c r="E43" s="47">
        <f t="shared" si="3"/>
        <v>5100</v>
      </c>
      <c r="F43" s="48">
        <f t="shared" si="4"/>
        <v>5</v>
      </c>
      <c r="G43" s="48">
        <f t="shared" si="5"/>
        <v>1</v>
      </c>
      <c r="H43" s="48">
        <f t="shared" si="6"/>
        <v>-4</v>
      </c>
      <c r="I43" s="40">
        <f t="shared" si="7"/>
        <v>-20400</v>
      </c>
      <c r="J43" s="39" t="str">
        <f t="shared" si="8"/>
        <v>Penurunan IU</v>
      </c>
      <c r="K43" s="71" t="s">
        <v>1048</v>
      </c>
      <c r="O43" s="82" t="s">
        <v>21</v>
      </c>
      <c r="P43" s="87" t="s">
        <v>11</v>
      </c>
      <c r="Q43" t="s">
        <v>798</v>
      </c>
      <c r="V43" s="19"/>
      <c r="X43" s="20" t="s">
        <v>187</v>
      </c>
      <c r="Y43" t="s">
        <v>188</v>
      </c>
      <c r="Z43" t="s">
        <v>182</v>
      </c>
      <c r="AA43" s="10">
        <v>10</v>
      </c>
      <c r="AB43" t="s">
        <v>20</v>
      </c>
      <c r="AC43" s="10">
        <v>4650.9381999999996</v>
      </c>
      <c r="AD43" s="19">
        <v>46509.381999999998</v>
      </c>
      <c r="AF43" s="20">
        <v>2</v>
      </c>
      <c r="AG43" s="18" t="s">
        <v>706</v>
      </c>
      <c r="AH43" s="18" t="s">
        <v>707</v>
      </c>
      <c r="AI43" s="18" t="s">
        <v>117</v>
      </c>
      <c r="AJ43" s="21">
        <v>415</v>
      </c>
      <c r="AK43" s="18" t="s">
        <v>20</v>
      </c>
      <c r="AL43" s="21">
        <v>500</v>
      </c>
      <c r="AM43" s="19">
        <v>207500</v>
      </c>
      <c r="AO43" s="20" t="s">
        <v>720</v>
      </c>
      <c r="AP43" s="18" t="s">
        <v>721</v>
      </c>
      <c r="AQ43" s="18" t="s">
        <v>151</v>
      </c>
      <c r="AR43" s="21">
        <v>52</v>
      </c>
      <c r="AS43" s="18" t="s">
        <v>20</v>
      </c>
      <c r="AT43" s="21">
        <v>149832.58960000001</v>
      </c>
      <c r="AU43" s="19">
        <v>7791294.6591999996</v>
      </c>
      <c r="AW43" s="20" t="s">
        <v>720</v>
      </c>
      <c r="AX43" s="18" t="s">
        <v>721</v>
      </c>
      <c r="AY43" s="18" t="s">
        <v>151</v>
      </c>
      <c r="AZ43" s="21">
        <v>52</v>
      </c>
      <c r="BA43" s="18" t="s">
        <v>20</v>
      </c>
      <c r="BB43" s="21">
        <v>149832.58960000001</v>
      </c>
      <c r="BC43" s="19">
        <v>7791294.6591999996</v>
      </c>
    </row>
    <row r="44" spans="1:55" x14ac:dyDescent="0.35">
      <c r="A44" s="38" t="str">
        <v>OTH00064</v>
      </c>
      <c r="B44" s="31" t="str">
        <f t="shared" si="0"/>
        <v>LILIN MEJA / TEALIGHT</v>
      </c>
      <c r="C44" s="31" t="str">
        <f t="shared" si="1"/>
        <v>OTHERS</v>
      </c>
      <c r="D44" s="39" t="str">
        <f t="shared" si="2"/>
        <v>pcs</v>
      </c>
      <c r="E44" s="47">
        <f t="shared" si="3"/>
        <v>977.65549999999996</v>
      </c>
      <c r="F44" s="48">
        <f t="shared" si="4"/>
        <v>100</v>
      </c>
      <c r="G44" s="48">
        <f t="shared" si="5"/>
        <v>90</v>
      </c>
      <c r="H44" s="48">
        <f t="shared" si="6"/>
        <v>-10</v>
      </c>
      <c r="I44" s="40">
        <f t="shared" si="7"/>
        <v>-9776.5550000000003</v>
      </c>
      <c r="J44" s="39" t="str">
        <f t="shared" si="8"/>
        <v>Penurunan IU</v>
      </c>
      <c r="K44" s="71" t="s">
        <v>1048</v>
      </c>
      <c r="O44" s="82" t="s">
        <v>26</v>
      </c>
      <c r="P44" s="87" t="s">
        <v>11</v>
      </c>
      <c r="Q44" t="s">
        <v>812</v>
      </c>
      <c r="V44" s="19"/>
      <c r="X44" s="20" t="s">
        <v>474</v>
      </c>
      <c r="Y44" t="s">
        <v>475</v>
      </c>
      <c r="Z44" t="s">
        <v>192</v>
      </c>
      <c r="AA44">
        <v>7</v>
      </c>
      <c r="AB44" t="s">
        <v>20</v>
      </c>
      <c r="AC44">
        <v>8750</v>
      </c>
      <c r="AD44" s="19">
        <v>61250</v>
      </c>
      <c r="AF44" s="20">
        <v>3</v>
      </c>
      <c r="AG44" s="18" t="s">
        <v>121</v>
      </c>
      <c r="AH44" s="18" t="s">
        <v>122</v>
      </c>
      <c r="AI44" s="18" t="s">
        <v>123</v>
      </c>
      <c r="AJ44" s="21">
        <v>1</v>
      </c>
      <c r="AK44" s="18" t="s">
        <v>5</v>
      </c>
      <c r="AL44" s="21">
        <v>5000</v>
      </c>
      <c r="AM44" s="19">
        <v>5000</v>
      </c>
      <c r="AO44" s="20" t="s">
        <v>276</v>
      </c>
      <c r="AP44" s="18" t="s">
        <v>277</v>
      </c>
      <c r="AQ44" s="18" t="s">
        <v>151</v>
      </c>
      <c r="AR44" s="18">
        <v>25</v>
      </c>
      <c r="AS44" s="18" t="s">
        <v>52</v>
      </c>
      <c r="AT44" s="18">
        <v>1833.53</v>
      </c>
      <c r="AU44" s="19">
        <v>45838.25</v>
      </c>
      <c r="AW44" s="20" t="s">
        <v>276</v>
      </c>
      <c r="AX44" s="18" t="s">
        <v>277</v>
      </c>
      <c r="AY44" s="18" t="s">
        <v>151</v>
      </c>
      <c r="AZ44" s="18">
        <v>25</v>
      </c>
      <c r="BA44" s="18" t="s">
        <v>52</v>
      </c>
      <c r="BB44" s="18">
        <v>1833.53</v>
      </c>
      <c r="BC44" s="19">
        <v>45838.25</v>
      </c>
    </row>
    <row r="45" spans="1:55" x14ac:dyDescent="0.35">
      <c r="A45" s="38" t="str">
        <v>OTH00073</v>
      </c>
      <c r="B45" s="31" t="str">
        <f t="shared" si="0"/>
        <v>MASKER</v>
      </c>
      <c r="C45" s="31" t="str">
        <f t="shared" si="1"/>
        <v>OTHERS</v>
      </c>
      <c r="D45" s="39" t="str">
        <f t="shared" si="2"/>
        <v>pcs</v>
      </c>
      <c r="E45" s="47">
        <f t="shared" si="3"/>
        <v>2058.9</v>
      </c>
      <c r="F45" s="48">
        <f t="shared" si="4"/>
        <v>41</v>
      </c>
      <c r="G45" s="48">
        <f t="shared" si="5"/>
        <v>13</v>
      </c>
      <c r="H45" s="48">
        <f t="shared" si="6"/>
        <v>-28</v>
      </c>
      <c r="I45" s="40">
        <f t="shared" si="7"/>
        <v>-57649.200000000004</v>
      </c>
      <c r="J45" s="39" t="str">
        <f t="shared" si="8"/>
        <v>Penurunan IU</v>
      </c>
      <c r="K45" s="71" t="s">
        <v>1034</v>
      </c>
      <c r="O45" s="82" t="s">
        <v>31</v>
      </c>
      <c r="P45" s="87" t="s">
        <v>11</v>
      </c>
      <c r="Q45" t="s">
        <v>186</v>
      </c>
      <c r="V45" s="19"/>
      <c r="X45" s="20" t="s">
        <v>115</v>
      </c>
      <c r="Y45" t="s">
        <v>116</v>
      </c>
      <c r="Z45" t="s">
        <v>117</v>
      </c>
      <c r="AA45" s="10">
        <v>900</v>
      </c>
      <c r="AB45" t="s">
        <v>52</v>
      </c>
      <c r="AC45" s="10">
        <v>628.57100000000003</v>
      </c>
      <c r="AD45" s="19">
        <v>565713.9</v>
      </c>
      <c r="AF45" s="20">
        <v>4</v>
      </c>
      <c r="AG45" s="18" t="s">
        <v>124</v>
      </c>
      <c r="AH45" s="18" t="s">
        <v>125</v>
      </c>
      <c r="AI45" s="18" t="s">
        <v>123</v>
      </c>
      <c r="AJ45" s="21">
        <v>14</v>
      </c>
      <c r="AK45" s="18" t="s">
        <v>5</v>
      </c>
      <c r="AL45" s="21">
        <v>5606.6450999999997</v>
      </c>
      <c r="AM45" s="19">
        <v>78493.031400000007</v>
      </c>
      <c r="AO45" s="20" t="s">
        <v>214</v>
      </c>
      <c r="AP45" s="18" t="s">
        <v>215</v>
      </c>
      <c r="AQ45" s="18" t="s">
        <v>4</v>
      </c>
      <c r="AR45" s="21">
        <v>3</v>
      </c>
      <c r="AS45" s="18" t="s">
        <v>216</v>
      </c>
      <c r="AT45" s="21">
        <v>55300</v>
      </c>
      <c r="AU45" s="19">
        <v>165900</v>
      </c>
      <c r="AW45" s="20" t="s">
        <v>214</v>
      </c>
      <c r="AX45" s="18" t="s">
        <v>215</v>
      </c>
      <c r="AY45" s="18" t="s">
        <v>4</v>
      </c>
      <c r="AZ45" s="21">
        <v>3</v>
      </c>
      <c r="BA45" s="18" t="s">
        <v>216</v>
      </c>
      <c r="BB45" s="21">
        <v>55300</v>
      </c>
      <c r="BC45" s="19">
        <v>165900</v>
      </c>
    </row>
    <row r="46" spans="1:55" x14ac:dyDescent="0.35">
      <c r="A46" s="38" t="str">
        <v>OTH00092</v>
      </c>
      <c r="B46" s="31" t="str">
        <f t="shared" si="0"/>
        <v>KABEL TIES 10 CM</v>
      </c>
      <c r="C46" s="31" t="str">
        <f t="shared" si="1"/>
        <v>OTHERS</v>
      </c>
      <c r="D46" s="39" t="str">
        <f t="shared" si="2"/>
        <v>pack</v>
      </c>
      <c r="E46" s="47">
        <f t="shared" si="3"/>
        <v>2598.2925</v>
      </c>
      <c r="F46" s="48">
        <f t="shared" si="4"/>
        <v>4.8</v>
      </c>
      <c r="G46" s="48">
        <f t="shared" si="5"/>
        <v>4</v>
      </c>
      <c r="H46" s="48">
        <f t="shared" si="6"/>
        <v>-0.79999999999999982</v>
      </c>
      <c r="I46" s="40">
        <f t="shared" si="7"/>
        <v>-2078.6339999999996</v>
      </c>
      <c r="J46" s="39" t="str">
        <f t="shared" si="8"/>
        <v>Penurunan IU</v>
      </c>
      <c r="K46" s="71" t="s">
        <v>1034</v>
      </c>
      <c r="O46" s="82" t="s">
        <v>35</v>
      </c>
      <c r="P46" s="87" t="s">
        <v>11</v>
      </c>
      <c r="Q46" t="s">
        <v>813</v>
      </c>
      <c r="V46" s="19"/>
      <c r="X46" s="20" t="s">
        <v>814</v>
      </c>
      <c r="Y46" t="s">
        <v>815</v>
      </c>
      <c r="Z46" t="s">
        <v>120</v>
      </c>
      <c r="AA46" s="10">
        <v>1</v>
      </c>
      <c r="AB46" t="s">
        <v>20</v>
      </c>
      <c r="AC46" s="10">
        <v>10000</v>
      </c>
      <c r="AD46" s="19">
        <v>10000</v>
      </c>
      <c r="AF46" s="20">
        <v>5</v>
      </c>
      <c r="AG46" s="18" t="s">
        <v>126</v>
      </c>
      <c r="AH46" s="18" t="s">
        <v>127</v>
      </c>
      <c r="AI46" s="18" t="s">
        <v>123</v>
      </c>
      <c r="AJ46" s="21">
        <v>20</v>
      </c>
      <c r="AK46" s="18" t="s">
        <v>5</v>
      </c>
      <c r="AL46" s="21">
        <v>6822.1023999999998</v>
      </c>
      <c r="AM46" s="19">
        <v>136442.04800000001</v>
      </c>
      <c r="AO46" s="20" t="s">
        <v>2</v>
      </c>
      <c r="AP46" s="18" t="s">
        <v>3</v>
      </c>
      <c r="AQ46" s="18" t="s">
        <v>4</v>
      </c>
      <c r="AR46" s="21">
        <v>1</v>
      </c>
      <c r="AS46" s="18" t="s">
        <v>5</v>
      </c>
      <c r="AT46" s="21">
        <v>24003.8557</v>
      </c>
      <c r="AU46" s="19">
        <v>24003.8557</v>
      </c>
      <c r="AW46" s="20" t="s">
        <v>2</v>
      </c>
      <c r="AX46" s="18" t="s">
        <v>3</v>
      </c>
      <c r="AY46" s="18" t="s">
        <v>4</v>
      </c>
      <c r="AZ46" s="21">
        <v>1</v>
      </c>
      <c r="BA46" s="18" t="s">
        <v>5</v>
      </c>
      <c r="BB46" s="21">
        <v>24003.8557</v>
      </c>
      <c r="BC46" s="19">
        <v>24003.8557</v>
      </c>
    </row>
    <row r="47" spans="1:55" x14ac:dyDescent="0.35">
      <c r="A47" s="38" t="str">
        <v>OTH00111</v>
      </c>
      <c r="B47" s="31" t="str">
        <f t="shared" si="0"/>
        <v>BUKU MENU</v>
      </c>
      <c r="C47" s="31" t="str">
        <f t="shared" si="1"/>
        <v>OTHERS</v>
      </c>
      <c r="D47" s="39" t="str">
        <f t="shared" si="2"/>
        <v>pcs</v>
      </c>
      <c r="E47" s="47">
        <f t="shared" si="3"/>
        <v>149832.58960000001</v>
      </c>
      <c r="F47" s="48" t="str">
        <f t="shared" si="4"/>
        <v>0</v>
      </c>
      <c r="G47" s="48">
        <f t="shared" si="5"/>
        <v>52</v>
      </c>
      <c r="H47" s="48">
        <f t="shared" si="6"/>
        <v>52</v>
      </c>
      <c r="I47" s="40">
        <f t="shared" si="7"/>
        <v>7791294.6592000006</v>
      </c>
      <c r="J47" s="39" t="str">
        <f t="shared" si="8"/>
        <v>Kenaikan IU</v>
      </c>
      <c r="K47" s="71" t="s">
        <v>1034</v>
      </c>
      <c r="O47" s="20"/>
      <c r="V47" s="19"/>
      <c r="X47" s="20" t="s">
        <v>121</v>
      </c>
      <c r="Y47" t="s">
        <v>122</v>
      </c>
      <c r="Z47" t="s">
        <v>123</v>
      </c>
      <c r="AA47" s="10">
        <v>5</v>
      </c>
      <c r="AB47" t="s">
        <v>5</v>
      </c>
      <c r="AC47" s="10">
        <v>5000</v>
      </c>
      <c r="AD47" s="19">
        <v>25000</v>
      </c>
      <c r="AF47" s="20">
        <v>6</v>
      </c>
      <c r="AG47" s="18" t="s">
        <v>128</v>
      </c>
      <c r="AH47" s="18" t="s">
        <v>129</v>
      </c>
      <c r="AI47" s="18" t="s">
        <v>123</v>
      </c>
      <c r="AJ47" s="21">
        <v>2</v>
      </c>
      <c r="AK47" s="18" t="s">
        <v>74</v>
      </c>
      <c r="AL47" s="21">
        <v>142062.4143</v>
      </c>
      <c r="AM47" s="19">
        <v>284124.82860000001</v>
      </c>
      <c r="AO47" s="20" t="s">
        <v>217</v>
      </c>
      <c r="AP47" s="18" t="s">
        <v>218</v>
      </c>
      <c r="AQ47" s="18" t="s">
        <v>4</v>
      </c>
      <c r="AR47" s="21">
        <v>0.5</v>
      </c>
      <c r="AS47" s="18" t="s">
        <v>9</v>
      </c>
      <c r="AT47" s="21">
        <v>55295.432000000001</v>
      </c>
      <c r="AU47" s="19">
        <v>27647.716</v>
      </c>
      <c r="AW47" s="20" t="s">
        <v>217</v>
      </c>
      <c r="AX47" s="18" t="s">
        <v>218</v>
      </c>
      <c r="AY47" s="18" t="s">
        <v>4</v>
      </c>
      <c r="AZ47" s="21">
        <v>0.5</v>
      </c>
      <c r="BA47" s="18" t="s">
        <v>9</v>
      </c>
      <c r="BB47" s="21">
        <v>55295.432000000001</v>
      </c>
      <c r="BC47" s="19">
        <v>27647.716</v>
      </c>
    </row>
    <row r="48" spans="1:55" x14ac:dyDescent="0.35">
      <c r="A48" s="38" t="str">
        <v>OTH00208</v>
      </c>
      <c r="B48" s="31" t="str">
        <f t="shared" si="0"/>
        <v>STICKER PIPI MERAH PUTIH</v>
      </c>
      <c r="C48" s="31" t="str">
        <f t="shared" si="1"/>
        <v>OTHERS</v>
      </c>
      <c r="D48" s="39" t="str">
        <f t="shared" si="2"/>
        <v>lembar</v>
      </c>
      <c r="E48" s="47">
        <f t="shared" si="3"/>
        <v>1833.53</v>
      </c>
      <c r="F48" s="48" t="str">
        <f t="shared" si="4"/>
        <v>0</v>
      </c>
      <c r="G48" s="48">
        <f t="shared" si="5"/>
        <v>25</v>
      </c>
      <c r="H48" s="48">
        <f t="shared" si="6"/>
        <v>25</v>
      </c>
      <c r="I48" s="40">
        <f t="shared" si="7"/>
        <v>45838.25</v>
      </c>
      <c r="J48" s="39" t="str">
        <f t="shared" si="8"/>
        <v>Kenaikan IU</v>
      </c>
      <c r="K48" s="71" t="s">
        <v>1034</v>
      </c>
      <c r="O48" s="20" t="s">
        <v>42</v>
      </c>
      <c r="P48" t="s">
        <v>43</v>
      </c>
      <c r="Q48" t="s">
        <v>44</v>
      </c>
      <c r="R48" t="s">
        <v>45</v>
      </c>
      <c r="S48" t="s">
        <v>46</v>
      </c>
      <c r="T48" t="s">
        <v>47</v>
      </c>
      <c r="U48" t="s">
        <v>48</v>
      </c>
      <c r="V48" s="19" t="s">
        <v>49</v>
      </c>
      <c r="X48" s="20" t="s">
        <v>124</v>
      </c>
      <c r="Y48" t="s">
        <v>125</v>
      </c>
      <c r="Z48" t="s">
        <v>123</v>
      </c>
      <c r="AA48" s="10">
        <v>20</v>
      </c>
      <c r="AB48" t="s">
        <v>5</v>
      </c>
      <c r="AC48" s="10">
        <v>5487.3687</v>
      </c>
      <c r="AD48" s="19">
        <v>109747.374</v>
      </c>
      <c r="AF48" s="20">
        <v>7</v>
      </c>
      <c r="AG48" s="18" t="s">
        <v>130</v>
      </c>
      <c r="AH48" s="18" t="s">
        <v>131</v>
      </c>
      <c r="AI48" s="18" t="s">
        <v>123</v>
      </c>
      <c r="AJ48" s="21">
        <v>30</v>
      </c>
      <c r="AK48" s="18" t="s">
        <v>5</v>
      </c>
      <c r="AL48" s="21">
        <v>6354.5238999999992</v>
      </c>
      <c r="AM48" s="19">
        <v>190635.717</v>
      </c>
      <c r="AO48" s="20" t="s">
        <v>7</v>
      </c>
      <c r="AP48" s="18" t="s">
        <v>8</v>
      </c>
      <c r="AQ48" s="18" t="s">
        <v>4</v>
      </c>
      <c r="AR48" s="21">
        <v>1</v>
      </c>
      <c r="AS48" s="18" t="s">
        <v>9</v>
      </c>
      <c r="AT48" s="21">
        <v>133200</v>
      </c>
      <c r="AU48" s="19">
        <v>133200</v>
      </c>
      <c r="AW48" s="20" t="s">
        <v>7</v>
      </c>
      <c r="AX48" s="18" t="s">
        <v>8</v>
      </c>
      <c r="AY48" s="18" t="s">
        <v>4</v>
      </c>
      <c r="AZ48" s="21">
        <v>1</v>
      </c>
      <c r="BA48" s="18" t="s">
        <v>9</v>
      </c>
      <c r="BB48" s="21">
        <v>133200</v>
      </c>
      <c r="BC48" s="19">
        <v>133200</v>
      </c>
    </row>
    <row r="49" spans="1:55" x14ac:dyDescent="0.35">
      <c r="A49" s="38" t="str">
        <v>CECM0001</v>
      </c>
      <c r="B49" s="31" t="str">
        <f t="shared" si="0"/>
        <v>XYZ KARBOL PINUS 5 L</v>
      </c>
      <c r="C49" s="31" t="str">
        <f t="shared" si="1"/>
        <v>CLEANING CHEMICAL</v>
      </c>
      <c r="D49" s="39" t="str">
        <f t="shared" si="2"/>
        <v>btl</v>
      </c>
      <c r="E49" s="47">
        <f t="shared" si="3"/>
        <v>55300</v>
      </c>
      <c r="F49" s="48">
        <f t="shared" si="4"/>
        <v>8</v>
      </c>
      <c r="G49" s="48">
        <f t="shared" si="5"/>
        <v>3</v>
      </c>
      <c r="H49" s="48">
        <f t="shared" si="6"/>
        <v>-5</v>
      </c>
      <c r="I49" s="40">
        <f t="shared" si="7"/>
        <v>-276500</v>
      </c>
      <c r="J49" s="39" t="str">
        <f t="shared" si="8"/>
        <v>Penurunan IU</v>
      </c>
      <c r="K49" s="71" t="s">
        <v>1041</v>
      </c>
      <c r="O49" s="20">
        <v>1</v>
      </c>
      <c r="P49" t="s">
        <v>115</v>
      </c>
      <c r="Q49" t="s">
        <v>116</v>
      </c>
      <c r="R49" t="s">
        <v>117</v>
      </c>
      <c r="S49" s="10">
        <v>900</v>
      </c>
      <c r="T49" t="s">
        <v>52</v>
      </c>
      <c r="U49" s="10">
        <v>628.57100000000003</v>
      </c>
      <c r="V49" s="19">
        <v>565713.9</v>
      </c>
      <c r="X49" s="20" t="s">
        <v>126</v>
      </c>
      <c r="Y49" t="s">
        <v>127</v>
      </c>
      <c r="Z49" t="s">
        <v>123</v>
      </c>
      <c r="AA49" s="10">
        <v>8</v>
      </c>
      <c r="AB49" t="s">
        <v>5</v>
      </c>
      <c r="AC49" s="10">
        <v>6763.7295999999997</v>
      </c>
      <c r="AD49" s="19">
        <v>54109.836799999997</v>
      </c>
      <c r="AF49" s="20">
        <v>8</v>
      </c>
      <c r="AG49" s="18" t="s">
        <v>132</v>
      </c>
      <c r="AH49" s="18" t="s">
        <v>133</v>
      </c>
      <c r="AI49" s="18" t="s">
        <v>123</v>
      </c>
      <c r="AJ49" s="21">
        <v>54</v>
      </c>
      <c r="AK49" s="18" t="s">
        <v>134</v>
      </c>
      <c r="AL49" s="21">
        <v>12999.9943</v>
      </c>
      <c r="AM49" s="19">
        <v>701999.69220000005</v>
      </c>
      <c r="AO49" s="20" t="s">
        <v>403</v>
      </c>
      <c r="AP49" s="18" t="s">
        <v>404</v>
      </c>
      <c r="AQ49" s="18" t="s">
        <v>4</v>
      </c>
      <c r="AR49" s="21">
        <v>0.2</v>
      </c>
      <c r="AS49" s="18" t="s">
        <v>9</v>
      </c>
      <c r="AT49" s="21">
        <v>70700</v>
      </c>
      <c r="AU49" s="19">
        <v>14140</v>
      </c>
      <c r="AW49" s="20" t="s">
        <v>403</v>
      </c>
      <c r="AX49" s="18" t="s">
        <v>404</v>
      </c>
      <c r="AY49" s="18" t="s">
        <v>4</v>
      </c>
      <c r="AZ49" s="21">
        <v>0.2</v>
      </c>
      <c r="BA49" s="18" t="s">
        <v>9</v>
      </c>
      <c r="BB49" s="21">
        <v>70700</v>
      </c>
      <c r="BC49" s="19">
        <v>14140</v>
      </c>
    </row>
    <row r="50" spans="1:55" x14ac:dyDescent="0.35">
      <c r="A50" s="38" t="str">
        <v>CECM00013</v>
      </c>
      <c r="B50" s="31" t="str">
        <f t="shared" si="0"/>
        <v>DAIA 800 GR</v>
      </c>
      <c r="C50" s="31" t="str">
        <f t="shared" si="1"/>
        <v>CLEANING CHEMICAL</v>
      </c>
      <c r="D50" s="39" t="str">
        <f t="shared" si="2"/>
        <v>pack</v>
      </c>
      <c r="E50" s="47">
        <f t="shared" si="3"/>
        <v>24003.8557</v>
      </c>
      <c r="F50" s="48">
        <f t="shared" si="4"/>
        <v>7.5</v>
      </c>
      <c r="G50" s="48">
        <f t="shared" si="5"/>
        <v>1</v>
      </c>
      <c r="H50" s="48">
        <f t="shared" si="6"/>
        <v>-6.5</v>
      </c>
      <c r="I50" s="40">
        <f t="shared" si="7"/>
        <v>-156025.06205000001</v>
      </c>
      <c r="J50" s="39" t="str">
        <f t="shared" si="8"/>
        <v>Penurunan IU</v>
      </c>
      <c r="K50" s="71" t="s">
        <v>1031</v>
      </c>
      <c r="O50" s="20">
        <v>2</v>
      </c>
      <c r="P50" t="s">
        <v>814</v>
      </c>
      <c r="Q50" t="s">
        <v>815</v>
      </c>
      <c r="R50" t="s">
        <v>120</v>
      </c>
      <c r="S50" s="10">
        <v>1</v>
      </c>
      <c r="T50" t="s">
        <v>20</v>
      </c>
      <c r="U50" s="10">
        <v>10000</v>
      </c>
      <c r="V50" s="19">
        <v>10000</v>
      </c>
      <c r="X50" s="20" t="s">
        <v>128</v>
      </c>
      <c r="Y50" t="s">
        <v>129</v>
      </c>
      <c r="Z50" t="s">
        <v>123</v>
      </c>
      <c r="AA50" s="10">
        <v>6</v>
      </c>
      <c r="AB50" t="s">
        <v>74</v>
      </c>
      <c r="AC50" s="10">
        <v>142062.4143</v>
      </c>
      <c r="AD50" s="19">
        <v>852374.48580000002</v>
      </c>
      <c r="AF50" s="20">
        <v>9</v>
      </c>
      <c r="AG50" s="18" t="s">
        <v>135</v>
      </c>
      <c r="AH50" s="18" t="s">
        <v>136</v>
      </c>
      <c r="AI50" s="18" t="s">
        <v>123</v>
      </c>
      <c r="AJ50" s="21">
        <v>26</v>
      </c>
      <c r="AK50" s="18" t="s">
        <v>5</v>
      </c>
      <c r="AL50" s="21">
        <v>5693.1962000000003</v>
      </c>
      <c r="AM50" s="19">
        <v>148023.1012</v>
      </c>
      <c r="AO50" s="20" t="s">
        <v>13</v>
      </c>
      <c r="AP50" s="18" t="s">
        <v>14</v>
      </c>
      <c r="AQ50" s="18" t="s">
        <v>4</v>
      </c>
      <c r="AR50" s="21">
        <v>0.7</v>
      </c>
      <c r="AS50" s="18" t="s">
        <v>15</v>
      </c>
      <c r="AT50" s="21">
        <v>77700</v>
      </c>
      <c r="AU50" s="19">
        <v>54390</v>
      </c>
      <c r="AW50" s="20" t="s">
        <v>13</v>
      </c>
      <c r="AX50" s="18" t="s">
        <v>14</v>
      </c>
      <c r="AY50" s="18" t="s">
        <v>4</v>
      </c>
      <c r="AZ50" s="21">
        <v>0.7</v>
      </c>
      <c r="BA50" s="18" t="s">
        <v>15</v>
      </c>
      <c r="BB50" s="21">
        <v>77700</v>
      </c>
      <c r="BC50" s="19">
        <v>54390</v>
      </c>
    </row>
    <row r="51" spans="1:55" x14ac:dyDescent="0.35">
      <c r="A51" s="38" t="str">
        <v>CECM0005</v>
      </c>
      <c r="B51" s="31" t="str">
        <f t="shared" si="0"/>
        <v>XYZ GLASS CLEANER 5 LTR</v>
      </c>
      <c r="C51" s="31" t="str">
        <f t="shared" si="1"/>
        <v>CLEANING CHEMICAL</v>
      </c>
      <c r="D51" s="39" t="str">
        <f t="shared" si="2"/>
        <v>gln</v>
      </c>
      <c r="E51" s="47">
        <f t="shared" si="3"/>
        <v>55295.432000000001</v>
      </c>
      <c r="F51" s="48">
        <f t="shared" si="4"/>
        <v>3</v>
      </c>
      <c r="G51" s="48">
        <f t="shared" si="5"/>
        <v>0.5</v>
      </c>
      <c r="H51" s="48">
        <f t="shared" si="6"/>
        <v>-2.5</v>
      </c>
      <c r="I51" s="40">
        <f t="shared" si="7"/>
        <v>-138238.58000000002</v>
      </c>
      <c r="J51" s="39" t="str">
        <f t="shared" si="8"/>
        <v>Penurunan IU</v>
      </c>
      <c r="K51" s="71" t="s">
        <v>1041</v>
      </c>
      <c r="O51" s="20">
        <v>3</v>
      </c>
      <c r="P51" t="s">
        <v>121</v>
      </c>
      <c r="Q51" t="s">
        <v>122</v>
      </c>
      <c r="R51" t="s">
        <v>123</v>
      </c>
      <c r="S51" s="10">
        <v>5</v>
      </c>
      <c r="T51" t="s">
        <v>5</v>
      </c>
      <c r="U51" s="10">
        <v>5000</v>
      </c>
      <c r="V51" s="19">
        <v>25000</v>
      </c>
      <c r="X51" s="20" t="s">
        <v>130</v>
      </c>
      <c r="Y51" t="s">
        <v>131</v>
      </c>
      <c r="Z51" t="s">
        <v>123</v>
      </c>
      <c r="AA51" s="10">
        <v>72</v>
      </c>
      <c r="AB51" t="s">
        <v>5</v>
      </c>
      <c r="AC51" s="10">
        <v>6353.6854000000012</v>
      </c>
      <c r="AD51" s="19">
        <v>457465.34879999998</v>
      </c>
      <c r="AF51" s="20">
        <v>10</v>
      </c>
      <c r="AG51" s="18" t="s">
        <v>137</v>
      </c>
      <c r="AH51" s="18" t="s">
        <v>138</v>
      </c>
      <c r="AI51" s="18" t="s">
        <v>123</v>
      </c>
      <c r="AJ51" s="21">
        <v>21</v>
      </c>
      <c r="AK51" s="18" t="s">
        <v>5</v>
      </c>
      <c r="AL51" s="21">
        <v>16078.4702</v>
      </c>
      <c r="AM51" s="19">
        <v>337647.87420000002</v>
      </c>
      <c r="AO51" s="20" t="s">
        <v>219</v>
      </c>
      <c r="AP51" s="18" t="s">
        <v>220</v>
      </c>
      <c r="AQ51" s="18" t="s">
        <v>4</v>
      </c>
      <c r="AR51" s="21">
        <v>4.5</v>
      </c>
      <c r="AS51" s="18" t="s">
        <v>25</v>
      </c>
      <c r="AT51" s="21">
        <v>57626.909099999997</v>
      </c>
      <c r="AU51" s="19">
        <v>259321.09095000001</v>
      </c>
      <c r="AW51" s="20" t="s">
        <v>219</v>
      </c>
      <c r="AX51" s="18" t="s">
        <v>220</v>
      </c>
      <c r="AY51" s="18" t="s">
        <v>4</v>
      </c>
      <c r="AZ51" s="21">
        <v>4.5</v>
      </c>
      <c r="BA51" s="18" t="s">
        <v>25</v>
      </c>
      <c r="BB51" s="21">
        <v>57626.909099999997</v>
      </c>
      <c r="BC51" s="19">
        <v>259321.09095000001</v>
      </c>
    </row>
    <row r="52" spans="1:55" x14ac:dyDescent="0.35">
      <c r="A52" s="38" t="str">
        <v>CECM0006</v>
      </c>
      <c r="B52" s="31" t="str">
        <f t="shared" si="0"/>
        <v>XYZ GREASE CLEANER 5 LTR</v>
      </c>
      <c r="C52" s="31" t="str">
        <f t="shared" si="1"/>
        <v>CLEANING CHEMICAL</v>
      </c>
      <c r="D52" s="39" t="str">
        <f t="shared" si="2"/>
        <v>gln</v>
      </c>
      <c r="E52" s="47">
        <f t="shared" si="3"/>
        <v>133200</v>
      </c>
      <c r="F52" s="48">
        <f t="shared" si="4"/>
        <v>1.5</v>
      </c>
      <c r="G52" s="48">
        <f t="shared" si="5"/>
        <v>1</v>
      </c>
      <c r="H52" s="48">
        <f t="shared" si="6"/>
        <v>-0.5</v>
      </c>
      <c r="I52" s="40">
        <f t="shared" si="7"/>
        <v>-66600</v>
      </c>
      <c r="J52" s="39" t="str">
        <f t="shared" si="8"/>
        <v>Penurunan IU</v>
      </c>
      <c r="K52" s="71" t="s">
        <v>1041</v>
      </c>
      <c r="O52" s="20">
        <v>4</v>
      </c>
      <c r="P52" t="s">
        <v>124</v>
      </c>
      <c r="Q52" t="s">
        <v>125</v>
      </c>
      <c r="R52" t="s">
        <v>123</v>
      </c>
      <c r="S52" s="10">
        <v>20</v>
      </c>
      <c r="T52" t="s">
        <v>5</v>
      </c>
      <c r="U52" s="10">
        <v>5487.3687</v>
      </c>
      <c r="V52" s="19">
        <v>109747.374</v>
      </c>
      <c r="X52" s="20" t="s">
        <v>132</v>
      </c>
      <c r="Y52" t="s">
        <v>133</v>
      </c>
      <c r="Z52" t="s">
        <v>123</v>
      </c>
      <c r="AA52" s="10">
        <v>16</v>
      </c>
      <c r="AB52" t="s">
        <v>134</v>
      </c>
      <c r="AC52" s="10">
        <v>12999.9908</v>
      </c>
      <c r="AD52" s="19">
        <v>207999.85279999999</v>
      </c>
      <c r="AF52" s="20">
        <v>11</v>
      </c>
      <c r="AG52" s="18" t="s">
        <v>139</v>
      </c>
      <c r="AH52" s="18" t="s">
        <v>140</v>
      </c>
      <c r="AI52" s="18" t="s">
        <v>123</v>
      </c>
      <c r="AJ52" s="21">
        <v>20</v>
      </c>
      <c r="AK52" s="18" t="s">
        <v>5</v>
      </c>
      <c r="AL52" s="21">
        <v>42903.1463</v>
      </c>
      <c r="AM52" s="19">
        <v>858062.92599999998</v>
      </c>
      <c r="AO52" s="20" t="s">
        <v>221</v>
      </c>
      <c r="AP52" s="18" t="s">
        <v>222</v>
      </c>
      <c r="AQ52" s="18" t="s">
        <v>4</v>
      </c>
      <c r="AR52" s="21">
        <v>4</v>
      </c>
      <c r="AS52" s="18" t="s">
        <v>25</v>
      </c>
      <c r="AT52" s="21">
        <v>87760.833299999998</v>
      </c>
      <c r="AU52" s="19">
        <v>351043.33319999999</v>
      </c>
      <c r="AW52" s="20" t="s">
        <v>221</v>
      </c>
      <c r="AX52" s="18" t="s">
        <v>222</v>
      </c>
      <c r="AY52" s="18" t="s">
        <v>4</v>
      </c>
      <c r="AZ52" s="21">
        <v>4</v>
      </c>
      <c r="BA52" s="18" t="s">
        <v>25</v>
      </c>
      <c r="BB52" s="21">
        <v>87760.833299999998</v>
      </c>
      <c r="BC52" s="19">
        <v>351043.33319999999</v>
      </c>
    </row>
    <row r="53" spans="1:55" x14ac:dyDescent="0.35">
      <c r="A53" s="38" t="str">
        <v>CECM0007</v>
      </c>
      <c r="B53" s="31" t="str">
        <f t="shared" si="0"/>
        <v>XYZ DISINFEKTAN 5 LTR</v>
      </c>
      <c r="C53" s="31" t="str">
        <f t="shared" si="1"/>
        <v>CLEANING CHEMICAL</v>
      </c>
      <c r="D53" s="39" t="str">
        <f t="shared" si="2"/>
        <v>gln</v>
      </c>
      <c r="E53" s="47">
        <f t="shared" si="3"/>
        <v>70700</v>
      </c>
      <c r="F53" s="48" t="str">
        <f t="shared" si="4"/>
        <v>0</v>
      </c>
      <c r="G53" s="48">
        <f t="shared" si="5"/>
        <v>0.2</v>
      </c>
      <c r="H53" s="48">
        <f t="shared" si="6"/>
        <v>0.2</v>
      </c>
      <c r="I53" s="40">
        <f t="shared" si="7"/>
        <v>14140</v>
      </c>
      <c r="J53" s="39" t="str">
        <f t="shared" si="8"/>
        <v>Kenaikan IU</v>
      </c>
      <c r="K53" s="71" t="s">
        <v>1041</v>
      </c>
      <c r="O53" s="20">
        <v>5</v>
      </c>
      <c r="P53" t="s">
        <v>126</v>
      </c>
      <c r="Q53" t="s">
        <v>127</v>
      </c>
      <c r="R53" t="s">
        <v>123</v>
      </c>
      <c r="S53" s="10">
        <v>8</v>
      </c>
      <c r="T53" t="s">
        <v>5</v>
      </c>
      <c r="U53" s="10">
        <v>6763.7295999999997</v>
      </c>
      <c r="V53" s="19">
        <v>54109.836799999997</v>
      </c>
      <c r="X53" s="20" t="s">
        <v>135</v>
      </c>
      <c r="Y53" t="s">
        <v>136</v>
      </c>
      <c r="Z53" t="s">
        <v>123</v>
      </c>
      <c r="AA53" s="10">
        <v>22</v>
      </c>
      <c r="AB53" t="s">
        <v>5</v>
      </c>
      <c r="AC53" s="10">
        <v>5637.398714285715</v>
      </c>
      <c r="AD53" s="19">
        <v>124022.771714</v>
      </c>
      <c r="AF53" s="20">
        <v>12</v>
      </c>
      <c r="AG53" s="18" t="s">
        <v>141</v>
      </c>
      <c r="AH53" s="18" t="s">
        <v>142</v>
      </c>
      <c r="AI53" s="18" t="s">
        <v>123</v>
      </c>
      <c r="AJ53" s="21">
        <v>8</v>
      </c>
      <c r="AK53" s="18" t="s">
        <v>5</v>
      </c>
      <c r="AL53" s="21">
        <v>42180.911</v>
      </c>
      <c r="AM53" s="19">
        <v>337447.288</v>
      </c>
      <c r="AO53" s="20" t="s">
        <v>23</v>
      </c>
      <c r="AP53" s="18" t="s">
        <v>24</v>
      </c>
      <c r="AQ53" s="18" t="s">
        <v>4</v>
      </c>
      <c r="AR53" s="21">
        <v>39</v>
      </c>
      <c r="AS53" s="18" t="s">
        <v>25</v>
      </c>
      <c r="AT53" s="21">
        <v>17760</v>
      </c>
      <c r="AU53" s="19">
        <v>692640</v>
      </c>
      <c r="AW53" s="20" t="s">
        <v>23</v>
      </c>
      <c r="AX53" s="18" t="s">
        <v>24</v>
      </c>
      <c r="AY53" s="18" t="s">
        <v>4</v>
      </c>
      <c r="AZ53" s="21">
        <v>39</v>
      </c>
      <c r="BA53" s="18" t="s">
        <v>25</v>
      </c>
      <c r="BB53" s="21">
        <v>17760</v>
      </c>
      <c r="BC53" s="19">
        <v>692640</v>
      </c>
    </row>
    <row r="54" spans="1:55" x14ac:dyDescent="0.35">
      <c r="A54" s="38" t="str">
        <v>CECM0008</v>
      </c>
      <c r="B54" s="31" t="str">
        <f t="shared" si="0"/>
        <v>XYZ ANTI BACTERIAL HANDSOAP 5 L</v>
      </c>
      <c r="C54" s="31" t="str">
        <f t="shared" si="1"/>
        <v>CLEANING CHEMICAL</v>
      </c>
      <c r="D54" s="39" t="str">
        <f t="shared" si="2"/>
        <v>jerrycan</v>
      </c>
      <c r="E54" s="47">
        <f t="shared" si="3"/>
        <v>77700</v>
      </c>
      <c r="F54" s="48">
        <f t="shared" si="4"/>
        <v>0.9</v>
      </c>
      <c r="G54" s="48">
        <f t="shared" si="5"/>
        <v>0.7</v>
      </c>
      <c r="H54" s="48">
        <f t="shared" si="6"/>
        <v>-0.20000000000000007</v>
      </c>
      <c r="I54" s="40">
        <f t="shared" si="7"/>
        <v>-15540.000000000005</v>
      </c>
      <c r="J54" s="39" t="str">
        <f t="shared" si="8"/>
        <v>Penurunan IU</v>
      </c>
      <c r="K54" s="71" t="s">
        <v>1041</v>
      </c>
      <c r="O54" s="20">
        <v>6</v>
      </c>
      <c r="P54" t="s">
        <v>128</v>
      </c>
      <c r="Q54" t="s">
        <v>129</v>
      </c>
      <c r="R54" t="s">
        <v>123</v>
      </c>
      <c r="S54" s="10">
        <v>6</v>
      </c>
      <c r="T54" t="s">
        <v>74</v>
      </c>
      <c r="U54" s="10">
        <v>142062.4143</v>
      </c>
      <c r="V54" s="19">
        <v>852374.48580000002</v>
      </c>
      <c r="X54" s="20" t="s">
        <v>137</v>
      </c>
      <c r="Y54" t="s">
        <v>138</v>
      </c>
      <c r="Z54" t="s">
        <v>123</v>
      </c>
      <c r="AA54" s="10">
        <v>33</v>
      </c>
      <c r="AB54" t="s">
        <v>5</v>
      </c>
      <c r="AC54" s="10">
        <v>16030.587299999999</v>
      </c>
      <c r="AD54" s="19">
        <v>529009.38089999999</v>
      </c>
      <c r="AF54" s="20">
        <v>13</v>
      </c>
      <c r="AG54" s="18" t="s">
        <v>143</v>
      </c>
      <c r="AH54" s="18" t="s">
        <v>144</v>
      </c>
      <c r="AI54" s="18" t="s">
        <v>123</v>
      </c>
      <c r="AJ54" s="21">
        <v>0.3</v>
      </c>
      <c r="AK54" s="18" t="s">
        <v>5</v>
      </c>
      <c r="AL54" s="21">
        <v>25952.173900000002</v>
      </c>
      <c r="AM54" s="19">
        <v>7785.6521700000003</v>
      </c>
      <c r="AO54" s="20" t="s">
        <v>28</v>
      </c>
      <c r="AP54" s="18" t="s">
        <v>29</v>
      </c>
      <c r="AQ54" s="18" t="s">
        <v>4</v>
      </c>
      <c r="AR54" s="21">
        <v>5</v>
      </c>
      <c r="AS54" s="18" t="s">
        <v>30</v>
      </c>
      <c r="AT54" s="21">
        <v>19760</v>
      </c>
      <c r="AU54" s="19">
        <v>98800</v>
      </c>
      <c r="AW54" s="20" t="s">
        <v>28</v>
      </c>
      <c r="AX54" s="18" t="s">
        <v>29</v>
      </c>
      <c r="AY54" s="18" t="s">
        <v>4</v>
      </c>
      <c r="AZ54" s="21">
        <v>5</v>
      </c>
      <c r="BA54" s="18" t="s">
        <v>30</v>
      </c>
      <c r="BB54" s="21">
        <v>19760</v>
      </c>
      <c r="BC54" s="19">
        <v>98800</v>
      </c>
    </row>
    <row r="55" spans="1:55" x14ac:dyDescent="0.35">
      <c r="A55" s="38" t="str">
        <v>CECM0010</v>
      </c>
      <c r="B55" s="31" t="str">
        <f t="shared" si="0"/>
        <v>SUMA CRYSTAL 5 L</v>
      </c>
      <c r="C55" s="31" t="str">
        <f t="shared" si="1"/>
        <v>CLEANING CHEMICAL</v>
      </c>
      <c r="D55" s="39" t="str">
        <f t="shared" si="2"/>
        <v>ltr</v>
      </c>
      <c r="E55" s="47">
        <f t="shared" si="3"/>
        <v>57626.909099999997</v>
      </c>
      <c r="F55" s="48">
        <f t="shared" si="4"/>
        <v>5</v>
      </c>
      <c r="G55" s="48">
        <f t="shared" si="5"/>
        <v>4.5</v>
      </c>
      <c r="H55" s="48">
        <f t="shared" si="6"/>
        <v>-0.5</v>
      </c>
      <c r="I55" s="40">
        <f t="shared" si="7"/>
        <v>-28813.454549999999</v>
      </c>
      <c r="J55" s="39" t="str">
        <f t="shared" si="8"/>
        <v>Penurunan IU</v>
      </c>
      <c r="K55" s="71" t="s">
        <v>1041</v>
      </c>
      <c r="O55" s="20">
        <v>7</v>
      </c>
      <c r="P55" t="s">
        <v>130</v>
      </c>
      <c r="Q55" t="s">
        <v>131</v>
      </c>
      <c r="R55" t="s">
        <v>123</v>
      </c>
      <c r="S55" s="10">
        <v>72</v>
      </c>
      <c r="T55" t="s">
        <v>5</v>
      </c>
      <c r="U55" s="10">
        <v>6353.6854000000012</v>
      </c>
      <c r="V55" s="19">
        <v>457465.34879999998</v>
      </c>
      <c r="X55" s="20" t="s">
        <v>139</v>
      </c>
      <c r="Y55" t="s">
        <v>140</v>
      </c>
      <c r="Z55" t="s">
        <v>123</v>
      </c>
      <c r="AA55" s="10">
        <v>16</v>
      </c>
      <c r="AB55" t="s">
        <v>5</v>
      </c>
      <c r="AC55" s="10">
        <v>42481.927754999997</v>
      </c>
      <c r="AD55" s="19">
        <v>679710.84407999995</v>
      </c>
      <c r="AF55" s="20">
        <v>14</v>
      </c>
      <c r="AG55" s="18" t="s">
        <v>905</v>
      </c>
      <c r="AH55" s="18" t="s">
        <v>906</v>
      </c>
      <c r="AI55" s="18" t="s">
        <v>123</v>
      </c>
      <c r="AJ55" s="21">
        <v>1</v>
      </c>
      <c r="AK55" s="18" t="s">
        <v>20</v>
      </c>
      <c r="AL55" s="21">
        <v>45950</v>
      </c>
      <c r="AM55" s="19">
        <v>45950</v>
      </c>
      <c r="AO55" s="20" t="s">
        <v>33</v>
      </c>
      <c r="AP55" s="18" t="s">
        <v>34</v>
      </c>
      <c r="AQ55" s="18" t="s">
        <v>4</v>
      </c>
      <c r="AR55" s="21">
        <v>35</v>
      </c>
      <c r="AS55" s="18" t="s">
        <v>30</v>
      </c>
      <c r="AT55" s="21">
        <v>13000</v>
      </c>
      <c r="AU55" s="19">
        <v>455000</v>
      </c>
      <c r="AW55" s="20" t="s">
        <v>33</v>
      </c>
      <c r="AX55" s="18" t="s">
        <v>34</v>
      </c>
      <c r="AY55" s="18" t="s">
        <v>4</v>
      </c>
      <c r="AZ55" s="21">
        <v>35</v>
      </c>
      <c r="BA55" s="18" t="s">
        <v>30</v>
      </c>
      <c r="BB55" s="21">
        <v>13000</v>
      </c>
      <c r="BC55" s="19">
        <v>455000</v>
      </c>
    </row>
    <row r="56" spans="1:55" x14ac:dyDescent="0.35">
      <c r="A56" s="38" t="str">
        <v>CECM0011</v>
      </c>
      <c r="B56" s="31" t="str">
        <f t="shared" si="0"/>
        <v>SUMA NOVA 5 L</v>
      </c>
      <c r="C56" s="31" t="str">
        <f t="shared" si="1"/>
        <v>CLEANING CHEMICAL</v>
      </c>
      <c r="D56" s="39" t="str">
        <f t="shared" si="2"/>
        <v>ltr</v>
      </c>
      <c r="E56" s="47">
        <f t="shared" si="3"/>
        <v>87760.833299999998</v>
      </c>
      <c r="F56" s="48" t="str">
        <f t="shared" si="4"/>
        <v>0</v>
      </c>
      <c r="G56" s="48">
        <f t="shared" si="5"/>
        <v>4</v>
      </c>
      <c r="H56" s="48">
        <f t="shared" si="6"/>
        <v>4</v>
      </c>
      <c r="I56" s="40">
        <f t="shared" si="7"/>
        <v>351043.33319999999</v>
      </c>
      <c r="J56" s="39" t="str">
        <f t="shared" si="8"/>
        <v>Kenaikan IU</v>
      </c>
      <c r="K56" s="71" t="s">
        <v>1041</v>
      </c>
      <c r="O56" s="20">
        <v>8</v>
      </c>
      <c r="P56" t="s">
        <v>132</v>
      </c>
      <c r="Q56" t="s">
        <v>133</v>
      </c>
      <c r="R56" t="s">
        <v>123</v>
      </c>
      <c r="S56" s="10">
        <v>16</v>
      </c>
      <c r="T56" t="s">
        <v>134</v>
      </c>
      <c r="U56" s="10">
        <v>12999.9908</v>
      </c>
      <c r="V56" s="19">
        <v>207999.85279999999</v>
      </c>
      <c r="X56" s="20" t="s">
        <v>141</v>
      </c>
      <c r="Y56" t="s">
        <v>142</v>
      </c>
      <c r="Z56" t="s">
        <v>123</v>
      </c>
      <c r="AA56" s="10">
        <v>13</v>
      </c>
      <c r="AB56" t="s">
        <v>5</v>
      </c>
      <c r="AC56" s="10">
        <v>41829.414299999997</v>
      </c>
      <c r="AD56" s="19">
        <v>543782.38589999999</v>
      </c>
      <c r="AF56" s="20">
        <v>15</v>
      </c>
      <c r="AG56" s="18" t="s">
        <v>145</v>
      </c>
      <c r="AH56" s="18" t="s">
        <v>146</v>
      </c>
      <c r="AI56" s="18" t="s">
        <v>123</v>
      </c>
      <c r="AJ56" s="21">
        <v>54</v>
      </c>
      <c r="AK56" s="18" t="s">
        <v>5</v>
      </c>
      <c r="AL56" s="21">
        <v>4604.1441000000004</v>
      </c>
      <c r="AM56" s="19">
        <v>248623.78140000001</v>
      </c>
      <c r="AO56" s="20" t="s">
        <v>39</v>
      </c>
      <c r="AP56" s="18" t="s">
        <v>40</v>
      </c>
      <c r="AQ56" s="18" t="s">
        <v>41</v>
      </c>
      <c r="AR56" s="21">
        <v>1</v>
      </c>
      <c r="AS56" s="18" t="s">
        <v>20</v>
      </c>
      <c r="AT56" s="21">
        <v>6993.2383</v>
      </c>
      <c r="AU56" s="19">
        <v>6993.2383</v>
      </c>
      <c r="AW56" s="20" t="s">
        <v>39</v>
      </c>
      <c r="AX56" s="18" t="s">
        <v>40</v>
      </c>
      <c r="AY56" s="18" t="s">
        <v>41</v>
      </c>
      <c r="AZ56" s="21">
        <v>1</v>
      </c>
      <c r="BA56" s="18" t="s">
        <v>20</v>
      </c>
      <c r="BB56" s="21">
        <v>6993.2383</v>
      </c>
      <c r="BC56" s="19">
        <v>6993.2383</v>
      </c>
    </row>
    <row r="57" spans="1:55" x14ac:dyDescent="0.35">
      <c r="A57" s="38" t="str">
        <v>CECM0012</v>
      </c>
      <c r="B57" s="31" t="str">
        <f t="shared" si="0"/>
        <v>NOBLA LIQUID 20 L</v>
      </c>
      <c r="C57" s="31" t="str">
        <f t="shared" si="1"/>
        <v>CLEANING CHEMICAL</v>
      </c>
      <c r="D57" s="39" t="str">
        <f t="shared" si="2"/>
        <v>ltr</v>
      </c>
      <c r="E57" s="47">
        <f t="shared" si="3"/>
        <v>17760</v>
      </c>
      <c r="F57" s="48">
        <f t="shared" si="4"/>
        <v>59</v>
      </c>
      <c r="G57" s="48">
        <f t="shared" si="5"/>
        <v>39</v>
      </c>
      <c r="H57" s="48">
        <f t="shared" si="6"/>
        <v>-20</v>
      </c>
      <c r="I57" s="40">
        <f t="shared" si="7"/>
        <v>-355200</v>
      </c>
      <c r="J57" s="39" t="str">
        <f t="shared" si="8"/>
        <v>Penurunan IU</v>
      </c>
      <c r="K57" s="71" t="s">
        <v>1041</v>
      </c>
      <c r="O57" s="20">
        <v>9</v>
      </c>
      <c r="P57" t="s">
        <v>135</v>
      </c>
      <c r="Q57" t="s">
        <v>136</v>
      </c>
      <c r="R57" t="s">
        <v>123</v>
      </c>
      <c r="S57" s="10">
        <v>22</v>
      </c>
      <c r="T57" t="s">
        <v>5</v>
      </c>
      <c r="U57" s="10">
        <v>5637.398714285715</v>
      </c>
      <c r="V57" s="19">
        <v>124022.771714</v>
      </c>
      <c r="X57" s="20" t="s">
        <v>143</v>
      </c>
      <c r="Y57" t="s">
        <v>144</v>
      </c>
      <c r="Z57" t="s">
        <v>123</v>
      </c>
      <c r="AA57" s="10">
        <v>0.2</v>
      </c>
      <c r="AB57" t="s">
        <v>5</v>
      </c>
      <c r="AC57" s="10">
        <v>48800</v>
      </c>
      <c r="AD57" s="19">
        <v>9760</v>
      </c>
      <c r="AF57" s="20">
        <v>16</v>
      </c>
      <c r="AG57" s="18" t="s">
        <v>147</v>
      </c>
      <c r="AH57" s="18" t="s">
        <v>148</v>
      </c>
      <c r="AI57" s="18" t="s">
        <v>123</v>
      </c>
      <c r="AJ57" s="18">
        <v>1</v>
      </c>
      <c r="AK57" s="18" t="s">
        <v>5</v>
      </c>
      <c r="AL57" s="18">
        <v>15000</v>
      </c>
      <c r="AM57" s="19">
        <v>15000</v>
      </c>
      <c r="AO57" s="20" t="s">
        <v>304</v>
      </c>
      <c r="AP57" s="18" t="s">
        <v>305</v>
      </c>
      <c r="AQ57" s="18" t="s">
        <v>41</v>
      </c>
      <c r="AR57" s="21">
        <v>1</v>
      </c>
      <c r="AS57" s="18" t="s">
        <v>20</v>
      </c>
      <c r="AT57" s="21">
        <v>6978.5729000000001</v>
      </c>
      <c r="AU57" s="19">
        <v>6978.5729000000001</v>
      </c>
      <c r="AW57" s="20" t="s">
        <v>304</v>
      </c>
      <c r="AX57" s="18" t="s">
        <v>305</v>
      </c>
      <c r="AY57" s="18" t="s">
        <v>41</v>
      </c>
      <c r="AZ57" s="21">
        <v>1</v>
      </c>
      <c r="BA57" s="18" t="s">
        <v>20</v>
      </c>
      <c r="BB57" s="21">
        <v>6978.5729000000001</v>
      </c>
      <c r="BC57" s="19">
        <v>6978.5729000000001</v>
      </c>
    </row>
    <row r="58" spans="1:55" ht="15" thickBot="1" x14ac:dyDescent="0.4">
      <c r="A58" s="38" t="str">
        <v>CECM0014</v>
      </c>
      <c r="B58" s="31" t="str">
        <f t="shared" si="0"/>
        <v>XYZ KARBOL LEMONGRASS 5 L</v>
      </c>
      <c r="C58" s="31" t="str">
        <f t="shared" si="1"/>
        <v>CLEANING CHEMICAL</v>
      </c>
      <c r="D58" s="39" t="str">
        <f t="shared" si="2"/>
        <v>liter</v>
      </c>
      <c r="E58" s="47">
        <f t="shared" si="3"/>
        <v>19760</v>
      </c>
      <c r="F58" s="48">
        <f t="shared" si="4"/>
        <v>19</v>
      </c>
      <c r="G58" s="48">
        <f t="shared" si="5"/>
        <v>5</v>
      </c>
      <c r="H58" s="48">
        <f t="shared" si="6"/>
        <v>-14</v>
      </c>
      <c r="I58" s="40">
        <f t="shared" si="7"/>
        <v>-276640</v>
      </c>
      <c r="J58" s="39" t="str">
        <f t="shared" si="8"/>
        <v>Penurunan IU</v>
      </c>
      <c r="K58" s="71" t="s">
        <v>1041</v>
      </c>
      <c r="O58" s="20">
        <v>10</v>
      </c>
      <c r="P58" t="s">
        <v>137</v>
      </c>
      <c r="Q58" t="s">
        <v>138</v>
      </c>
      <c r="R58" t="s">
        <v>123</v>
      </c>
      <c r="S58" s="10">
        <v>33</v>
      </c>
      <c r="T58" t="s">
        <v>5</v>
      </c>
      <c r="U58" s="10">
        <v>16030.587299999999</v>
      </c>
      <c r="V58" s="19">
        <v>529009.38089999999</v>
      </c>
      <c r="X58" s="20" t="s">
        <v>145</v>
      </c>
      <c r="Y58" t="s">
        <v>146</v>
      </c>
      <c r="Z58" t="s">
        <v>123</v>
      </c>
      <c r="AA58" s="10">
        <v>117</v>
      </c>
      <c r="AB58" t="s">
        <v>5</v>
      </c>
      <c r="AC58" s="10">
        <v>4604.1441000000004</v>
      </c>
      <c r="AD58" s="19">
        <v>538684.85970000003</v>
      </c>
      <c r="AF58" s="22" t="s">
        <v>223</v>
      </c>
      <c r="AG58" s="23" t="s">
        <v>223</v>
      </c>
      <c r="AH58" s="23" t="s">
        <v>223</v>
      </c>
      <c r="AI58" s="23" t="s">
        <v>223</v>
      </c>
      <c r="AJ58" s="23" t="s">
        <v>223</v>
      </c>
      <c r="AK58" s="23" t="s">
        <v>223</v>
      </c>
      <c r="AL58" s="23" t="s">
        <v>224</v>
      </c>
      <c r="AM58" s="24">
        <v>4935811.9201699989</v>
      </c>
      <c r="AO58" s="20" t="s">
        <v>50</v>
      </c>
      <c r="AP58" s="18" t="s">
        <v>51</v>
      </c>
      <c r="AQ58" s="18" t="s">
        <v>41</v>
      </c>
      <c r="AR58" s="21">
        <v>9</v>
      </c>
      <c r="AS58" s="18" t="s">
        <v>52</v>
      </c>
      <c r="AT58" s="21">
        <v>20500</v>
      </c>
      <c r="AU58" s="19">
        <v>184500</v>
      </c>
      <c r="AW58" s="20" t="s">
        <v>50</v>
      </c>
      <c r="AX58" s="18" t="s">
        <v>51</v>
      </c>
      <c r="AY58" s="18" t="s">
        <v>41</v>
      </c>
      <c r="AZ58" s="21">
        <v>9</v>
      </c>
      <c r="BA58" s="18" t="s">
        <v>52</v>
      </c>
      <c r="BB58" s="21">
        <v>20500</v>
      </c>
      <c r="BC58" s="19">
        <v>184500</v>
      </c>
    </row>
    <row r="59" spans="1:55" x14ac:dyDescent="0.35">
      <c r="A59" s="38" t="str">
        <v>CECM0018</v>
      </c>
      <c r="B59" s="31" t="str">
        <f t="shared" si="0"/>
        <v>XYZ GENERAL CLEANER  (CUCI PIRING LIME)</v>
      </c>
      <c r="C59" s="31" t="str">
        <f t="shared" si="1"/>
        <v>CLEANING CHEMICAL</v>
      </c>
      <c r="D59" s="39" t="str">
        <f t="shared" si="2"/>
        <v>liter</v>
      </c>
      <c r="E59" s="47">
        <f t="shared" si="3"/>
        <v>13000</v>
      </c>
      <c r="F59" s="48">
        <f t="shared" si="4"/>
        <v>37</v>
      </c>
      <c r="G59" s="48">
        <f t="shared" si="5"/>
        <v>35</v>
      </c>
      <c r="H59" s="48">
        <f t="shared" si="6"/>
        <v>-2</v>
      </c>
      <c r="I59" s="40">
        <f t="shared" si="7"/>
        <v>-26000</v>
      </c>
      <c r="J59" s="39" t="str">
        <f t="shared" si="8"/>
        <v>Penurunan IU</v>
      </c>
      <c r="K59" s="71" t="s">
        <v>1041</v>
      </c>
      <c r="O59" s="20">
        <v>11</v>
      </c>
      <c r="P59" t="s">
        <v>139</v>
      </c>
      <c r="Q59" t="s">
        <v>140</v>
      </c>
      <c r="R59" t="s">
        <v>123</v>
      </c>
      <c r="S59" s="10">
        <v>16</v>
      </c>
      <c r="T59" t="s">
        <v>5</v>
      </c>
      <c r="U59" s="10">
        <v>42481.927754999997</v>
      </c>
      <c r="V59" s="19">
        <v>679710.84407999995</v>
      </c>
      <c r="X59" s="20" t="s">
        <v>147</v>
      </c>
      <c r="Y59" t="s">
        <v>148</v>
      </c>
      <c r="Z59" t="s">
        <v>123</v>
      </c>
      <c r="AA59" s="10">
        <v>1.6</v>
      </c>
      <c r="AB59" t="s">
        <v>5</v>
      </c>
      <c r="AC59" s="10">
        <v>15000</v>
      </c>
      <c r="AD59" s="19">
        <v>24000</v>
      </c>
      <c r="AO59" s="20" t="s">
        <v>306</v>
      </c>
      <c r="AP59" s="18" t="s">
        <v>307</v>
      </c>
      <c r="AQ59" s="18" t="s">
        <v>41</v>
      </c>
      <c r="AR59" s="21">
        <v>2</v>
      </c>
      <c r="AS59" s="18" t="s">
        <v>20</v>
      </c>
      <c r="AT59" s="21">
        <v>7612.5015000000012</v>
      </c>
      <c r="AU59" s="19">
        <v>15225.003000000001</v>
      </c>
      <c r="AW59" s="20" t="s">
        <v>306</v>
      </c>
      <c r="AX59" s="18" t="s">
        <v>307</v>
      </c>
      <c r="AY59" s="18" t="s">
        <v>41</v>
      </c>
      <c r="AZ59" s="21">
        <v>2</v>
      </c>
      <c r="BA59" s="18" t="s">
        <v>20</v>
      </c>
      <c r="BB59" s="21">
        <v>7612.5015000000012</v>
      </c>
      <c r="BC59" s="19">
        <v>15225.003000000001</v>
      </c>
    </row>
    <row r="60" spans="1:55" ht="15" thickBot="1" x14ac:dyDescent="0.4">
      <c r="A60" s="38" t="str">
        <v>CETS0001</v>
      </c>
      <c r="B60" s="31" t="str">
        <f t="shared" si="0"/>
        <v>TOWEL ANJOLY BIRU-KECIL</v>
      </c>
      <c r="C60" s="31" t="str">
        <f t="shared" si="1"/>
        <v>CLEANING TOOLS AND SUPPLIES</v>
      </c>
      <c r="D60" s="39" t="str">
        <f t="shared" si="2"/>
        <v>pcs</v>
      </c>
      <c r="E60" s="47">
        <f t="shared" si="3"/>
        <v>6993.2383</v>
      </c>
      <c r="F60" s="48" t="str">
        <f t="shared" si="4"/>
        <v>0</v>
      </c>
      <c r="G60" s="48">
        <f t="shared" si="5"/>
        <v>1</v>
      </c>
      <c r="H60" s="48">
        <f t="shared" si="6"/>
        <v>1</v>
      </c>
      <c r="I60" s="40">
        <f t="shared" si="7"/>
        <v>6993.2383</v>
      </c>
      <c r="J60" s="39" t="str">
        <f t="shared" si="8"/>
        <v>Kenaikan IU</v>
      </c>
      <c r="K60" s="71" t="s">
        <v>1041</v>
      </c>
      <c r="O60" s="20">
        <v>12</v>
      </c>
      <c r="P60" t="s">
        <v>141</v>
      </c>
      <c r="Q60" t="s">
        <v>142</v>
      </c>
      <c r="R60" t="s">
        <v>123</v>
      </c>
      <c r="S60" s="10">
        <v>13</v>
      </c>
      <c r="T60" t="s">
        <v>5</v>
      </c>
      <c r="U60" s="10">
        <v>41829.414299999997</v>
      </c>
      <c r="V60" s="19">
        <v>543782.38589999999</v>
      </c>
      <c r="X60" s="20" t="s">
        <v>421</v>
      </c>
      <c r="Y60" t="s">
        <v>422</v>
      </c>
      <c r="Z60" t="s">
        <v>151</v>
      </c>
      <c r="AA60" s="10">
        <v>10</v>
      </c>
      <c r="AB60" t="s">
        <v>20</v>
      </c>
      <c r="AC60" s="10">
        <v>33574.074099999998</v>
      </c>
      <c r="AD60" s="19">
        <v>335740.74099999998</v>
      </c>
      <c r="AO60" s="20" t="s">
        <v>308</v>
      </c>
      <c r="AP60" s="18" t="s">
        <v>309</v>
      </c>
      <c r="AQ60" s="18" t="s">
        <v>41</v>
      </c>
      <c r="AR60" s="21">
        <v>1</v>
      </c>
      <c r="AS60" s="18" t="s">
        <v>20</v>
      </c>
      <c r="AT60" s="21">
        <v>6953.0623999999998</v>
      </c>
      <c r="AU60" s="19">
        <v>6953.0623999999998</v>
      </c>
      <c r="AW60" s="20" t="s">
        <v>308</v>
      </c>
      <c r="AX60" s="18" t="s">
        <v>309</v>
      </c>
      <c r="AY60" s="18" t="s">
        <v>41</v>
      </c>
      <c r="AZ60" s="21">
        <v>1</v>
      </c>
      <c r="BA60" s="18" t="s">
        <v>20</v>
      </c>
      <c r="BB60" s="21">
        <v>6953.0623999999998</v>
      </c>
      <c r="BC60" s="19">
        <v>6953.0623999999998</v>
      </c>
    </row>
    <row r="61" spans="1:55" x14ac:dyDescent="0.35">
      <c r="A61" s="38" t="str">
        <v>CETS0002</v>
      </c>
      <c r="B61" s="31" t="str">
        <f t="shared" si="0"/>
        <v>TOWEL ANJOLY MERAH-KECIL</v>
      </c>
      <c r="C61" s="31" t="str">
        <f t="shared" si="1"/>
        <v>CLEANING TOOLS AND SUPPLIES</v>
      </c>
      <c r="D61" s="39" t="str">
        <f t="shared" si="2"/>
        <v>pcs</v>
      </c>
      <c r="E61" s="47">
        <f t="shared" si="3"/>
        <v>6978.5729000000001</v>
      </c>
      <c r="F61" s="48" t="str">
        <f t="shared" si="4"/>
        <v>0</v>
      </c>
      <c r="G61" s="48">
        <f t="shared" si="5"/>
        <v>1</v>
      </c>
      <c r="H61" s="48">
        <f t="shared" si="6"/>
        <v>1</v>
      </c>
      <c r="I61" s="40">
        <f t="shared" si="7"/>
        <v>6978.5729000000001</v>
      </c>
      <c r="J61" s="39" t="str">
        <f t="shared" si="8"/>
        <v>Kenaikan IU</v>
      </c>
      <c r="K61" s="71" t="s">
        <v>1034</v>
      </c>
      <c r="O61" s="20">
        <v>13</v>
      </c>
      <c r="P61" t="s">
        <v>143</v>
      </c>
      <c r="Q61" t="s">
        <v>144</v>
      </c>
      <c r="R61" t="s">
        <v>123</v>
      </c>
      <c r="S61" s="10">
        <v>0.2</v>
      </c>
      <c r="T61" t="s">
        <v>5</v>
      </c>
      <c r="U61" s="10">
        <v>48800</v>
      </c>
      <c r="V61" s="19">
        <v>9760</v>
      </c>
      <c r="X61" s="20" t="s">
        <v>268</v>
      </c>
      <c r="Y61" t="s">
        <v>269</v>
      </c>
      <c r="Z61" t="s">
        <v>151</v>
      </c>
      <c r="AA61" s="10">
        <v>5</v>
      </c>
      <c r="AB61" t="s">
        <v>87</v>
      </c>
      <c r="AC61" s="10">
        <v>5500</v>
      </c>
      <c r="AD61" s="19">
        <v>27500</v>
      </c>
      <c r="AF61" s="84" t="s">
        <v>0</v>
      </c>
      <c r="AG61" s="85"/>
      <c r="AH61" s="85"/>
      <c r="AI61" s="85"/>
      <c r="AJ61" s="85"/>
      <c r="AK61" s="16"/>
      <c r="AL61" s="16"/>
      <c r="AM61" s="17"/>
      <c r="AO61" s="20" t="s">
        <v>53</v>
      </c>
      <c r="AP61" s="18" t="s">
        <v>54</v>
      </c>
      <c r="AQ61" s="18" t="s">
        <v>41</v>
      </c>
      <c r="AR61" s="21">
        <v>7</v>
      </c>
      <c r="AS61" s="18" t="s">
        <v>20</v>
      </c>
      <c r="AT61" s="21">
        <v>7318.1818000000003</v>
      </c>
      <c r="AU61" s="19">
        <v>51227.272599999997</v>
      </c>
      <c r="AW61" s="20" t="s">
        <v>53</v>
      </c>
      <c r="AX61" s="18" t="s">
        <v>54</v>
      </c>
      <c r="AY61" s="18" t="s">
        <v>41</v>
      </c>
      <c r="AZ61" s="21">
        <v>7</v>
      </c>
      <c r="BA61" s="18" t="s">
        <v>20</v>
      </c>
      <c r="BB61" s="21">
        <v>7318.1818000000003</v>
      </c>
      <c r="BC61" s="19">
        <v>51227.272599999997</v>
      </c>
    </row>
    <row r="62" spans="1:55" x14ac:dyDescent="0.35">
      <c r="A62" s="38" t="str">
        <v>CETS00028</v>
      </c>
      <c r="B62" s="31" t="str">
        <f t="shared" si="0"/>
        <v>GLUE PAD</v>
      </c>
      <c r="C62" s="31" t="str">
        <f t="shared" si="1"/>
        <v>CLEANING TOOLS AND SUPPLIES</v>
      </c>
      <c r="D62" s="39" t="str">
        <f t="shared" si="2"/>
        <v>lembar</v>
      </c>
      <c r="E62" s="47">
        <f t="shared" si="3"/>
        <v>20500</v>
      </c>
      <c r="F62" s="48">
        <f t="shared" si="4"/>
        <v>6</v>
      </c>
      <c r="G62" s="48">
        <f t="shared" si="5"/>
        <v>9</v>
      </c>
      <c r="H62" s="48">
        <f t="shared" si="6"/>
        <v>3</v>
      </c>
      <c r="I62" s="40">
        <f t="shared" si="7"/>
        <v>61500</v>
      </c>
      <c r="J62" s="39" t="str">
        <f t="shared" si="8"/>
        <v>Kenaikan IU</v>
      </c>
      <c r="K62" s="71" t="s">
        <v>1041</v>
      </c>
      <c r="O62" s="20">
        <v>14</v>
      </c>
      <c r="P62" t="s">
        <v>145</v>
      </c>
      <c r="Q62" t="s">
        <v>146</v>
      </c>
      <c r="R62" t="s">
        <v>123</v>
      </c>
      <c r="S62" s="10">
        <v>117</v>
      </c>
      <c r="T62" t="s">
        <v>5</v>
      </c>
      <c r="U62" s="10">
        <v>4604.1441000000004</v>
      </c>
      <c r="V62" s="19">
        <v>538684.85970000003</v>
      </c>
      <c r="X62" s="20" t="s">
        <v>154</v>
      </c>
      <c r="Y62" t="s">
        <v>155</v>
      </c>
      <c r="Z62" t="s">
        <v>151</v>
      </c>
      <c r="AA62" s="10">
        <v>100</v>
      </c>
      <c r="AB62" t="s">
        <v>20</v>
      </c>
      <c r="AC62" s="10">
        <v>977.65549999999996</v>
      </c>
      <c r="AD62" s="19">
        <v>97765.55</v>
      </c>
      <c r="AF62" s="82" t="s">
        <v>1</v>
      </c>
      <c r="AG62" s="83"/>
      <c r="AH62" s="83"/>
      <c r="AI62" s="83"/>
      <c r="AJ62" s="83"/>
      <c r="AK62" s="18"/>
      <c r="AL62" s="18"/>
      <c r="AM62" s="19"/>
      <c r="AO62" s="20" t="s">
        <v>453</v>
      </c>
      <c r="AP62" s="18" t="s">
        <v>454</v>
      </c>
      <c r="AQ62" s="18" t="s">
        <v>41</v>
      </c>
      <c r="AR62" s="21">
        <v>2</v>
      </c>
      <c r="AS62" s="18" t="s">
        <v>267</v>
      </c>
      <c r="AT62" s="21">
        <v>20478.39718</v>
      </c>
      <c r="AU62" s="19">
        <v>40956.79436</v>
      </c>
      <c r="AW62" s="20" t="s">
        <v>453</v>
      </c>
      <c r="AX62" s="18" t="s">
        <v>454</v>
      </c>
      <c r="AY62" s="18" t="s">
        <v>41</v>
      </c>
      <c r="AZ62" s="21">
        <v>2</v>
      </c>
      <c r="BA62" s="18" t="s">
        <v>267</v>
      </c>
      <c r="BB62" s="21">
        <v>20478.39718</v>
      </c>
      <c r="BC62" s="19">
        <v>40956.79436</v>
      </c>
    </row>
    <row r="63" spans="1:55" x14ac:dyDescent="0.35">
      <c r="A63" s="38" t="str">
        <v>CETS0004</v>
      </c>
      <c r="B63" s="31" t="str">
        <f t="shared" si="0"/>
        <v>TOWEL ANJOLY HITAM-KECIL</v>
      </c>
      <c r="C63" s="31" t="str">
        <f t="shared" si="1"/>
        <v>CLEANING TOOLS AND SUPPLIES</v>
      </c>
      <c r="D63" s="39" t="str">
        <f t="shared" si="2"/>
        <v>pcs</v>
      </c>
      <c r="E63" s="47">
        <f t="shared" si="3"/>
        <v>7612.5015000000012</v>
      </c>
      <c r="F63" s="48">
        <f t="shared" si="4"/>
        <v>1</v>
      </c>
      <c r="G63" s="48">
        <f t="shared" si="5"/>
        <v>2</v>
      </c>
      <c r="H63" s="48">
        <f t="shared" si="6"/>
        <v>1</v>
      </c>
      <c r="I63" s="40">
        <f t="shared" si="7"/>
        <v>7612.5015000000012</v>
      </c>
      <c r="J63" s="39" t="str">
        <f t="shared" si="8"/>
        <v>Kenaikan IU</v>
      </c>
      <c r="K63" s="71" t="s">
        <v>1041</v>
      </c>
      <c r="O63" s="20">
        <v>15</v>
      </c>
      <c r="P63" t="s">
        <v>147</v>
      </c>
      <c r="Q63" t="s">
        <v>148</v>
      </c>
      <c r="R63" t="s">
        <v>123</v>
      </c>
      <c r="S63" s="10">
        <v>1.6</v>
      </c>
      <c r="T63" t="s">
        <v>5</v>
      </c>
      <c r="U63" s="10">
        <v>15000</v>
      </c>
      <c r="V63" s="19">
        <v>24000</v>
      </c>
      <c r="X63" s="20" t="s">
        <v>156</v>
      </c>
      <c r="Y63" t="s">
        <v>157</v>
      </c>
      <c r="Z63" t="s">
        <v>151</v>
      </c>
      <c r="AA63" s="10">
        <v>41</v>
      </c>
      <c r="AB63" t="s">
        <v>20</v>
      </c>
      <c r="AC63" s="10">
        <v>2058.9</v>
      </c>
      <c r="AD63" s="19">
        <v>84414.9</v>
      </c>
      <c r="AF63" s="20"/>
      <c r="AG63" s="18"/>
      <c r="AH63" s="18"/>
      <c r="AI63" s="18"/>
      <c r="AJ63" s="18"/>
      <c r="AK63" s="18"/>
      <c r="AL63" s="18"/>
      <c r="AM63" s="19"/>
      <c r="AO63" s="20" t="s">
        <v>57</v>
      </c>
      <c r="AP63" s="18" t="s">
        <v>58</v>
      </c>
      <c r="AQ63" s="18" t="s">
        <v>41</v>
      </c>
      <c r="AR63" s="21">
        <v>2</v>
      </c>
      <c r="AS63" s="18" t="s">
        <v>5</v>
      </c>
      <c r="AT63" s="21">
        <v>7685.5288</v>
      </c>
      <c r="AU63" s="19">
        <v>15371.0576</v>
      </c>
      <c r="AW63" s="20" t="s">
        <v>57</v>
      </c>
      <c r="AX63" s="18" t="s">
        <v>58</v>
      </c>
      <c r="AY63" s="18" t="s">
        <v>41</v>
      </c>
      <c r="AZ63" s="21">
        <v>2</v>
      </c>
      <c r="BA63" s="18" t="s">
        <v>5</v>
      </c>
      <c r="BB63" s="21">
        <v>7685.5288</v>
      </c>
      <c r="BC63" s="19">
        <v>15371.0576</v>
      </c>
    </row>
    <row r="64" spans="1:55" x14ac:dyDescent="0.35">
      <c r="A64" s="38" t="str">
        <v>CETS0005</v>
      </c>
      <c r="B64" s="31" t="str">
        <f t="shared" si="0"/>
        <v>TOWEL ANJOLY HIJAU -KECIL</v>
      </c>
      <c r="C64" s="31" t="str">
        <f t="shared" si="1"/>
        <v>CLEANING TOOLS AND SUPPLIES</v>
      </c>
      <c r="D64" s="39" t="str">
        <f t="shared" si="2"/>
        <v>pcs</v>
      </c>
      <c r="E64" s="47">
        <f t="shared" si="3"/>
        <v>6953.0623999999998</v>
      </c>
      <c r="F64" s="48" t="str">
        <f t="shared" si="4"/>
        <v>0</v>
      </c>
      <c r="G64" s="48">
        <f t="shared" si="5"/>
        <v>1</v>
      </c>
      <c r="H64" s="48">
        <f t="shared" si="6"/>
        <v>1</v>
      </c>
      <c r="I64" s="40">
        <f t="shared" si="7"/>
        <v>6953.0623999999998</v>
      </c>
      <c r="J64" s="39" t="str">
        <f t="shared" si="8"/>
        <v>Kenaikan IU</v>
      </c>
      <c r="K64" s="71" t="s">
        <v>1041</v>
      </c>
      <c r="O64" s="20">
        <v>16</v>
      </c>
      <c r="P64" t="s">
        <v>421</v>
      </c>
      <c r="Q64" t="s">
        <v>422</v>
      </c>
      <c r="R64" t="s">
        <v>151</v>
      </c>
      <c r="S64" s="10">
        <v>10</v>
      </c>
      <c r="T64" t="s">
        <v>20</v>
      </c>
      <c r="U64" s="10">
        <v>33574.074099999998</v>
      </c>
      <c r="V64" s="19">
        <v>335740.74099999998</v>
      </c>
      <c r="X64" s="20" t="s">
        <v>272</v>
      </c>
      <c r="Y64" t="s">
        <v>273</v>
      </c>
      <c r="Z64" t="s">
        <v>151</v>
      </c>
      <c r="AA64" s="10">
        <v>4.8</v>
      </c>
      <c r="AB64" t="s">
        <v>5</v>
      </c>
      <c r="AC64" s="10">
        <v>2687.9184</v>
      </c>
      <c r="AD64" s="19">
        <v>12902.008320000001</v>
      </c>
      <c r="AF64" s="82" t="s">
        <v>10</v>
      </c>
      <c r="AG64" s="83" t="s">
        <v>11</v>
      </c>
      <c r="AH64" s="18" t="s">
        <v>907</v>
      </c>
      <c r="AI64" s="18"/>
      <c r="AJ64" s="18"/>
      <c r="AK64" s="18"/>
      <c r="AL64" s="18"/>
      <c r="AM64" s="19"/>
      <c r="AO64" s="20" t="s">
        <v>59</v>
      </c>
      <c r="AP64" s="18" t="s">
        <v>60</v>
      </c>
      <c r="AQ64" s="18" t="s">
        <v>41</v>
      </c>
      <c r="AR64" s="21">
        <v>18</v>
      </c>
      <c r="AS64" s="18" t="s">
        <v>5</v>
      </c>
      <c r="AT64" s="21">
        <v>7700</v>
      </c>
      <c r="AU64" s="19">
        <v>138600</v>
      </c>
      <c r="AW64" s="20" t="s">
        <v>59</v>
      </c>
      <c r="AX64" s="18" t="s">
        <v>60</v>
      </c>
      <c r="AY64" s="18" t="s">
        <v>41</v>
      </c>
      <c r="AZ64" s="21">
        <v>18</v>
      </c>
      <c r="BA64" s="18" t="s">
        <v>5</v>
      </c>
      <c r="BB64" s="21">
        <v>7700</v>
      </c>
      <c r="BC64" s="19">
        <v>138600</v>
      </c>
    </row>
    <row r="65" spans="1:55" x14ac:dyDescent="0.35">
      <c r="A65" s="38" t="str">
        <v>CETS0006</v>
      </c>
      <c r="B65" s="31" t="str">
        <f t="shared" si="0"/>
        <v>SPONGE BUSA</v>
      </c>
      <c r="C65" s="31" t="str">
        <f t="shared" si="1"/>
        <v>CLEANING TOOLS AND SUPPLIES</v>
      </c>
      <c r="D65" s="39" t="str">
        <f t="shared" si="2"/>
        <v>pcs</v>
      </c>
      <c r="E65" s="47">
        <f t="shared" si="3"/>
        <v>7318.1818000000003</v>
      </c>
      <c r="F65" s="48">
        <f t="shared" si="4"/>
        <v>39</v>
      </c>
      <c r="G65" s="48">
        <f t="shared" si="5"/>
        <v>7</v>
      </c>
      <c r="H65" s="48">
        <f t="shared" si="6"/>
        <v>-32</v>
      </c>
      <c r="I65" s="40">
        <f t="shared" si="7"/>
        <v>-234181.81760000001</v>
      </c>
      <c r="J65" s="39" t="str">
        <f t="shared" si="8"/>
        <v>Penurunan IU</v>
      </c>
      <c r="K65" s="71" t="s">
        <v>1041</v>
      </c>
      <c r="O65" s="20">
        <v>17</v>
      </c>
      <c r="P65" t="s">
        <v>268</v>
      </c>
      <c r="Q65" t="s">
        <v>269</v>
      </c>
      <c r="R65" t="s">
        <v>151</v>
      </c>
      <c r="S65" s="10">
        <v>5</v>
      </c>
      <c r="T65" t="s">
        <v>87</v>
      </c>
      <c r="U65" s="10">
        <v>5500</v>
      </c>
      <c r="V65" s="19">
        <v>27500</v>
      </c>
      <c r="X65" s="20" t="s">
        <v>657</v>
      </c>
      <c r="Y65" t="s">
        <v>658</v>
      </c>
      <c r="Z65" t="s">
        <v>151</v>
      </c>
      <c r="AA65">
        <v>1</v>
      </c>
      <c r="AB65" t="s">
        <v>20</v>
      </c>
      <c r="AC65">
        <v>35000</v>
      </c>
      <c r="AD65" s="19">
        <v>35000</v>
      </c>
      <c r="AF65" s="82" t="s">
        <v>16</v>
      </c>
      <c r="AG65" s="83" t="s">
        <v>11</v>
      </c>
      <c r="AH65" s="18" t="s">
        <v>211</v>
      </c>
      <c r="AI65" s="18"/>
      <c r="AJ65" s="18"/>
      <c r="AK65" s="18"/>
      <c r="AL65" s="18"/>
      <c r="AM65" s="19"/>
      <c r="AO65" s="20" t="s">
        <v>61</v>
      </c>
      <c r="AP65" s="18" t="s">
        <v>62</v>
      </c>
      <c r="AQ65" s="18" t="s">
        <v>41</v>
      </c>
      <c r="AR65" s="18">
        <v>3</v>
      </c>
      <c r="AS65" s="18" t="s">
        <v>5</v>
      </c>
      <c r="AT65" s="18">
        <v>15947.8493</v>
      </c>
      <c r="AU65" s="19">
        <v>47843.547899999998</v>
      </c>
      <c r="AW65" s="20" t="s">
        <v>61</v>
      </c>
      <c r="AX65" s="18" t="s">
        <v>62</v>
      </c>
      <c r="AY65" s="18" t="s">
        <v>41</v>
      </c>
      <c r="AZ65" s="18">
        <v>3</v>
      </c>
      <c r="BA65" s="18" t="s">
        <v>5</v>
      </c>
      <c r="BB65" s="18">
        <v>15947.8493</v>
      </c>
      <c r="BC65" s="19">
        <v>47843.547899999998</v>
      </c>
    </row>
    <row r="66" spans="1:55" ht="15" thickBot="1" x14ac:dyDescent="0.4">
      <c r="A66" s="38" t="str">
        <v>CETS0009</v>
      </c>
      <c r="B66" s="31" t="str">
        <f t="shared" si="0"/>
        <v>REFIL KAIN PEL/REFIL MOP PEL OBOR</v>
      </c>
      <c r="C66" s="31" t="str">
        <f t="shared" si="1"/>
        <v>CLEANING TOOLS AND SUPPLIES</v>
      </c>
      <c r="D66" s="39" t="str">
        <f t="shared" si="2"/>
        <v>unit</v>
      </c>
      <c r="E66" s="47">
        <f t="shared" si="3"/>
        <v>20478.39718</v>
      </c>
      <c r="F66" s="48">
        <f t="shared" si="4"/>
        <v>6</v>
      </c>
      <c r="G66" s="48">
        <f t="shared" si="5"/>
        <v>2</v>
      </c>
      <c r="H66" s="48">
        <f t="shared" si="6"/>
        <v>-4</v>
      </c>
      <c r="I66" s="40">
        <f t="shared" si="7"/>
        <v>-81913.58872</v>
      </c>
      <c r="J66" s="39" t="str">
        <f t="shared" si="8"/>
        <v>Penurunan IU</v>
      </c>
      <c r="K66" s="71" t="s">
        <v>1041</v>
      </c>
      <c r="O66" s="20">
        <v>18</v>
      </c>
      <c r="P66" t="s">
        <v>154</v>
      </c>
      <c r="Q66" t="s">
        <v>155</v>
      </c>
      <c r="R66" t="s">
        <v>151</v>
      </c>
      <c r="S66" s="10">
        <v>100</v>
      </c>
      <c r="T66" t="s">
        <v>20</v>
      </c>
      <c r="U66" s="10">
        <v>977.65549999999996</v>
      </c>
      <c r="V66" s="19">
        <v>97765.55</v>
      </c>
      <c r="X66" s="20" t="s">
        <v>214</v>
      </c>
      <c r="Y66" t="s">
        <v>215</v>
      </c>
      <c r="Z66" t="s">
        <v>4</v>
      </c>
      <c r="AA66" s="10">
        <v>8</v>
      </c>
      <c r="AB66" t="s">
        <v>216</v>
      </c>
      <c r="AC66" s="10">
        <v>55300</v>
      </c>
      <c r="AD66" s="19">
        <v>442400</v>
      </c>
      <c r="AF66" s="82" t="s">
        <v>21</v>
      </c>
      <c r="AG66" s="83" t="s">
        <v>11</v>
      </c>
      <c r="AH66" s="18" t="s">
        <v>798</v>
      </c>
      <c r="AI66" s="18"/>
      <c r="AJ66" s="18"/>
      <c r="AK66" s="18"/>
      <c r="AL66" s="18"/>
      <c r="AM66" s="19"/>
      <c r="AO66" s="22" t="s">
        <v>460</v>
      </c>
      <c r="AP66" s="23" t="s">
        <v>461</v>
      </c>
      <c r="AQ66" s="23" t="s">
        <v>117</v>
      </c>
      <c r="AR66" s="23">
        <v>7</v>
      </c>
      <c r="AS66" s="23" t="s">
        <v>20</v>
      </c>
      <c r="AT66" s="23">
        <v>114436.93859999999</v>
      </c>
      <c r="AU66" s="24">
        <v>801058.57019999996</v>
      </c>
      <c r="AW66" s="22" t="s">
        <v>460</v>
      </c>
      <c r="AX66" s="23" t="s">
        <v>461</v>
      </c>
      <c r="AY66" s="23" t="s">
        <v>117</v>
      </c>
      <c r="AZ66" s="23">
        <v>7</v>
      </c>
      <c r="BA66" s="23" t="s">
        <v>20</v>
      </c>
      <c r="BB66" s="23">
        <v>114436.93859999999</v>
      </c>
      <c r="BC66" s="24">
        <v>801058.57019999996</v>
      </c>
    </row>
    <row r="67" spans="1:55" x14ac:dyDescent="0.35">
      <c r="A67" s="38" t="str">
        <v>CETS0025</v>
      </c>
      <c r="B67" s="31" t="str">
        <f t="shared" si="0"/>
        <v>PLASTIK SAMPAH 60 x 100 (10 LEMBAR)</v>
      </c>
      <c r="C67" s="31" t="str">
        <f t="shared" si="1"/>
        <v>CLEANING TOOLS AND SUPPLIES</v>
      </c>
      <c r="D67" s="39" t="str">
        <f t="shared" si="2"/>
        <v>pack</v>
      </c>
      <c r="E67" s="47">
        <f t="shared" si="3"/>
        <v>7685.5288</v>
      </c>
      <c r="F67" s="48">
        <f t="shared" si="4"/>
        <v>10</v>
      </c>
      <c r="G67" s="48">
        <f t="shared" si="5"/>
        <v>2</v>
      </c>
      <c r="H67" s="48">
        <f t="shared" si="6"/>
        <v>-8</v>
      </c>
      <c r="I67" s="40">
        <f t="shared" si="7"/>
        <v>-61484.2304</v>
      </c>
      <c r="J67" s="39" t="str">
        <f t="shared" si="8"/>
        <v>Penurunan IU</v>
      </c>
      <c r="K67" s="71" t="s">
        <v>1041</v>
      </c>
      <c r="O67" s="20">
        <v>19</v>
      </c>
      <c r="P67" t="s">
        <v>156</v>
      </c>
      <c r="Q67" t="s">
        <v>157</v>
      </c>
      <c r="R67" t="s">
        <v>151</v>
      </c>
      <c r="S67" s="10">
        <v>41</v>
      </c>
      <c r="T67" t="s">
        <v>20</v>
      </c>
      <c r="U67" s="10">
        <v>2058.9</v>
      </c>
      <c r="V67" s="19">
        <v>84414.9</v>
      </c>
      <c r="X67" s="20" t="s">
        <v>2</v>
      </c>
      <c r="Y67" t="s">
        <v>3</v>
      </c>
      <c r="Z67" t="s">
        <v>4</v>
      </c>
      <c r="AA67" s="10">
        <v>7.5</v>
      </c>
      <c r="AB67" t="s">
        <v>5</v>
      </c>
      <c r="AC67" s="10">
        <v>24011.567011764706</v>
      </c>
      <c r="AD67" s="19">
        <v>180086.752588</v>
      </c>
      <c r="AF67" s="82" t="s">
        <v>26</v>
      </c>
      <c r="AG67" s="83" t="s">
        <v>11</v>
      </c>
      <c r="AH67" s="18" t="s">
        <v>908</v>
      </c>
      <c r="AI67" s="18"/>
      <c r="AJ67" s="18"/>
      <c r="AK67" s="18"/>
      <c r="AL67" s="18"/>
      <c r="AM67" s="19"/>
      <c r="AW67" s="25" t="s">
        <v>65</v>
      </c>
      <c r="AX67" s="16" t="s">
        <v>66</v>
      </c>
      <c r="AY67" s="16" t="s">
        <v>67</v>
      </c>
      <c r="AZ67" s="26">
        <v>26</v>
      </c>
      <c r="BA67" s="16" t="s">
        <v>20</v>
      </c>
      <c r="BB67" s="26">
        <v>320</v>
      </c>
      <c r="BC67" s="17">
        <v>8320</v>
      </c>
    </row>
    <row r="68" spans="1:55" x14ac:dyDescent="0.35">
      <c r="A68" s="38" t="str">
        <v>CETS0026</v>
      </c>
      <c r="B68" s="31" t="str">
        <f t="shared" si="0"/>
        <v>PLASTIK SAMPAH 90 x 120 (5 LEMBAR)</v>
      </c>
      <c r="C68" s="31" t="str">
        <f t="shared" si="1"/>
        <v>CLEANING TOOLS AND SUPPLIES</v>
      </c>
      <c r="D68" s="39" t="str">
        <f t="shared" si="2"/>
        <v>pack</v>
      </c>
      <c r="E68" s="47">
        <f t="shared" si="3"/>
        <v>7700</v>
      </c>
      <c r="F68" s="48">
        <f t="shared" si="4"/>
        <v>31.5</v>
      </c>
      <c r="G68" s="48">
        <f t="shared" si="5"/>
        <v>18</v>
      </c>
      <c r="H68" s="48">
        <f t="shared" si="6"/>
        <v>-13.5</v>
      </c>
      <c r="I68" s="40">
        <f t="shared" si="7"/>
        <v>-103950</v>
      </c>
      <c r="J68" s="39" t="str">
        <f t="shared" si="8"/>
        <v>Penurunan IU</v>
      </c>
      <c r="K68" s="71" t="s">
        <v>1034</v>
      </c>
      <c r="O68" s="20">
        <v>20</v>
      </c>
      <c r="P68" t="s">
        <v>272</v>
      </c>
      <c r="Q68" t="s">
        <v>273</v>
      </c>
      <c r="R68" t="s">
        <v>151</v>
      </c>
      <c r="S68" s="10">
        <v>4.8</v>
      </c>
      <c r="T68" t="s">
        <v>5</v>
      </c>
      <c r="U68" s="10">
        <v>2687.9184</v>
      </c>
      <c r="V68" s="19">
        <v>12902.008320000001</v>
      </c>
      <c r="X68" s="20" t="s">
        <v>217</v>
      </c>
      <c r="Y68" t="s">
        <v>218</v>
      </c>
      <c r="Z68" t="s">
        <v>4</v>
      </c>
      <c r="AA68" s="10">
        <v>3</v>
      </c>
      <c r="AB68" t="s">
        <v>9</v>
      </c>
      <c r="AC68" s="10">
        <v>55293.148000000001</v>
      </c>
      <c r="AD68" s="19">
        <v>165879.44399999999</v>
      </c>
      <c r="AF68" s="82" t="s">
        <v>31</v>
      </c>
      <c r="AG68" s="83" t="s">
        <v>11</v>
      </c>
      <c r="AH68" s="18" t="s">
        <v>890</v>
      </c>
      <c r="AI68" s="18"/>
      <c r="AJ68" s="18"/>
      <c r="AK68" s="18"/>
      <c r="AL68" s="18"/>
      <c r="AM68" s="19"/>
      <c r="AW68" s="20" t="s">
        <v>68</v>
      </c>
      <c r="AX68" s="6" t="s">
        <v>69</v>
      </c>
      <c r="AY68" s="6" t="s">
        <v>67</v>
      </c>
      <c r="AZ68" s="10">
        <v>0.1</v>
      </c>
      <c r="BA68" s="6" t="s">
        <v>5</v>
      </c>
      <c r="BB68" s="10">
        <v>18750</v>
      </c>
      <c r="BC68" s="19">
        <v>1875</v>
      </c>
    </row>
    <row r="69" spans="1:55" x14ac:dyDescent="0.35">
      <c r="A69" s="38" t="str">
        <v>CETS0027</v>
      </c>
      <c r="B69" s="31" t="str">
        <f t="shared" si="0"/>
        <v>PLASTIK KRESEK HITAM 35 (Utk Tong Sampah)</v>
      </c>
      <c r="C69" s="31" t="str">
        <f t="shared" si="1"/>
        <v>CLEANING TOOLS AND SUPPLIES</v>
      </c>
      <c r="D69" s="39" t="str">
        <f t="shared" si="2"/>
        <v>pack</v>
      </c>
      <c r="E69" s="47">
        <f t="shared" si="3"/>
        <v>15947.8493</v>
      </c>
      <c r="F69" s="48">
        <f t="shared" si="4"/>
        <v>3</v>
      </c>
      <c r="G69" s="48">
        <f t="shared" si="5"/>
        <v>3</v>
      </c>
      <c r="H69" s="48">
        <f t="shared" si="6"/>
        <v>0</v>
      </c>
      <c r="I69" s="40">
        <f t="shared" si="7"/>
        <v>0</v>
      </c>
      <c r="J69" s="39" t="str">
        <f t="shared" si="8"/>
        <v>Tidak Ada Perubahan</v>
      </c>
      <c r="K69" s="71" t="s">
        <v>1041</v>
      </c>
      <c r="O69" s="20">
        <v>21</v>
      </c>
      <c r="P69" t="s">
        <v>657</v>
      </c>
      <c r="Q69" t="s">
        <v>658</v>
      </c>
      <c r="R69" t="s">
        <v>151</v>
      </c>
      <c r="S69">
        <v>1</v>
      </c>
      <c r="T69" t="s">
        <v>20</v>
      </c>
      <c r="U69">
        <v>35000</v>
      </c>
      <c r="V69" s="19">
        <v>35000</v>
      </c>
      <c r="X69" s="20" t="s">
        <v>7</v>
      </c>
      <c r="Y69" t="s">
        <v>8</v>
      </c>
      <c r="Z69" t="s">
        <v>4</v>
      </c>
      <c r="AA69" s="10">
        <v>1.5</v>
      </c>
      <c r="AB69" t="s">
        <v>9</v>
      </c>
      <c r="AC69" s="10">
        <v>133200</v>
      </c>
      <c r="AD69" s="19">
        <v>199800</v>
      </c>
      <c r="AF69" s="82" t="s">
        <v>35</v>
      </c>
      <c r="AG69" s="83" t="s">
        <v>11</v>
      </c>
      <c r="AH69" s="18" t="s">
        <v>909</v>
      </c>
      <c r="AI69" s="18"/>
      <c r="AJ69" s="18"/>
      <c r="AK69" s="18"/>
      <c r="AL69" s="18"/>
      <c r="AM69" s="19"/>
      <c r="AW69" s="20" t="s">
        <v>355</v>
      </c>
      <c r="AX69" s="6" t="s">
        <v>356</v>
      </c>
      <c r="AY69" s="6" t="s">
        <v>67</v>
      </c>
      <c r="AZ69" s="10">
        <v>0.5</v>
      </c>
      <c r="BA69" s="6" t="s">
        <v>160</v>
      </c>
      <c r="BB69" s="10">
        <v>4428.5713999999998</v>
      </c>
      <c r="BC69" s="19">
        <v>2214.2856999999999</v>
      </c>
    </row>
    <row r="70" spans="1:55" ht="15" thickBot="1" x14ac:dyDescent="0.4">
      <c r="A70" s="38" t="str">
        <v>MKT00004</v>
      </c>
      <c r="B70" s="31" t="str">
        <f t="shared" si="0"/>
        <v>FOAMBOARD</v>
      </c>
      <c r="C70" s="31" t="str">
        <f t="shared" si="1"/>
        <v>MARKETING</v>
      </c>
      <c r="D70" s="39" t="str">
        <f t="shared" si="2"/>
        <v>pcs</v>
      </c>
      <c r="E70" s="47">
        <f t="shared" si="3"/>
        <v>114436.93859999999</v>
      </c>
      <c r="F70" s="48" t="str">
        <f t="shared" si="4"/>
        <v>0</v>
      </c>
      <c r="G70" s="48">
        <f t="shared" si="5"/>
        <v>7</v>
      </c>
      <c r="H70" s="48">
        <f t="shared" si="6"/>
        <v>7</v>
      </c>
      <c r="I70" s="40">
        <f t="shared" si="7"/>
        <v>801058.57019999996</v>
      </c>
      <c r="J70" s="39" t="str">
        <f t="shared" si="8"/>
        <v>Kenaikan IU</v>
      </c>
      <c r="K70" s="71" t="s">
        <v>1041</v>
      </c>
      <c r="O70" s="22" t="s">
        <v>223</v>
      </c>
      <c r="P70" s="23" t="s">
        <v>223</v>
      </c>
      <c r="Q70" s="23" t="s">
        <v>223</v>
      </c>
      <c r="R70" s="23" t="s">
        <v>223</v>
      </c>
      <c r="S70" s="23" t="s">
        <v>223</v>
      </c>
      <c r="T70" s="23" t="s">
        <v>223</v>
      </c>
      <c r="U70" s="23" t="s">
        <v>224</v>
      </c>
      <c r="V70" s="24">
        <v>5324704.2398140011</v>
      </c>
      <c r="X70" s="20" t="s">
        <v>13</v>
      </c>
      <c r="Y70" t="s">
        <v>14</v>
      </c>
      <c r="Z70" t="s">
        <v>4</v>
      </c>
      <c r="AA70" s="10">
        <v>0.9</v>
      </c>
      <c r="AB70" t="s">
        <v>15</v>
      </c>
      <c r="AC70" s="10">
        <v>77700</v>
      </c>
      <c r="AD70" s="19">
        <v>69930</v>
      </c>
      <c r="AF70" s="20"/>
      <c r="AG70" s="18"/>
      <c r="AH70" s="18"/>
      <c r="AI70" s="18"/>
      <c r="AJ70" s="18"/>
      <c r="AK70" s="18"/>
      <c r="AL70" s="18"/>
      <c r="AM70" s="19"/>
      <c r="AW70" s="20" t="s">
        <v>230</v>
      </c>
      <c r="AX70" s="6" t="s">
        <v>231</v>
      </c>
      <c r="AY70" s="6" t="s">
        <v>67</v>
      </c>
      <c r="AZ70" s="10">
        <v>3</v>
      </c>
      <c r="BA70" s="6" t="s">
        <v>5</v>
      </c>
      <c r="BB70" s="10">
        <v>9333.3333000000002</v>
      </c>
      <c r="BC70" s="19">
        <v>27999.999899999999</v>
      </c>
    </row>
    <row r="71" spans="1:55" x14ac:dyDescent="0.35">
      <c r="A71" s="38" t="str">
        <v>STA00011</v>
      </c>
      <c r="B71" s="31" t="str">
        <f t="shared" ref="B71:B109" si="9">_xlfn.XLOOKUP(A71, AW$2:AW$300, AX$2:AX$300, "", 0)</f>
        <v>BINDER CLIP 111</v>
      </c>
      <c r="C71" s="31" t="str">
        <f t="shared" ref="C71:C109" si="10">_xlfn.XLOOKUP(A71, AW$2:AW$300, AY$2:AY$300, "", 0)</f>
        <v>STATIONARY AND OFFICE SUPPLIES</v>
      </c>
      <c r="D71" s="39" t="str">
        <f t="shared" ref="D71:D109" si="11">_xlfn.XLOOKUP(A71, AW$2:AW$300, BA$2:BA$300, "", 0)</f>
        <v>box</v>
      </c>
      <c r="E71" s="47">
        <f t="shared" ref="E71:E109" si="12">_xlfn.XLOOKUP(A71, AW$2:AW$300, BB$2:BB$300, "", 0)</f>
        <v>4428.5713999999998</v>
      </c>
      <c r="F71" s="48">
        <f t="shared" ref="F71:F109" si="13">_xlfn.XLOOKUP(A71, X$2:X$300, AA$2:AA$300, "0", 0)</f>
        <v>0.5</v>
      </c>
      <c r="G71" s="48" t="str">
        <f t="shared" ref="G71:G109" si="14">_xlfn.XLOOKUP(A71, AO$2:AO$300, AR$2:AR$300, "0", 0)</f>
        <v>0</v>
      </c>
      <c r="H71" s="48">
        <f t="shared" ref="H71:H109" si="15">G71-F71</f>
        <v>-0.5</v>
      </c>
      <c r="I71" s="40">
        <f t="shared" ref="I71:I109" si="16">H71*E71</f>
        <v>-2214.2856999999999</v>
      </c>
      <c r="J71" s="39" t="str">
        <f t="shared" ref="J71:J109" si="17">CHOOSE(SIGN(G71 - F71) + 2, "Penurunan IU", "Tidak Ada Perubahan", "Kenaikan IU")</f>
        <v>Penurunan IU</v>
      </c>
      <c r="K71" s="71" t="s">
        <v>1041</v>
      </c>
      <c r="X71" s="20" t="s">
        <v>18</v>
      </c>
      <c r="Y71" t="s">
        <v>19</v>
      </c>
      <c r="Z71" t="s">
        <v>4</v>
      </c>
      <c r="AA71" s="10">
        <v>0.4</v>
      </c>
      <c r="AB71" t="s">
        <v>20</v>
      </c>
      <c r="AC71" s="10">
        <v>151400</v>
      </c>
      <c r="AD71" s="19">
        <v>60560</v>
      </c>
      <c r="AF71" s="20" t="s">
        <v>42</v>
      </c>
      <c r="AG71" s="18" t="s">
        <v>43</v>
      </c>
      <c r="AH71" s="18" t="s">
        <v>44</v>
      </c>
      <c r="AI71" s="18" t="s">
        <v>45</v>
      </c>
      <c r="AJ71" s="18" t="s">
        <v>46</v>
      </c>
      <c r="AK71" s="18" t="s">
        <v>47</v>
      </c>
      <c r="AL71" s="18" t="s">
        <v>48</v>
      </c>
      <c r="AM71" s="19" t="s">
        <v>49</v>
      </c>
      <c r="AW71" s="20" t="s">
        <v>388</v>
      </c>
      <c r="AX71" s="6" t="s">
        <v>389</v>
      </c>
      <c r="AY71" s="6" t="s">
        <v>67</v>
      </c>
      <c r="AZ71" s="10">
        <v>3</v>
      </c>
      <c r="BA71" s="6" t="s">
        <v>20</v>
      </c>
      <c r="BB71" s="10">
        <v>2639</v>
      </c>
      <c r="BC71" s="19">
        <v>7917</v>
      </c>
    </row>
    <row r="72" spans="1:55" ht="15" thickBot="1" x14ac:dyDescent="0.4">
      <c r="A72" s="38" t="str">
        <v>STA00027</v>
      </c>
      <c r="B72" s="31" t="str">
        <f t="shared" si="9"/>
        <v>BALLPOINT</v>
      </c>
      <c r="C72" s="31" t="str">
        <f t="shared" si="10"/>
        <v>STATIONARY AND OFFICE SUPPLIES</v>
      </c>
      <c r="D72" s="39" t="str">
        <f t="shared" si="11"/>
        <v>pcs</v>
      </c>
      <c r="E72" s="47">
        <f t="shared" si="12"/>
        <v>2639</v>
      </c>
      <c r="F72" s="48">
        <f t="shared" si="13"/>
        <v>3</v>
      </c>
      <c r="G72" s="48" t="str">
        <f t="shared" si="14"/>
        <v>0</v>
      </c>
      <c r="H72" s="48">
        <f t="shared" si="15"/>
        <v>-3</v>
      </c>
      <c r="I72" s="40">
        <f t="shared" si="16"/>
        <v>-7917</v>
      </c>
      <c r="J72" s="39" t="str">
        <f t="shared" si="17"/>
        <v>Penurunan IU</v>
      </c>
      <c r="K72" s="71" t="s">
        <v>1034</v>
      </c>
      <c r="X72" s="20" t="s">
        <v>219</v>
      </c>
      <c r="Y72" t="s">
        <v>220</v>
      </c>
      <c r="Z72" t="s">
        <v>4</v>
      </c>
      <c r="AA72" s="10">
        <v>5</v>
      </c>
      <c r="AB72" t="s">
        <v>25</v>
      </c>
      <c r="AC72" s="10">
        <v>57626.909099999997</v>
      </c>
      <c r="AD72" s="19">
        <v>288134.54550000001</v>
      </c>
      <c r="AF72" s="20">
        <v>1</v>
      </c>
      <c r="AG72" s="18" t="s">
        <v>910</v>
      </c>
      <c r="AH72" s="18" t="s">
        <v>911</v>
      </c>
      <c r="AI72" s="18" t="s">
        <v>894</v>
      </c>
      <c r="AJ72" s="18">
        <v>1</v>
      </c>
      <c r="AK72" s="18" t="s">
        <v>267</v>
      </c>
      <c r="AL72" s="18">
        <v>603840</v>
      </c>
      <c r="AM72" s="19">
        <v>603840</v>
      </c>
      <c r="AW72" s="20" t="s">
        <v>72</v>
      </c>
      <c r="AX72" s="6" t="s">
        <v>73</v>
      </c>
      <c r="AY72" s="6" t="s">
        <v>67</v>
      </c>
      <c r="AZ72" s="10">
        <v>13</v>
      </c>
      <c r="BA72" s="6" t="s">
        <v>74</v>
      </c>
      <c r="BB72" s="10">
        <v>3000</v>
      </c>
      <c r="BC72" s="19">
        <v>39000</v>
      </c>
    </row>
    <row r="73" spans="1:55" ht="15" thickBot="1" x14ac:dyDescent="0.4">
      <c r="A73" s="38" t="str">
        <v>STA00031</v>
      </c>
      <c r="B73" s="31" t="str">
        <f t="shared" si="9"/>
        <v>TIPEX</v>
      </c>
      <c r="C73" s="31" t="str">
        <f t="shared" si="10"/>
        <v>STATIONARY AND OFFICE SUPPLIES</v>
      </c>
      <c r="D73" s="39" t="str">
        <f t="shared" si="11"/>
        <v>pcs</v>
      </c>
      <c r="E73" s="47">
        <f t="shared" si="12"/>
        <v>5000</v>
      </c>
      <c r="F73" s="48">
        <f t="shared" si="13"/>
        <v>1</v>
      </c>
      <c r="G73" s="48" t="str">
        <f t="shared" si="14"/>
        <v>0</v>
      </c>
      <c r="H73" s="48">
        <f t="shared" si="15"/>
        <v>-1</v>
      </c>
      <c r="I73" s="40">
        <f t="shared" si="16"/>
        <v>-5000</v>
      </c>
      <c r="J73" s="39" t="str">
        <f t="shared" si="17"/>
        <v>Penurunan IU</v>
      </c>
      <c r="K73" s="71" t="s">
        <v>1041</v>
      </c>
      <c r="O73" s="84" t="s">
        <v>0</v>
      </c>
      <c r="P73" s="85"/>
      <c r="Q73" s="85"/>
      <c r="R73" s="85"/>
      <c r="S73" s="85"/>
      <c r="T73" s="16"/>
      <c r="U73" s="16"/>
      <c r="V73" s="17"/>
      <c r="X73" s="20" t="s">
        <v>23</v>
      </c>
      <c r="Y73" t="s">
        <v>24</v>
      </c>
      <c r="Z73" t="s">
        <v>4</v>
      </c>
      <c r="AA73" s="10">
        <v>59</v>
      </c>
      <c r="AB73" t="s">
        <v>25</v>
      </c>
      <c r="AC73" s="10">
        <v>17760</v>
      </c>
      <c r="AD73" s="19">
        <v>1047840</v>
      </c>
      <c r="AF73" s="22" t="s">
        <v>223</v>
      </c>
      <c r="AG73" s="23" t="s">
        <v>223</v>
      </c>
      <c r="AH73" s="23" t="s">
        <v>223</v>
      </c>
      <c r="AI73" s="23" t="s">
        <v>223</v>
      </c>
      <c r="AJ73" s="23" t="s">
        <v>223</v>
      </c>
      <c r="AK73" s="23" t="s">
        <v>223</v>
      </c>
      <c r="AL73" s="23" t="s">
        <v>224</v>
      </c>
      <c r="AM73" s="24">
        <v>603840</v>
      </c>
      <c r="AW73" s="20" t="s">
        <v>234</v>
      </c>
      <c r="AX73" s="6" t="s">
        <v>235</v>
      </c>
      <c r="AY73" s="6" t="s">
        <v>67</v>
      </c>
      <c r="AZ73" s="10">
        <v>1</v>
      </c>
      <c r="BA73" s="6" t="s">
        <v>20</v>
      </c>
      <c r="BB73" s="10">
        <v>5000</v>
      </c>
      <c r="BC73" s="19">
        <v>5000</v>
      </c>
    </row>
    <row r="74" spans="1:55" x14ac:dyDescent="0.35">
      <c r="A74" s="38" t="str">
        <v>STA00032</v>
      </c>
      <c r="B74" s="31" t="str">
        <f t="shared" si="9"/>
        <v>SPIDOL SNOWMAN (NON PERMANENT)</v>
      </c>
      <c r="C74" s="31" t="str">
        <f t="shared" si="10"/>
        <v>STATIONARY AND OFFICE SUPPLIES</v>
      </c>
      <c r="D74" s="39" t="str">
        <f t="shared" si="11"/>
        <v>pcs</v>
      </c>
      <c r="E74" s="47">
        <f t="shared" si="12"/>
        <v>6500</v>
      </c>
      <c r="F74" s="48">
        <f t="shared" si="13"/>
        <v>1</v>
      </c>
      <c r="G74" s="48" t="str">
        <f t="shared" si="14"/>
        <v>0</v>
      </c>
      <c r="H74" s="48">
        <f t="shared" si="15"/>
        <v>-1</v>
      </c>
      <c r="I74" s="40">
        <f t="shared" si="16"/>
        <v>-6500</v>
      </c>
      <c r="J74" s="39" t="str">
        <f t="shared" si="17"/>
        <v>Penurunan IU</v>
      </c>
      <c r="K74" s="71" t="s">
        <v>1041</v>
      </c>
      <c r="O74" s="82" t="s">
        <v>1</v>
      </c>
      <c r="P74" s="87"/>
      <c r="Q74" s="87"/>
      <c r="R74" s="87"/>
      <c r="S74" s="87"/>
      <c r="V74" s="19"/>
      <c r="X74" s="20" t="s">
        <v>28</v>
      </c>
      <c r="Y74" t="s">
        <v>29</v>
      </c>
      <c r="Z74" t="s">
        <v>4</v>
      </c>
      <c r="AA74" s="10">
        <v>19</v>
      </c>
      <c r="AB74" t="s">
        <v>30</v>
      </c>
      <c r="AC74" s="10">
        <v>19760</v>
      </c>
      <c r="AD74" s="19">
        <v>375440</v>
      </c>
      <c r="AW74" s="20" t="s">
        <v>77</v>
      </c>
      <c r="AX74" s="6" t="s">
        <v>78</v>
      </c>
      <c r="AY74" s="6" t="s">
        <v>67</v>
      </c>
      <c r="AZ74" s="10">
        <v>1</v>
      </c>
      <c r="BA74" s="6" t="s">
        <v>20</v>
      </c>
      <c r="BB74" s="10">
        <v>6500</v>
      </c>
      <c r="BC74" s="19">
        <v>6500</v>
      </c>
    </row>
    <row r="75" spans="1:55" ht="15" thickBot="1" x14ac:dyDescent="0.4">
      <c r="A75" s="38" t="str">
        <v>STA00034</v>
      </c>
      <c r="B75" s="31" t="str">
        <f t="shared" si="9"/>
        <v>LAKBAN HITAM</v>
      </c>
      <c r="C75" s="31" t="str">
        <f t="shared" si="10"/>
        <v>STATIONARY AND OFFICE SUPPLIES</v>
      </c>
      <c r="D75" s="39" t="str">
        <f t="shared" si="11"/>
        <v>pcs</v>
      </c>
      <c r="E75" s="47">
        <f t="shared" si="12"/>
        <v>12500</v>
      </c>
      <c r="F75" s="48">
        <f t="shared" si="13"/>
        <v>1</v>
      </c>
      <c r="G75" s="48" t="str">
        <f t="shared" si="14"/>
        <v>0</v>
      </c>
      <c r="H75" s="48">
        <f t="shared" si="15"/>
        <v>-1</v>
      </c>
      <c r="I75" s="40">
        <f t="shared" si="16"/>
        <v>-12500</v>
      </c>
      <c r="J75" s="39" t="str">
        <f t="shared" si="17"/>
        <v>Penurunan IU</v>
      </c>
      <c r="K75" s="71" t="s">
        <v>1041</v>
      </c>
      <c r="O75" s="20"/>
      <c r="V75" s="19"/>
      <c r="X75" s="20" t="s">
        <v>33</v>
      </c>
      <c r="Y75" t="s">
        <v>34</v>
      </c>
      <c r="Z75" t="s">
        <v>4</v>
      </c>
      <c r="AA75" s="10">
        <v>37</v>
      </c>
      <c r="AB75" t="s">
        <v>30</v>
      </c>
      <c r="AC75" s="10">
        <v>13000</v>
      </c>
      <c r="AD75" s="19">
        <v>481000</v>
      </c>
      <c r="AW75" s="20" t="s">
        <v>393</v>
      </c>
      <c r="AX75" s="6" t="s">
        <v>394</v>
      </c>
      <c r="AY75" s="6" t="s">
        <v>67</v>
      </c>
      <c r="AZ75" s="10">
        <v>1</v>
      </c>
      <c r="BA75" s="6" t="s">
        <v>20</v>
      </c>
      <c r="BB75" s="10">
        <v>12500</v>
      </c>
      <c r="BC75" s="19">
        <v>12500</v>
      </c>
    </row>
    <row r="76" spans="1:55" x14ac:dyDescent="0.35">
      <c r="A76" s="38" t="str">
        <v>STA00039</v>
      </c>
      <c r="B76" s="31" t="str">
        <f t="shared" si="9"/>
        <v>BUKU FOLIO 200 LBR</v>
      </c>
      <c r="C76" s="31" t="str">
        <f t="shared" si="10"/>
        <v>STATIONARY AND OFFICE SUPPLIES</v>
      </c>
      <c r="D76" s="39" t="str">
        <f t="shared" si="11"/>
        <v>bk</v>
      </c>
      <c r="E76" s="47">
        <f t="shared" si="12"/>
        <v>29000</v>
      </c>
      <c r="F76" s="48">
        <f t="shared" si="13"/>
        <v>1</v>
      </c>
      <c r="G76" s="48" t="str">
        <f t="shared" si="14"/>
        <v>0</v>
      </c>
      <c r="H76" s="48">
        <f t="shared" si="15"/>
        <v>-1</v>
      </c>
      <c r="I76" s="40">
        <f t="shared" si="16"/>
        <v>-29000</v>
      </c>
      <c r="J76" s="39" t="str">
        <f t="shared" si="17"/>
        <v>Penurunan IU</v>
      </c>
      <c r="K76" s="71" t="s">
        <v>1041</v>
      </c>
      <c r="O76" s="82" t="s">
        <v>10</v>
      </c>
      <c r="P76" s="87" t="s">
        <v>11</v>
      </c>
      <c r="Q76" t="s">
        <v>816</v>
      </c>
      <c r="V76" s="19"/>
      <c r="X76" s="20" t="s">
        <v>50</v>
      </c>
      <c r="Y76" t="s">
        <v>51</v>
      </c>
      <c r="Z76" t="s">
        <v>41</v>
      </c>
      <c r="AA76" s="10">
        <v>6</v>
      </c>
      <c r="AB76" t="s">
        <v>52</v>
      </c>
      <c r="AC76" s="10">
        <v>20500</v>
      </c>
      <c r="AD76" s="19">
        <v>123000</v>
      </c>
      <c r="AF76" s="84" t="s">
        <v>0</v>
      </c>
      <c r="AG76" s="85"/>
      <c r="AH76" s="85"/>
      <c r="AI76" s="85"/>
      <c r="AJ76" s="85"/>
      <c r="AK76" s="16"/>
      <c r="AL76" s="16"/>
      <c r="AM76" s="17"/>
      <c r="AW76" s="20" t="s">
        <v>512</v>
      </c>
      <c r="AX76" s="6" t="s">
        <v>513</v>
      </c>
      <c r="AY76" s="6" t="s">
        <v>67</v>
      </c>
      <c r="AZ76" s="10">
        <v>1</v>
      </c>
      <c r="BA76" s="6" t="s">
        <v>486</v>
      </c>
      <c r="BB76" s="10">
        <v>29000</v>
      </c>
      <c r="BC76" s="19">
        <v>29000</v>
      </c>
    </row>
    <row r="77" spans="1:55" x14ac:dyDescent="0.35">
      <c r="A77" s="38" t="str">
        <v>STA00045</v>
      </c>
      <c r="B77" s="31" t="str">
        <f t="shared" si="9"/>
        <v>KAIN KASA</v>
      </c>
      <c r="C77" s="31" t="str">
        <f t="shared" si="10"/>
        <v>STATIONARY AND OFFICE SUPPLIES</v>
      </c>
      <c r="D77" s="39" t="str">
        <f t="shared" si="11"/>
        <v>pack</v>
      </c>
      <c r="E77" s="47">
        <f t="shared" si="12"/>
        <v>13000</v>
      </c>
      <c r="F77" s="48">
        <f t="shared" si="13"/>
        <v>0.5</v>
      </c>
      <c r="G77" s="48" t="str">
        <f t="shared" si="14"/>
        <v>0</v>
      </c>
      <c r="H77" s="48">
        <f t="shared" si="15"/>
        <v>-0.5</v>
      </c>
      <c r="I77" s="40">
        <f t="shared" si="16"/>
        <v>-6500</v>
      </c>
      <c r="J77" s="39" t="str">
        <f t="shared" si="17"/>
        <v>Penurunan IU</v>
      </c>
      <c r="K77" s="71" t="s">
        <v>1041</v>
      </c>
      <c r="O77" s="82" t="s">
        <v>16</v>
      </c>
      <c r="P77" s="87" t="s">
        <v>11</v>
      </c>
      <c r="Q77" t="s">
        <v>17</v>
      </c>
      <c r="V77" s="19"/>
      <c r="X77" s="20" t="s">
        <v>306</v>
      </c>
      <c r="Y77" t="s">
        <v>307</v>
      </c>
      <c r="Z77" t="s">
        <v>41</v>
      </c>
      <c r="AA77" s="10">
        <v>1</v>
      </c>
      <c r="AB77" t="s">
        <v>20</v>
      </c>
      <c r="AC77" s="10">
        <v>7612.5015000000003</v>
      </c>
      <c r="AD77" s="19">
        <v>7612.5015000000003</v>
      </c>
      <c r="AF77" s="82" t="s">
        <v>1</v>
      </c>
      <c r="AG77" s="83"/>
      <c r="AH77" s="83"/>
      <c r="AI77" s="83"/>
      <c r="AJ77" s="83"/>
      <c r="AK77" s="18"/>
      <c r="AL77" s="18"/>
      <c r="AM77" s="19"/>
      <c r="AW77" s="20" t="s">
        <v>357</v>
      </c>
      <c r="AX77" s="6" t="s">
        <v>358</v>
      </c>
      <c r="AY77" s="6" t="s">
        <v>67</v>
      </c>
      <c r="AZ77" s="10">
        <v>0.1</v>
      </c>
      <c r="BA77" s="6" t="s">
        <v>5</v>
      </c>
      <c r="BB77" s="10">
        <v>31100</v>
      </c>
      <c r="BC77" s="19">
        <v>3110</v>
      </c>
    </row>
    <row r="78" spans="1:55" x14ac:dyDescent="0.35">
      <c r="A78" s="38" t="str">
        <v>STA00048</v>
      </c>
      <c r="B78" s="31" t="str">
        <f t="shared" si="9"/>
        <v>HANSAPLAST ROLL</v>
      </c>
      <c r="C78" s="31" t="str">
        <f t="shared" si="10"/>
        <v>STATIONARY AND OFFICE SUPPLIES</v>
      </c>
      <c r="D78" s="39" t="str">
        <f t="shared" si="11"/>
        <v>roll</v>
      </c>
      <c r="E78" s="47">
        <f t="shared" si="12"/>
        <v>13500</v>
      </c>
      <c r="F78" s="48">
        <f t="shared" si="13"/>
        <v>1</v>
      </c>
      <c r="G78" s="48" t="str">
        <f t="shared" si="14"/>
        <v>0</v>
      </c>
      <c r="H78" s="48">
        <f t="shared" si="15"/>
        <v>-1</v>
      </c>
      <c r="I78" s="40">
        <f t="shared" si="16"/>
        <v>-13500</v>
      </c>
      <c r="J78" s="39" t="str">
        <f t="shared" si="17"/>
        <v>Penurunan IU</v>
      </c>
      <c r="K78" s="71" t="s">
        <v>1050</v>
      </c>
      <c r="O78" s="82" t="s">
        <v>21</v>
      </c>
      <c r="P78" s="87" t="s">
        <v>11</v>
      </c>
      <c r="Q78" t="s">
        <v>798</v>
      </c>
      <c r="V78" s="19"/>
      <c r="X78" s="20" t="s">
        <v>53</v>
      </c>
      <c r="Y78" t="s">
        <v>54</v>
      </c>
      <c r="Z78" t="s">
        <v>41</v>
      </c>
      <c r="AA78" s="10">
        <v>39</v>
      </c>
      <c r="AB78" t="s">
        <v>20</v>
      </c>
      <c r="AC78" s="10">
        <v>2283.2564000000002</v>
      </c>
      <c r="AD78" s="19">
        <v>89046.999599999996</v>
      </c>
      <c r="AF78" s="20"/>
      <c r="AG78" s="18"/>
      <c r="AH78" s="18"/>
      <c r="AI78" s="18"/>
      <c r="AJ78" s="18"/>
      <c r="AK78" s="18"/>
      <c r="AL78" s="18"/>
      <c r="AM78" s="19"/>
      <c r="AW78" s="20" t="s">
        <v>624</v>
      </c>
      <c r="AX78" s="6" t="s">
        <v>625</v>
      </c>
      <c r="AY78" s="6" t="s">
        <v>67</v>
      </c>
      <c r="AZ78" s="10">
        <v>0.5</v>
      </c>
      <c r="BA78" s="6" t="s">
        <v>5</v>
      </c>
      <c r="BB78" s="10">
        <v>13000</v>
      </c>
      <c r="BC78" s="19">
        <v>6500</v>
      </c>
    </row>
    <row r="79" spans="1:55" x14ac:dyDescent="0.35">
      <c r="A79" s="38" t="str">
        <v>STA00050</v>
      </c>
      <c r="B79" s="31" t="str">
        <f t="shared" si="9"/>
        <v>MINYAK KAYU PUTIH</v>
      </c>
      <c r="C79" s="31" t="str">
        <f t="shared" si="10"/>
        <v>STATIONARY AND OFFICE SUPPLIES</v>
      </c>
      <c r="D79" s="39" t="str">
        <f t="shared" si="11"/>
        <v>pcs</v>
      </c>
      <c r="E79" s="47">
        <f t="shared" si="12"/>
        <v>7250</v>
      </c>
      <c r="F79" s="48">
        <f t="shared" si="13"/>
        <v>0.5</v>
      </c>
      <c r="G79" s="48" t="str">
        <f t="shared" si="14"/>
        <v>0</v>
      </c>
      <c r="H79" s="48">
        <f t="shared" si="15"/>
        <v>-0.5</v>
      </c>
      <c r="I79" s="40">
        <f t="shared" si="16"/>
        <v>-3625</v>
      </c>
      <c r="J79" s="39" t="str">
        <f t="shared" si="17"/>
        <v>Penurunan IU</v>
      </c>
      <c r="K79" s="71" t="s">
        <v>1051</v>
      </c>
      <c r="O79" s="82" t="s">
        <v>26</v>
      </c>
      <c r="P79" s="87" t="s">
        <v>11</v>
      </c>
      <c r="Q79" t="s">
        <v>817</v>
      </c>
      <c r="V79" s="19"/>
      <c r="X79" s="20" t="s">
        <v>453</v>
      </c>
      <c r="Y79" t="s">
        <v>454</v>
      </c>
      <c r="Z79" t="s">
        <v>41</v>
      </c>
      <c r="AA79" s="10">
        <v>6</v>
      </c>
      <c r="AB79" t="s">
        <v>267</v>
      </c>
      <c r="AC79" s="10">
        <v>20478.39718</v>
      </c>
      <c r="AD79" s="19">
        <v>122870.38308</v>
      </c>
      <c r="AF79" s="82" t="s">
        <v>10</v>
      </c>
      <c r="AG79" s="83" t="s">
        <v>11</v>
      </c>
      <c r="AH79" s="18" t="s">
        <v>912</v>
      </c>
      <c r="AI79" s="18"/>
      <c r="AJ79" s="18"/>
      <c r="AK79" s="18"/>
      <c r="AL79" s="18"/>
      <c r="AM79" s="19"/>
      <c r="AW79" s="20" t="s">
        <v>238</v>
      </c>
      <c r="AX79" s="6" t="s">
        <v>239</v>
      </c>
      <c r="AY79" s="6" t="s">
        <v>67</v>
      </c>
      <c r="AZ79" s="10">
        <v>1</v>
      </c>
      <c r="BA79" s="6" t="s">
        <v>74</v>
      </c>
      <c r="BB79" s="10">
        <v>13500</v>
      </c>
      <c r="BC79" s="19">
        <v>13500</v>
      </c>
    </row>
    <row r="80" spans="1:55" x14ac:dyDescent="0.35">
      <c r="A80" s="38" t="str">
        <v>STA00055</v>
      </c>
      <c r="B80" s="31" t="str">
        <f t="shared" si="9"/>
        <v>SPIDOL SNOWMAN - HITAM</v>
      </c>
      <c r="C80" s="31" t="str">
        <f t="shared" si="10"/>
        <v>STATIONARY AND OFFICE SUPPLIES</v>
      </c>
      <c r="D80" s="39" t="str">
        <f t="shared" si="11"/>
        <v>pcs</v>
      </c>
      <c r="E80" s="47">
        <f t="shared" si="12"/>
        <v>6000</v>
      </c>
      <c r="F80" s="48">
        <f t="shared" si="13"/>
        <v>3</v>
      </c>
      <c r="G80" s="48" t="str">
        <f t="shared" si="14"/>
        <v>0</v>
      </c>
      <c r="H80" s="48">
        <f t="shared" si="15"/>
        <v>-3</v>
      </c>
      <c r="I80" s="40">
        <f t="shared" si="16"/>
        <v>-18000</v>
      </c>
      <c r="J80" s="39" t="str">
        <f t="shared" si="17"/>
        <v>Penurunan IU</v>
      </c>
      <c r="K80" s="71" t="s">
        <v>1051</v>
      </c>
      <c r="O80" s="82" t="s">
        <v>31</v>
      </c>
      <c r="P80" s="87" t="s">
        <v>11</v>
      </c>
      <c r="Q80" t="s">
        <v>198</v>
      </c>
      <c r="V80" s="19"/>
      <c r="X80" s="20" t="s">
        <v>407</v>
      </c>
      <c r="Y80" t="s">
        <v>408</v>
      </c>
      <c r="Z80" t="s">
        <v>41</v>
      </c>
      <c r="AA80" s="10">
        <v>3</v>
      </c>
      <c r="AB80" t="s">
        <v>267</v>
      </c>
      <c r="AC80" s="10">
        <v>35390.564100000003</v>
      </c>
      <c r="AD80" s="19">
        <v>106171.6923</v>
      </c>
      <c r="AF80" s="82" t="s">
        <v>16</v>
      </c>
      <c r="AG80" s="83" t="s">
        <v>11</v>
      </c>
      <c r="AH80" s="18" t="s">
        <v>211</v>
      </c>
      <c r="AI80" s="18"/>
      <c r="AJ80" s="18"/>
      <c r="AK80" s="18"/>
      <c r="AL80" s="18"/>
      <c r="AM80" s="19"/>
      <c r="AW80" s="20" t="s">
        <v>83</v>
      </c>
      <c r="AX80" s="6" t="s">
        <v>84</v>
      </c>
      <c r="AY80" s="6" t="s">
        <v>67</v>
      </c>
      <c r="AZ80" s="10">
        <v>0.5</v>
      </c>
      <c r="BA80" s="6" t="s">
        <v>20</v>
      </c>
      <c r="BB80" s="10">
        <v>7250</v>
      </c>
      <c r="BC80" s="19">
        <v>3625</v>
      </c>
    </row>
    <row r="81" spans="1:55" x14ac:dyDescent="0.35">
      <c r="A81" s="38" t="str">
        <v>STA00076</v>
      </c>
      <c r="B81" s="31" t="str">
        <f t="shared" si="9"/>
        <v>STICKER TOM &amp; JERRY BULAT - HIJAU</v>
      </c>
      <c r="C81" s="31" t="str">
        <f t="shared" si="10"/>
        <v>STATIONARY AND OFFICE SUPPLIES</v>
      </c>
      <c r="D81" s="39" t="str">
        <f t="shared" si="11"/>
        <v>pack</v>
      </c>
      <c r="E81" s="47">
        <f t="shared" si="12"/>
        <v>10000</v>
      </c>
      <c r="F81" s="48">
        <f t="shared" si="13"/>
        <v>1</v>
      </c>
      <c r="G81" s="48" t="str">
        <f t="shared" si="14"/>
        <v>0</v>
      </c>
      <c r="H81" s="48">
        <f t="shared" si="15"/>
        <v>-1</v>
      </c>
      <c r="I81" s="40">
        <f t="shared" si="16"/>
        <v>-10000</v>
      </c>
      <c r="J81" s="39" t="str">
        <f t="shared" si="17"/>
        <v>Penurunan IU</v>
      </c>
      <c r="K81" s="71" t="s">
        <v>1041</v>
      </c>
      <c r="O81" s="82" t="s">
        <v>35</v>
      </c>
      <c r="P81" s="87" t="s">
        <v>11</v>
      </c>
      <c r="Q81" t="s">
        <v>818</v>
      </c>
      <c r="V81" s="19"/>
      <c r="X81" s="20" t="s">
        <v>613</v>
      </c>
      <c r="Y81" t="s">
        <v>614</v>
      </c>
      <c r="Z81" t="s">
        <v>41</v>
      </c>
      <c r="AA81" s="10">
        <v>1</v>
      </c>
      <c r="AB81" t="s">
        <v>267</v>
      </c>
      <c r="AC81" s="10">
        <v>149000</v>
      </c>
      <c r="AD81" s="19">
        <v>149000</v>
      </c>
      <c r="AF81" s="82" t="s">
        <v>21</v>
      </c>
      <c r="AG81" s="83" t="s">
        <v>11</v>
      </c>
      <c r="AH81" s="18" t="s">
        <v>798</v>
      </c>
      <c r="AI81" s="18"/>
      <c r="AJ81" s="18"/>
      <c r="AK81" s="18"/>
      <c r="AL81" s="18"/>
      <c r="AM81" s="19"/>
      <c r="AW81" s="20" t="s">
        <v>85</v>
      </c>
      <c r="AX81" s="6" t="s">
        <v>86</v>
      </c>
      <c r="AY81" s="6" t="s">
        <v>67</v>
      </c>
      <c r="AZ81" s="10">
        <v>1.5</v>
      </c>
      <c r="BA81" s="6" t="s">
        <v>87</v>
      </c>
      <c r="BB81" s="10">
        <v>18500</v>
      </c>
      <c r="BC81" s="19">
        <v>27750</v>
      </c>
    </row>
    <row r="82" spans="1:55" x14ac:dyDescent="0.35">
      <c r="A82" s="38" t="str">
        <v>STA00091</v>
      </c>
      <c r="B82" s="31" t="str">
        <f t="shared" si="9"/>
        <v>BUKU LOG FOLIO BERGARIS</v>
      </c>
      <c r="C82" s="31" t="str">
        <f t="shared" si="10"/>
        <v>STATIONARY AND OFFICE SUPPLIES</v>
      </c>
      <c r="D82" s="39" t="str">
        <f t="shared" si="11"/>
        <v>buku</v>
      </c>
      <c r="E82" s="47">
        <f t="shared" si="12"/>
        <v>18000</v>
      </c>
      <c r="F82" s="48">
        <f t="shared" si="13"/>
        <v>1</v>
      </c>
      <c r="G82" s="48" t="str">
        <f t="shared" si="14"/>
        <v>0</v>
      </c>
      <c r="H82" s="48">
        <f t="shared" si="15"/>
        <v>-1</v>
      </c>
      <c r="I82" s="40">
        <f t="shared" si="16"/>
        <v>-18000</v>
      </c>
      <c r="J82" s="39" t="str">
        <f t="shared" si="17"/>
        <v>Penurunan IU</v>
      </c>
      <c r="K82" s="71" t="s">
        <v>1041</v>
      </c>
      <c r="O82" s="20"/>
      <c r="V82" s="19"/>
      <c r="X82" s="20" t="s">
        <v>801</v>
      </c>
      <c r="Y82" t="s">
        <v>802</v>
      </c>
      <c r="Z82" t="s">
        <v>41</v>
      </c>
      <c r="AA82" s="10">
        <v>6</v>
      </c>
      <c r="AB82" t="s">
        <v>20</v>
      </c>
      <c r="AC82" s="10">
        <v>7610.1579000000002</v>
      </c>
      <c r="AD82" s="19">
        <v>45660.947399999997</v>
      </c>
      <c r="AF82" s="82" t="s">
        <v>26</v>
      </c>
      <c r="AG82" s="83" t="s">
        <v>11</v>
      </c>
      <c r="AH82" s="18" t="s">
        <v>913</v>
      </c>
      <c r="AI82" s="18"/>
      <c r="AJ82" s="18"/>
      <c r="AK82" s="18"/>
      <c r="AL82" s="18"/>
      <c r="AM82" s="19"/>
      <c r="AW82" s="20" t="s">
        <v>242</v>
      </c>
      <c r="AX82" s="6" t="s">
        <v>243</v>
      </c>
      <c r="AY82" s="6" t="s">
        <v>67</v>
      </c>
      <c r="AZ82" s="10">
        <v>2.9</v>
      </c>
      <c r="BA82" s="6" t="s">
        <v>87</v>
      </c>
      <c r="BB82" s="10">
        <v>14500</v>
      </c>
      <c r="BC82" s="19">
        <v>42050</v>
      </c>
    </row>
    <row r="83" spans="1:55" x14ac:dyDescent="0.35">
      <c r="A83" s="38" t="str">
        <v>STA00093</v>
      </c>
      <c r="B83" s="31" t="str">
        <f t="shared" si="9"/>
        <v>STICKER/LABEL TOM&amp;JERRY BULAT - ORANGE</v>
      </c>
      <c r="C83" s="31" t="str">
        <f t="shared" si="10"/>
        <v>STATIONARY AND OFFICE SUPPLIES</v>
      </c>
      <c r="D83" s="39" t="str">
        <f t="shared" si="11"/>
        <v>pack</v>
      </c>
      <c r="E83" s="47">
        <f t="shared" si="12"/>
        <v>10000</v>
      </c>
      <c r="F83" s="48">
        <f t="shared" si="13"/>
        <v>1</v>
      </c>
      <c r="G83" s="48" t="str">
        <f t="shared" si="14"/>
        <v>0</v>
      </c>
      <c r="H83" s="48">
        <f t="shared" si="15"/>
        <v>-1</v>
      </c>
      <c r="I83" s="40">
        <f t="shared" si="16"/>
        <v>-10000</v>
      </c>
      <c r="J83" s="39" t="str">
        <f t="shared" si="17"/>
        <v>Penurunan IU</v>
      </c>
      <c r="K83" s="71" t="s">
        <v>1041</v>
      </c>
      <c r="O83" s="20" t="s">
        <v>42</v>
      </c>
      <c r="P83" t="s">
        <v>43</v>
      </c>
      <c r="Q83" t="s">
        <v>44</v>
      </c>
      <c r="R83" t="s">
        <v>45</v>
      </c>
      <c r="S83" t="s">
        <v>46</v>
      </c>
      <c r="T83" t="s">
        <v>47</v>
      </c>
      <c r="U83" t="s">
        <v>48</v>
      </c>
      <c r="V83" s="19" t="s">
        <v>49</v>
      </c>
      <c r="X83" s="20" t="s">
        <v>57</v>
      </c>
      <c r="Y83" t="s">
        <v>58</v>
      </c>
      <c r="Z83" t="s">
        <v>41</v>
      </c>
      <c r="AA83" s="10">
        <v>10</v>
      </c>
      <c r="AB83" t="s">
        <v>5</v>
      </c>
      <c r="AC83" s="10">
        <v>7685.5288</v>
      </c>
      <c r="AD83" s="19">
        <v>76855.288</v>
      </c>
      <c r="AF83" s="82" t="s">
        <v>31</v>
      </c>
      <c r="AG83" s="83" t="s">
        <v>11</v>
      </c>
      <c r="AH83" s="18" t="s">
        <v>198</v>
      </c>
      <c r="AI83" s="18"/>
      <c r="AJ83" s="18"/>
      <c r="AK83" s="18"/>
      <c r="AL83" s="18"/>
      <c r="AM83" s="19"/>
      <c r="AW83" s="20" t="s">
        <v>244</v>
      </c>
      <c r="AX83" s="6" t="s">
        <v>245</v>
      </c>
      <c r="AY83" s="6" t="s">
        <v>67</v>
      </c>
      <c r="AZ83" s="10">
        <v>3</v>
      </c>
      <c r="BA83" s="6" t="s">
        <v>20</v>
      </c>
      <c r="BB83" s="10">
        <v>6000</v>
      </c>
      <c r="BC83" s="19">
        <v>18000</v>
      </c>
    </row>
    <row r="84" spans="1:55" x14ac:dyDescent="0.35">
      <c r="A84" s="38" t="str">
        <v>STA00095</v>
      </c>
      <c r="B84" s="31" t="str">
        <f t="shared" si="9"/>
        <v>OBAT ENTROSTOP</v>
      </c>
      <c r="C84" s="31" t="str">
        <f t="shared" si="10"/>
        <v>STATIONARY AND OFFICE SUPPLIES</v>
      </c>
      <c r="D84" s="39" t="str">
        <f t="shared" si="11"/>
        <v>str</v>
      </c>
      <c r="E84" s="47">
        <f t="shared" si="12"/>
        <v>8000</v>
      </c>
      <c r="F84" s="48">
        <f t="shared" si="13"/>
        <v>1</v>
      </c>
      <c r="G84" s="48" t="str">
        <f t="shared" si="14"/>
        <v>0</v>
      </c>
      <c r="H84" s="48">
        <f t="shared" si="15"/>
        <v>-1</v>
      </c>
      <c r="I84" s="40">
        <f t="shared" si="16"/>
        <v>-8000</v>
      </c>
      <c r="J84" s="39" t="str">
        <f t="shared" si="17"/>
        <v>Penurunan IU</v>
      </c>
      <c r="K84" s="71" t="s">
        <v>1052</v>
      </c>
      <c r="O84" s="20">
        <v>1</v>
      </c>
      <c r="P84" t="s">
        <v>284</v>
      </c>
      <c r="Q84" t="s">
        <v>285</v>
      </c>
      <c r="R84" t="s">
        <v>165</v>
      </c>
      <c r="S84" s="10">
        <v>2</v>
      </c>
      <c r="T84" t="s">
        <v>20</v>
      </c>
      <c r="U84" s="10">
        <v>17401.5681</v>
      </c>
      <c r="V84" s="19">
        <v>34803.136200000001</v>
      </c>
      <c r="X84" s="20" t="s">
        <v>59</v>
      </c>
      <c r="Y84" t="s">
        <v>60</v>
      </c>
      <c r="Z84" t="s">
        <v>41</v>
      </c>
      <c r="AA84" s="10">
        <v>31.5</v>
      </c>
      <c r="AB84" t="s">
        <v>5</v>
      </c>
      <c r="AC84" s="10">
        <v>7700</v>
      </c>
      <c r="AD84" s="19">
        <v>242550</v>
      </c>
      <c r="AF84" s="82" t="s">
        <v>35</v>
      </c>
      <c r="AG84" s="83" t="s">
        <v>11</v>
      </c>
      <c r="AH84" s="18" t="s">
        <v>914</v>
      </c>
      <c r="AI84" s="18"/>
      <c r="AJ84" s="18"/>
      <c r="AK84" s="18"/>
      <c r="AL84" s="18"/>
      <c r="AM84" s="19"/>
      <c r="AW84" s="20" t="s">
        <v>246</v>
      </c>
      <c r="AX84" s="6" t="s">
        <v>247</v>
      </c>
      <c r="AY84" s="6" t="s">
        <v>67</v>
      </c>
      <c r="AZ84" s="10">
        <v>1</v>
      </c>
      <c r="BA84" s="6" t="s">
        <v>5</v>
      </c>
      <c r="BB84" s="10">
        <v>1400</v>
      </c>
      <c r="BC84" s="19">
        <v>1400</v>
      </c>
    </row>
    <row r="85" spans="1:55" x14ac:dyDescent="0.35">
      <c r="A85" s="38" t="str">
        <v>STA00097</v>
      </c>
      <c r="B85" s="31" t="str">
        <f t="shared" si="9"/>
        <v>BIOPLACENTON</v>
      </c>
      <c r="C85" s="31" t="str">
        <f t="shared" si="10"/>
        <v>STATIONARY AND OFFICE SUPPLIES</v>
      </c>
      <c r="D85" s="39" t="str">
        <f t="shared" si="11"/>
        <v>pcs</v>
      </c>
      <c r="E85" s="47">
        <f t="shared" si="12"/>
        <v>28500</v>
      </c>
      <c r="F85" s="48">
        <f t="shared" si="13"/>
        <v>1</v>
      </c>
      <c r="G85" s="48" t="str">
        <f t="shared" si="14"/>
        <v>0</v>
      </c>
      <c r="H85" s="48">
        <f t="shared" si="15"/>
        <v>-1</v>
      </c>
      <c r="I85" s="40">
        <f t="shared" si="16"/>
        <v>-28500</v>
      </c>
      <c r="J85" s="39" t="str">
        <f t="shared" si="17"/>
        <v>Penurunan IU</v>
      </c>
      <c r="K85" s="71" t="s">
        <v>1051</v>
      </c>
      <c r="O85" s="20">
        <v>2</v>
      </c>
      <c r="P85" t="s">
        <v>716</v>
      </c>
      <c r="Q85" t="s">
        <v>717</v>
      </c>
      <c r="R85" t="s">
        <v>165</v>
      </c>
      <c r="S85" s="10">
        <v>1</v>
      </c>
      <c r="T85" t="s">
        <v>20</v>
      </c>
      <c r="U85" s="10">
        <v>69500</v>
      </c>
      <c r="V85" s="19">
        <v>69500</v>
      </c>
      <c r="X85" s="20" t="s">
        <v>61</v>
      </c>
      <c r="Y85" t="s">
        <v>62</v>
      </c>
      <c r="Z85" t="s">
        <v>41</v>
      </c>
      <c r="AA85" s="10">
        <v>3</v>
      </c>
      <c r="AB85" t="s">
        <v>5</v>
      </c>
      <c r="AC85" s="10">
        <v>16991.427</v>
      </c>
      <c r="AD85" s="19">
        <v>50974.281000000003</v>
      </c>
      <c r="AF85" s="20"/>
      <c r="AG85" s="18"/>
      <c r="AH85" s="18"/>
      <c r="AI85" s="18"/>
      <c r="AJ85" s="18"/>
      <c r="AK85" s="18"/>
      <c r="AL85" s="18"/>
      <c r="AM85" s="19"/>
      <c r="AW85" s="20" t="s">
        <v>327</v>
      </c>
      <c r="AX85" s="6" t="s">
        <v>328</v>
      </c>
      <c r="AY85" s="6" t="s">
        <v>67</v>
      </c>
      <c r="AZ85" s="10">
        <v>7</v>
      </c>
      <c r="BA85" s="6" t="s">
        <v>5</v>
      </c>
      <c r="BB85" s="10">
        <v>6250</v>
      </c>
      <c r="BC85" s="19">
        <v>43750</v>
      </c>
    </row>
    <row r="86" spans="1:55" x14ac:dyDescent="0.35">
      <c r="A86" s="38" t="str">
        <v>STA00099</v>
      </c>
      <c r="B86" s="31" t="str">
        <f t="shared" si="9"/>
        <v>BUSINESS FILE</v>
      </c>
      <c r="C86" s="31" t="str">
        <f t="shared" si="10"/>
        <v>STATIONARY AND OFFICE SUPPLIES</v>
      </c>
      <c r="D86" s="39" t="str">
        <f t="shared" si="11"/>
        <v>pcs</v>
      </c>
      <c r="E86" s="47">
        <f t="shared" si="12"/>
        <v>4043.4778000000001</v>
      </c>
      <c r="F86" s="48">
        <f t="shared" si="13"/>
        <v>3</v>
      </c>
      <c r="G86" s="48" t="str">
        <f t="shared" si="14"/>
        <v>0</v>
      </c>
      <c r="H86" s="48">
        <f t="shared" si="15"/>
        <v>-3</v>
      </c>
      <c r="I86" s="40">
        <f t="shared" si="16"/>
        <v>-12130.4334</v>
      </c>
      <c r="J86" s="39" t="str">
        <f t="shared" si="17"/>
        <v>Penurunan IU</v>
      </c>
      <c r="K86" s="71" t="s">
        <v>1034</v>
      </c>
      <c r="O86" s="20">
        <v>3</v>
      </c>
      <c r="P86" t="s">
        <v>296</v>
      </c>
      <c r="Q86" t="s">
        <v>297</v>
      </c>
      <c r="R86" t="s">
        <v>165</v>
      </c>
      <c r="S86" s="10">
        <v>1</v>
      </c>
      <c r="T86" t="s">
        <v>20</v>
      </c>
      <c r="U86" s="10">
        <v>16246.5131</v>
      </c>
      <c r="V86" s="19">
        <v>16246.5131</v>
      </c>
      <c r="X86" s="20" t="s">
        <v>312</v>
      </c>
      <c r="Y86" t="s">
        <v>313</v>
      </c>
      <c r="Z86" t="s">
        <v>41</v>
      </c>
      <c r="AA86" s="10">
        <v>3</v>
      </c>
      <c r="AB86" t="s">
        <v>20</v>
      </c>
      <c r="AC86" s="10">
        <v>29764.571399999997</v>
      </c>
      <c r="AD86" s="19">
        <v>89293.714200000002</v>
      </c>
      <c r="AF86" s="20" t="s">
        <v>42</v>
      </c>
      <c r="AG86" s="18" t="s">
        <v>43</v>
      </c>
      <c r="AH86" s="18" t="s">
        <v>44</v>
      </c>
      <c r="AI86" s="18" t="s">
        <v>45</v>
      </c>
      <c r="AJ86" s="18" t="s">
        <v>46</v>
      </c>
      <c r="AK86" s="18" t="s">
        <v>47</v>
      </c>
      <c r="AL86" s="18" t="s">
        <v>48</v>
      </c>
      <c r="AM86" s="19" t="s">
        <v>49</v>
      </c>
      <c r="AW86" s="20" t="s">
        <v>90</v>
      </c>
      <c r="AX86" s="6" t="s">
        <v>91</v>
      </c>
      <c r="AY86" s="6" t="s">
        <v>67</v>
      </c>
      <c r="AZ86" s="10">
        <v>2</v>
      </c>
      <c r="BA86" s="6" t="s">
        <v>5</v>
      </c>
      <c r="BB86" s="10">
        <v>6250</v>
      </c>
      <c r="BC86" s="19">
        <v>12500</v>
      </c>
    </row>
    <row r="87" spans="1:55" ht="15" thickBot="1" x14ac:dyDescent="0.4">
      <c r="A87" s="38" t="str">
        <v>STA00105</v>
      </c>
      <c r="B87" s="31" t="str">
        <f t="shared" si="9"/>
        <v>BINDER CLIP NO.200</v>
      </c>
      <c r="C87" s="31" t="str">
        <f t="shared" si="10"/>
        <v>STATIONARY AND OFFICE SUPPLIES</v>
      </c>
      <c r="D87" s="39" t="str">
        <f t="shared" si="11"/>
        <v>box</v>
      </c>
      <c r="E87" s="47">
        <f t="shared" si="12"/>
        <v>10500</v>
      </c>
      <c r="F87" s="48">
        <f t="shared" si="13"/>
        <v>1.4</v>
      </c>
      <c r="G87" s="48" t="str">
        <f t="shared" si="14"/>
        <v>0</v>
      </c>
      <c r="H87" s="48">
        <f t="shared" si="15"/>
        <v>-1.4</v>
      </c>
      <c r="I87" s="40">
        <f t="shared" si="16"/>
        <v>-14699.999999999998</v>
      </c>
      <c r="J87" s="39" t="str">
        <f t="shared" si="17"/>
        <v>Penurunan IU</v>
      </c>
      <c r="K87" s="71" t="s">
        <v>1034</v>
      </c>
      <c r="O87" s="20">
        <v>4</v>
      </c>
      <c r="P87" t="s">
        <v>184</v>
      </c>
      <c r="Q87" t="s">
        <v>185</v>
      </c>
      <c r="R87" t="s">
        <v>182</v>
      </c>
      <c r="S87" s="10">
        <v>15</v>
      </c>
      <c r="T87" t="s">
        <v>20</v>
      </c>
      <c r="U87" s="10">
        <v>1934.9772</v>
      </c>
      <c r="V87" s="19">
        <v>29024.657999999999</v>
      </c>
      <c r="X87" s="22" t="s">
        <v>805</v>
      </c>
      <c r="Y87" s="23" t="s">
        <v>806</v>
      </c>
      <c r="Z87" s="23" t="s">
        <v>41</v>
      </c>
      <c r="AA87" s="23">
        <v>1</v>
      </c>
      <c r="AB87" s="23" t="s">
        <v>20</v>
      </c>
      <c r="AC87" s="23">
        <v>155000</v>
      </c>
      <c r="AD87" s="24">
        <v>155000</v>
      </c>
      <c r="AF87" s="20">
        <v>1</v>
      </c>
      <c r="AG87" s="18" t="s">
        <v>716</v>
      </c>
      <c r="AH87" s="18" t="s">
        <v>717</v>
      </c>
      <c r="AI87" s="18" t="s">
        <v>165</v>
      </c>
      <c r="AJ87" s="21">
        <v>1</v>
      </c>
      <c r="AK87" s="18" t="s">
        <v>20</v>
      </c>
      <c r="AL87" s="21">
        <v>69500</v>
      </c>
      <c r="AM87" s="19">
        <v>69500</v>
      </c>
      <c r="AW87" s="20" t="s">
        <v>516</v>
      </c>
      <c r="AX87" s="6" t="s">
        <v>517</v>
      </c>
      <c r="AY87" s="6" t="s">
        <v>67</v>
      </c>
      <c r="AZ87" s="10">
        <v>1</v>
      </c>
      <c r="BA87" s="6" t="s">
        <v>5</v>
      </c>
      <c r="BB87" s="10">
        <v>10000</v>
      </c>
      <c r="BC87" s="19">
        <v>10000</v>
      </c>
    </row>
    <row r="88" spans="1:55" x14ac:dyDescent="0.35">
      <c r="A88" s="38" t="str">
        <v>STA00114</v>
      </c>
      <c r="B88" s="31" t="str">
        <f t="shared" si="9"/>
        <v>LABEL HARGA</v>
      </c>
      <c r="C88" s="31" t="str">
        <f t="shared" si="10"/>
        <v>STATIONARY AND OFFICE SUPPLIES</v>
      </c>
      <c r="D88" s="39" t="str">
        <f t="shared" si="11"/>
        <v>pcs</v>
      </c>
      <c r="E88" s="47">
        <f t="shared" si="12"/>
        <v>5489.5833000000011</v>
      </c>
      <c r="F88" s="48">
        <f t="shared" si="13"/>
        <v>22</v>
      </c>
      <c r="G88" s="48" t="str">
        <f t="shared" si="14"/>
        <v>0</v>
      </c>
      <c r="H88" s="48">
        <f t="shared" si="15"/>
        <v>-22</v>
      </c>
      <c r="I88" s="40">
        <f t="shared" si="16"/>
        <v>-120770.83260000002</v>
      </c>
      <c r="J88" s="39" t="str">
        <f t="shared" si="17"/>
        <v>Penurunan IU</v>
      </c>
      <c r="K88" s="71" t="s">
        <v>1034</v>
      </c>
      <c r="O88" s="20">
        <v>5</v>
      </c>
      <c r="P88" t="s">
        <v>810</v>
      </c>
      <c r="Q88" t="s">
        <v>811</v>
      </c>
      <c r="R88" t="s">
        <v>182</v>
      </c>
      <c r="S88" s="10">
        <v>450</v>
      </c>
      <c r="T88" t="s">
        <v>20</v>
      </c>
      <c r="U88" s="10">
        <v>29.531300000000002</v>
      </c>
      <c r="V88" s="19">
        <v>13289.084999999999</v>
      </c>
      <c r="AF88" s="20">
        <v>2</v>
      </c>
      <c r="AG88" s="18" t="s">
        <v>915</v>
      </c>
      <c r="AH88" s="18" t="s">
        <v>916</v>
      </c>
      <c r="AI88" s="18" t="s">
        <v>165</v>
      </c>
      <c r="AJ88" s="21">
        <v>3</v>
      </c>
      <c r="AK88" s="18" t="s">
        <v>20</v>
      </c>
      <c r="AL88" s="21">
        <v>47400</v>
      </c>
      <c r="AM88" s="19">
        <v>142200</v>
      </c>
      <c r="AW88" s="20" t="s">
        <v>92</v>
      </c>
      <c r="AX88" s="6" t="s">
        <v>93</v>
      </c>
      <c r="AY88" s="6" t="s">
        <v>67</v>
      </c>
      <c r="AZ88" s="10">
        <v>66</v>
      </c>
      <c r="BA88" s="6" t="s">
        <v>94</v>
      </c>
      <c r="BB88" s="10">
        <v>11800</v>
      </c>
      <c r="BC88" s="19">
        <v>778800</v>
      </c>
    </row>
    <row r="89" spans="1:55" x14ac:dyDescent="0.35">
      <c r="A89" s="38" t="str">
        <v>STA00115</v>
      </c>
      <c r="B89" s="31" t="str">
        <f t="shared" si="9"/>
        <v>STICKER SAUCE</v>
      </c>
      <c r="C89" s="31" t="str">
        <f t="shared" si="10"/>
        <v>STATIONARY AND OFFICE SUPPLIES</v>
      </c>
      <c r="D89" s="39" t="str">
        <f t="shared" si="11"/>
        <v>lembar</v>
      </c>
      <c r="E89" s="47">
        <f t="shared" si="12"/>
        <v>19063.875499999998</v>
      </c>
      <c r="F89" s="48">
        <f t="shared" si="13"/>
        <v>2</v>
      </c>
      <c r="G89" s="48" t="str">
        <f t="shared" si="14"/>
        <v>0</v>
      </c>
      <c r="H89" s="48">
        <f t="shared" si="15"/>
        <v>-2</v>
      </c>
      <c r="I89" s="40">
        <f t="shared" si="16"/>
        <v>-38127.750999999997</v>
      </c>
      <c r="J89" s="39" t="str">
        <f t="shared" si="17"/>
        <v>Penurunan IU</v>
      </c>
      <c r="K89" s="71" t="s">
        <v>1034</v>
      </c>
      <c r="O89" s="20">
        <v>6</v>
      </c>
      <c r="P89" t="s">
        <v>187</v>
      </c>
      <c r="Q89" t="s">
        <v>188</v>
      </c>
      <c r="R89" t="s">
        <v>182</v>
      </c>
      <c r="S89" s="10">
        <v>10</v>
      </c>
      <c r="T89" t="s">
        <v>20</v>
      </c>
      <c r="U89" s="10">
        <v>4650.9381999999996</v>
      </c>
      <c r="V89" s="19">
        <v>46509.381999999998</v>
      </c>
      <c r="AF89" s="20">
        <v>3</v>
      </c>
      <c r="AG89" s="18" t="s">
        <v>917</v>
      </c>
      <c r="AH89" s="18" t="s">
        <v>918</v>
      </c>
      <c r="AI89" s="18" t="s">
        <v>165</v>
      </c>
      <c r="AJ89" s="21">
        <v>1</v>
      </c>
      <c r="AK89" s="18" t="s">
        <v>20</v>
      </c>
      <c r="AL89" s="21">
        <v>83610</v>
      </c>
      <c r="AM89" s="19">
        <v>83610</v>
      </c>
      <c r="AW89" s="20" t="s">
        <v>518</v>
      </c>
      <c r="AX89" s="6" t="s">
        <v>519</v>
      </c>
      <c r="AY89" s="6" t="s">
        <v>67</v>
      </c>
      <c r="AZ89" s="10">
        <v>1</v>
      </c>
      <c r="BA89" s="6" t="s">
        <v>98</v>
      </c>
      <c r="BB89" s="10">
        <v>18000</v>
      </c>
      <c r="BC89" s="19">
        <v>18000</v>
      </c>
    </row>
    <row r="90" spans="1:55" x14ac:dyDescent="0.35">
      <c r="A90" s="38" t="str">
        <v>STA00118</v>
      </c>
      <c r="B90" s="31" t="str">
        <f t="shared" si="9"/>
        <v>LEM KERTAS JOYKO</v>
      </c>
      <c r="C90" s="31" t="str">
        <f t="shared" si="10"/>
        <v>STATIONARY AND OFFICE SUPPLIES</v>
      </c>
      <c r="D90" s="39" t="str">
        <f t="shared" si="11"/>
        <v>pcs</v>
      </c>
      <c r="E90" s="47">
        <f t="shared" si="12"/>
        <v>5500</v>
      </c>
      <c r="F90" s="48">
        <f t="shared" si="13"/>
        <v>1</v>
      </c>
      <c r="G90" s="48" t="str">
        <f t="shared" si="14"/>
        <v>0</v>
      </c>
      <c r="H90" s="48">
        <f t="shared" si="15"/>
        <v>-1</v>
      </c>
      <c r="I90" s="40">
        <f t="shared" si="16"/>
        <v>-5500</v>
      </c>
      <c r="J90" s="39" t="str">
        <f t="shared" si="17"/>
        <v>Penurunan IU</v>
      </c>
      <c r="K90" s="4"/>
      <c r="O90" s="20">
        <v>7</v>
      </c>
      <c r="P90" t="s">
        <v>474</v>
      </c>
      <c r="Q90" t="s">
        <v>475</v>
      </c>
      <c r="R90" t="s">
        <v>192</v>
      </c>
      <c r="S90">
        <v>7</v>
      </c>
      <c r="T90" t="s">
        <v>20</v>
      </c>
      <c r="U90">
        <v>8750</v>
      </c>
      <c r="V90" s="19">
        <v>61250</v>
      </c>
      <c r="AF90" s="20">
        <v>4</v>
      </c>
      <c r="AG90" s="18" t="s">
        <v>847</v>
      </c>
      <c r="AH90" s="18" t="s">
        <v>848</v>
      </c>
      <c r="AI90" s="18" t="s">
        <v>165</v>
      </c>
      <c r="AJ90" s="21">
        <v>1</v>
      </c>
      <c r="AK90" s="18" t="s">
        <v>20</v>
      </c>
      <c r="AL90" s="21">
        <v>15500</v>
      </c>
      <c r="AM90" s="19">
        <v>15500</v>
      </c>
      <c r="AW90" s="20" t="s">
        <v>520</v>
      </c>
      <c r="AX90" s="6" t="s">
        <v>521</v>
      </c>
      <c r="AY90" s="6" t="s">
        <v>67</v>
      </c>
      <c r="AZ90" s="10">
        <v>1</v>
      </c>
      <c r="BA90" s="6" t="s">
        <v>5</v>
      </c>
      <c r="BB90" s="10">
        <v>10000</v>
      </c>
      <c r="BC90" s="19">
        <v>10000</v>
      </c>
    </row>
    <row r="91" spans="1:55" ht="15" thickBot="1" x14ac:dyDescent="0.4">
      <c r="A91" s="38" t="str">
        <v>STA00119</v>
      </c>
      <c r="B91" s="31" t="str">
        <f t="shared" si="9"/>
        <v>SPIDOL PERMANENT JUMBO - HITAM</v>
      </c>
      <c r="C91" s="31" t="str">
        <f t="shared" si="10"/>
        <v>STATIONARY AND OFFICE SUPPLIES</v>
      </c>
      <c r="D91" s="39" t="str">
        <f t="shared" si="11"/>
        <v>pcs</v>
      </c>
      <c r="E91" s="47">
        <f t="shared" si="12"/>
        <v>18000</v>
      </c>
      <c r="F91" s="48">
        <f t="shared" si="13"/>
        <v>1</v>
      </c>
      <c r="G91" s="48" t="str">
        <f t="shared" si="14"/>
        <v>0</v>
      </c>
      <c r="H91" s="48">
        <f t="shared" si="15"/>
        <v>-1</v>
      </c>
      <c r="I91" s="40">
        <f t="shared" si="16"/>
        <v>-18000</v>
      </c>
      <c r="J91" s="39" t="str">
        <f t="shared" si="17"/>
        <v>Penurunan IU</v>
      </c>
      <c r="K91" s="4"/>
      <c r="O91" s="22" t="s">
        <v>223</v>
      </c>
      <c r="P91" s="23" t="s">
        <v>223</v>
      </c>
      <c r="Q91" s="23" t="s">
        <v>223</v>
      </c>
      <c r="R91" s="23" t="s">
        <v>223</v>
      </c>
      <c r="S91" s="23" t="s">
        <v>223</v>
      </c>
      <c r="T91" s="23" t="s">
        <v>223</v>
      </c>
      <c r="U91" s="23" t="s">
        <v>224</v>
      </c>
      <c r="V91" s="24">
        <v>270622.77429999999</v>
      </c>
      <c r="AF91" s="20">
        <v>5</v>
      </c>
      <c r="AG91" s="18" t="s">
        <v>919</v>
      </c>
      <c r="AH91" s="18" t="s">
        <v>920</v>
      </c>
      <c r="AI91" s="18" t="s">
        <v>165</v>
      </c>
      <c r="AJ91" s="18">
        <v>1</v>
      </c>
      <c r="AK91" s="18" t="s">
        <v>20</v>
      </c>
      <c r="AL91" s="18">
        <v>134357.14499999999</v>
      </c>
      <c r="AM91" s="19">
        <v>134357.14499999999</v>
      </c>
      <c r="AW91" s="20" t="s">
        <v>102</v>
      </c>
      <c r="AX91" s="6" t="s">
        <v>103</v>
      </c>
      <c r="AY91" s="6" t="s">
        <v>67</v>
      </c>
      <c r="AZ91" s="10">
        <v>1</v>
      </c>
      <c r="BA91" s="6" t="s">
        <v>87</v>
      </c>
      <c r="BB91" s="10">
        <v>8000</v>
      </c>
      <c r="BC91" s="19">
        <v>8000</v>
      </c>
    </row>
    <row r="92" spans="1:55" ht="15" thickBot="1" x14ac:dyDescent="0.4">
      <c r="A92" s="38" t="str">
        <v>STA00121</v>
      </c>
      <c r="B92" s="31" t="str">
        <f t="shared" si="9"/>
        <v>KERTAS BURAM A4</v>
      </c>
      <c r="C92" s="31" t="str">
        <f t="shared" si="10"/>
        <v>STATIONARY AND OFFICE SUPPLIES</v>
      </c>
      <c r="D92" s="39" t="str">
        <f t="shared" si="11"/>
        <v>pack</v>
      </c>
      <c r="E92" s="47">
        <f t="shared" si="12"/>
        <v>24500</v>
      </c>
      <c r="F92" s="48">
        <f t="shared" si="13"/>
        <v>2.5</v>
      </c>
      <c r="G92" s="48" t="str">
        <f t="shared" si="14"/>
        <v>0</v>
      </c>
      <c r="H92" s="48">
        <f t="shared" si="15"/>
        <v>-2.5</v>
      </c>
      <c r="I92" s="40">
        <f t="shared" si="16"/>
        <v>-61250</v>
      </c>
      <c r="J92" s="39" t="str">
        <f t="shared" si="17"/>
        <v>Penurunan IU</v>
      </c>
      <c r="K92" s="4"/>
      <c r="AF92" s="22" t="s">
        <v>223</v>
      </c>
      <c r="AG92" s="23" t="s">
        <v>223</v>
      </c>
      <c r="AH92" s="23" t="s">
        <v>223</v>
      </c>
      <c r="AI92" s="23" t="s">
        <v>223</v>
      </c>
      <c r="AJ92" s="23" t="s">
        <v>223</v>
      </c>
      <c r="AK92" s="23" t="s">
        <v>223</v>
      </c>
      <c r="AL92" s="23" t="s">
        <v>224</v>
      </c>
      <c r="AM92" s="24">
        <v>445167.14500000002</v>
      </c>
      <c r="AW92" s="20" t="s">
        <v>628</v>
      </c>
      <c r="AX92" s="6" t="s">
        <v>629</v>
      </c>
      <c r="AY92" s="6" t="s">
        <v>67</v>
      </c>
      <c r="AZ92" s="10">
        <v>1</v>
      </c>
      <c r="BA92" s="6" t="s">
        <v>20</v>
      </c>
      <c r="BB92" s="10">
        <v>28500</v>
      </c>
      <c r="BC92" s="19">
        <v>28500</v>
      </c>
    </row>
    <row r="93" spans="1:55" ht="15" thickBot="1" x14ac:dyDescent="0.4">
      <c r="A93" s="38" t="str">
        <v>STA00125</v>
      </c>
      <c r="B93" s="31" t="str">
        <f t="shared" si="9"/>
        <v>PAPER CLIP NO. 1</v>
      </c>
      <c r="C93" s="31" t="str">
        <f t="shared" si="10"/>
        <v>STATIONARY AND OFFICE SUPPLIES</v>
      </c>
      <c r="D93" s="39" t="str">
        <f t="shared" si="11"/>
        <v>pack</v>
      </c>
      <c r="E93" s="47">
        <f t="shared" si="12"/>
        <v>2100</v>
      </c>
      <c r="F93" s="48">
        <f t="shared" si="13"/>
        <v>1</v>
      </c>
      <c r="G93" s="48" t="str">
        <f t="shared" si="14"/>
        <v>0</v>
      </c>
      <c r="H93" s="48">
        <f t="shared" si="15"/>
        <v>-1</v>
      </c>
      <c r="I93" s="40">
        <f t="shared" si="16"/>
        <v>-2100</v>
      </c>
      <c r="J93" s="39" t="str">
        <f t="shared" si="17"/>
        <v>Penurunan IU</v>
      </c>
      <c r="K93" s="4"/>
      <c r="AW93" s="20" t="s">
        <v>256</v>
      </c>
      <c r="AX93" s="6" t="s">
        <v>257</v>
      </c>
      <c r="AY93" s="6" t="s">
        <v>67</v>
      </c>
      <c r="AZ93" s="10">
        <v>3</v>
      </c>
      <c r="BA93" s="6" t="s">
        <v>20</v>
      </c>
      <c r="BB93" s="10">
        <v>4043.4778000000001</v>
      </c>
      <c r="BC93" s="19">
        <v>12130.4334</v>
      </c>
    </row>
    <row r="94" spans="1:55" ht="15" thickBot="1" x14ac:dyDescent="0.4">
      <c r="A94" s="38" t="str">
        <v>STA00170</v>
      </c>
      <c r="B94" s="31" t="str">
        <f t="shared" si="9"/>
        <v>STICKER BUKU MENU</v>
      </c>
      <c r="C94" s="31" t="str">
        <f t="shared" si="10"/>
        <v>STATIONARY AND OFFICE SUPPLIES</v>
      </c>
      <c r="D94" s="39" t="str">
        <f t="shared" si="11"/>
        <v>pcs</v>
      </c>
      <c r="E94" s="47">
        <f t="shared" si="12"/>
        <v>310.85000000000002</v>
      </c>
      <c r="F94" s="48">
        <f t="shared" si="13"/>
        <v>2</v>
      </c>
      <c r="G94" s="48" t="str">
        <f t="shared" si="14"/>
        <v>0</v>
      </c>
      <c r="H94" s="48">
        <f t="shared" si="15"/>
        <v>-2</v>
      </c>
      <c r="I94" s="40">
        <f t="shared" si="16"/>
        <v>-621.70000000000005</v>
      </c>
      <c r="J94" s="39" t="str">
        <f t="shared" si="17"/>
        <v>Penurunan IU</v>
      </c>
      <c r="K94" s="4"/>
      <c r="O94" s="84" t="s">
        <v>0</v>
      </c>
      <c r="P94" s="85"/>
      <c r="Q94" s="85"/>
      <c r="R94" s="85"/>
      <c r="S94" s="85"/>
      <c r="T94" s="16"/>
      <c r="U94" s="16"/>
      <c r="V94" s="17"/>
      <c r="AW94" s="20" t="s">
        <v>522</v>
      </c>
      <c r="AX94" s="6" t="s">
        <v>523</v>
      </c>
      <c r="AY94" s="6" t="s">
        <v>67</v>
      </c>
      <c r="AZ94" s="10">
        <v>1.4</v>
      </c>
      <c r="BA94" s="6" t="s">
        <v>160</v>
      </c>
      <c r="BB94" s="10">
        <v>10500</v>
      </c>
      <c r="BC94" s="19">
        <v>14700</v>
      </c>
    </row>
    <row r="95" spans="1:55" x14ac:dyDescent="0.35">
      <c r="A95" s="38" t="str">
        <v>KW000019</v>
      </c>
      <c r="B95" s="31" t="str">
        <f t="shared" si="9"/>
        <v>FOOD TONG/CAPITAN MAKANAN LUBANG STAINLESS9 INCH</v>
      </c>
      <c r="C95" s="31" t="str">
        <f t="shared" si="10"/>
        <v>KITCHENWARE TOOLS</v>
      </c>
      <c r="D95" s="39" t="str">
        <f t="shared" si="11"/>
        <v>pcs</v>
      </c>
      <c r="E95" s="47">
        <f t="shared" si="12"/>
        <v>17401.5681</v>
      </c>
      <c r="F95" s="48">
        <f t="shared" si="13"/>
        <v>2</v>
      </c>
      <c r="G95" s="48" t="str">
        <f t="shared" si="14"/>
        <v>0</v>
      </c>
      <c r="H95" s="48">
        <f t="shared" si="15"/>
        <v>-2</v>
      </c>
      <c r="I95" s="40">
        <f t="shared" si="16"/>
        <v>-34803.136200000001</v>
      </c>
      <c r="J95" s="39" t="str">
        <f t="shared" si="17"/>
        <v>Penurunan IU</v>
      </c>
      <c r="K95" s="4"/>
      <c r="O95" s="82" t="s">
        <v>1</v>
      </c>
      <c r="P95" s="87"/>
      <c r="Q95" s="87"/>
      <c r="R95" s="87"/>
      <c r="S95" s="87"/>
      <c r="V95" s="19"/>
      <c r="AF95" s="84" t="s">
        <v>0</v>
      </c>
      <c r="AG95" s="85"/>
      <c r="AH95" s="85"/>
      <c r="AI95" s="85"/>
      <c r="AJ95" s="85"/>
      <c r="AK95" s="16"/>
      <c r="AL95" s="16"/>
      <c r="AM95" s="17"/>
      <c r="AW95" s="20" t="s">
        <v>107</v>
      </c>
      <c r="AX95" s="6" t="s">
        <v>108</v>
      </c>
      <c r="AY95" s="6" t="s">
        <v>67</v>
      </c>
      <c r="AZ95" s="10">
        <v>1.5</v>
      </c>
      <c r="BA95" s="6" t="s">
        <v>5</v>
      </c>
      <c r="BB95" s="10">
        <v>16250</v>
      </c>
      <c r="BC95" s="19">
        <v>24375</v>
      </c>
    </row>
    <row r="96" spans="1:55" x14ac:dyDescent="0.35">
      <c r="A96" s="38" t="str">
        <v>KW00138</v>
      </c>
      <c r="B96" s="31" t="str">
        <f t="shared" si="9"/>
        <v>BOTOL BUMBU TUTUP BUNGA</v>
      </c>
      <c r="C96" s="31" t="str">
        <f t="shared" si="10"/>
        <v>KITCHENWARE TOOLS</v>
      </c>
      <c r="D96" s="39" t="str">
        <f t="shared" si="11"/>
        <v>pcs</v>
      </c>
      <c r="E96" s="47">
        <f t="shared" si="12"/>
        <v>16246.5131</v>
      </c>
      <c r="F96" s="48">
        <f t="shared" si="13"/>
        <v>1</v>
      </c>
      <c r="G96" s="48" t="str">
        <f t="shared" si="14"/>
        <v>0</v>
      </c>
      <c r="H96" s="48">
        <f t="shared" si="15"/>
        <v>-1</v>
      </c>
      <c r="I96" s="40">
        <f t="shared" si="16"/>
        <v>-16246.5131</v>
      </c>
      <c r="J96" s="39" t="str">
        <f t="shared" si="17"/>
        <v>Penurunan IU</v>
      </c>
      <c r="K96" s="4"/>
      <c r="O96" s="20"/>
      <c r="V96" s="19"/>
      <c r="AF96" s="82" t="s">
        <v>1</v>
      </c>
      <c r="AG96" s="83"/>
      <c r="AH96" s="83"/>
      <c r="AI96" s="83"/>
      <c r="AJ96" s="83"/>
      <c r="AK96" s="18"/>
      <c r="AL96" s="18"/>
      <c r="AM96" s="19"/>
      <c r="AW96" s="20" t="s">
        <v>630</v>
      </c>
      <c r="AX96" s="6" t="s">
        <v>631</v>
      </c>
      <c r="AY96" s="6" t="s">
        <v>67</v>
      </c>
      <c r="AZ96" s="10">
        <v>22</v>
      </c>
      <c r="BA96" s="6" t="s">
        <v>20</v>
      </c>
      <c r="BB96" s="10">
        <v>5489.5833000000011</v>
      </c>
      <c r="BC96" s="19">
        <v>120770.83259999999</v>
      </c>
    </row>
    <row r="97" spans="1:55" x14ac:dyDescent="0.35">
      <c r="A97" s="38" t="str">
        <v>TCT00004</v>
      </c>
      <c r="B97" s="31" t="str">
        <f t="shared" si="9"/>
        <v>MTE SUMPIT STAINLESS SUS304</v>
      </c>
      <c r="C97" s="31" t="str">
        <f t="shared" si="10"/>
        <v>CUTELERIES</v>
      </c>
      <c r="D97" s="39" t="str">
        <f t="shared" si="11"/>
        <v>pcs</v>
      </c>
      <c r="E97" s="47">
        <f t="shared" si="12"/>
        <v>1934.9772</v>
      </c>
      <c r="F97" s="48">
        <f t="shared" si="13"/>
        <v>15</v>
      </c>
      <c r="G97" s="48" t="str">
        <f t="shared" si="14"/>
        <v>0</v>
      </c>
      <c r="H97" s="48">
        <f t="shared" si="15"/>
        <v>-15</v>
      </c>
      <c r="I97" s="40">
        <f t="shared" si="16"/>
        <v>-29024.657999999999</v>
      </c>
      <c r="J97" s="39" t="str">
        <f t="shared" si="17"/>
        <v>Penurunan IU</v>
      </c>
      <c r="K97" s="4"/>
      <c r="O97" s="82" t="s">
        <v>10</v>
      </c>
      <c r="P97" s="87" t="s">
        <v>11</v>
      </c>
      <c r="Q97" t="s">
        <v>819</v>
      </c>
      <c r="V97" s="19"/>
      <c r="AF97" s="20"/>
      <c r="AG97" s="18"/>
      <c r="AH97" s="18"/>
      <c r="AI97" s="18"/>
      <c r="AJ97" s="18"/>
      <c r="AK97" s="18"/>
      <c r="AL97" s="18"/>
      <c r="AM97" s="19"/>
      <c r="AW97" s="20" t="s">
        <v>364</v>
      </c>
      <c r="AX97" s="6" t="s">
        <v>365</v>
      </c>
      <c r="AY97" s="6" t="s">
        <v>67</v>
      </c>
      <c r="AZ97" s="10">
        <v>2</v>
      </c>
      <c r="BA97" s="6" t="s">
        <v>52</v>
      </c>
      <c r="BB97" s="10">
        <v>19063.875499999998</v>
      </c>
      <c r="BC97" s="19">
        <v>38127.750999999997</v>
      </c>
    </row>
    <row r="98" spans="1:55" x14ac:dyDescent="0.35">
      <c r="A98" s="38" t="str">
        <v>TCT00005</v>
      </c>
      <c r="B98" s="31" t="str">
        <f t="shared" si="9"/>
        <v>TUSUK GIGI ION KERTAS (NON ACTIVE)</v>
      </c>
      <c r="C98" s="31" t="str">
        <f t="shared" si="10"/>
        <v>CUTELERIES</v>
      </c>
      <c r="D98" s="39" t="str">
        <f t="shared" si="11"/>
        <v>pcs</v>
      </c>
      <c r="E98" s="47">
        <f t="shared" si="12"/>
        <v>29.531300000000002</v>
      </c>
      <c r="F98" s="48">
        <f t="shared" si="13"/>
        <v>450</v>
      </c>
      <c r="G98" s="48" t="str">
        <f t="shared" si="14"/>
        <v>0</v>
      </c>
      <c r="H98" s="48">
        <f t="shared" si="15"/>
        <v>-450</v>
      </c>
      <c r="I98" s="40">
        <f t="shared" si="16"/>
        <v>-13289.085000000001</v>
      </c>
      <c r="J98" s="39" t="str">
        <f t="shared" si="17"/>
        <v>Penurunan IU</v>
      </c>
      <c r="K98" s="4"/>
      <c r="O98" s="82" t="s">
        <v>16</v>
      </c>
      <c r="P98" s="87" t="s">
        <v>11</v>
      </c>
      <c r="Q98" t="s">
        <v>17</v>
      </c>
      <c r="V98" s="19"/>
      <c r="AF98" s="82" t="s">
        <v>10</v>
      </c>
      <c r="AG98" s="83" t="s">
        <v>11</v>
      </c>
      <c r="AH98" s="18" t="s">
        <v>921</v>
      </c>
      <c r="AI98" s="18"/>
      <c r="AJ98" s="18"/>
      <c r="AK98" s="18"/>
      <c r="AL98" s="18"/>
      <c r="AM98" s="19"/>
      <c r="AW98" s="20" t="s">
        <v>803</v>
      </c>
      <c r="AX98" s="6" t="s">
        <v>804</v>
      </c>
      <c r="AY98" s="6" t="s">
        <v>67</v>
      </c>
      <c r="AZ98" s="10">
        <v>1</v>
      </c>
      <c r="BA98" s="6" t="s">
        <v>20</v>
      </c>
      <c r="BB98" s="10">
        <v>5500</v>
      </c>
      <c r="BC98" s="19">
        <v>5500</v>
      </c>
    </row>
    <row r="99" spans="1:55" x14ac:dyDescent="0.35">
      <c r="A99" s="38" t="str">
        <v>TCT00008</v>
      </c>
      <c r="B99" s="31" t="str">
        <f t="shared" si="9"/>
        <v>SENDOK KOREA STAINLESS SUJEO SUS304</v>
      </c>
      <c r="C99" s="31" t="str">
        <f t="shared" si="10"/>
        <v>CUTELERIES</v>
      </c>
      <c r="D99" s="39" t="str">
        <f t="shared" si="11"/>
        <v>pcs</v>
      </c>
      <c r="E99" s="47">
        <f t="shared" si="12"/>
        <v>4650.9381999999996</v>
      </c>
      <c r="F99" s="48">
        <f t="shared" si="13"/>
        <v>10</v>
      </c>
      <c r="G99" s="48" t="str">
        <f t="shared" si="14"/>
        <v>0</v>
      </c>
      <c r="H99" s="48">
        <f t="shared" si="15"/>
        <v>-10</v>
      </c>
      <c r="I99" s="40">
        <f t="shared" si="16"/>
        <v>-46509.381999999998</v>
      </c>
      <c r="J99" s="39" t="str">
        <f t="shared" si="17"/>
        <v>Penurunan IU</v>
      </c>
      <c r="K99" s="4"/>
      <c r="O99" s="82" t="s">
        <v>21</v>
      </c>
      <c r="P99" s="87" t="s">
        <v>11</v>
      </c>
      <c r="Q99" t="s">
        <v>798</v>
      </c>
      <c r="V99" s="19"/>
      <c r="AF99" s="82" t="s">
        <v>16</v>
      </c>
      <c r="AG99" s="83" t="s">
        <v>11</v>
      </c>
      <c r="AH99" s="18" t="s">
        <v>211</v>
      </c>
      <c r="AI99" s="18"/>
      <c r="AJ99" s="18"/>
      <c r="AK99" s="18"/>
      <c r="AL99" s="18"/>
      <c r="AM99" s="19"/>
      <c r="AW99" s="20" t="s">
        <v>807</v>
      </c>
      <c r="AX99" s="6" t="s">
        <v>808</v>
      </c>
      <c r="AY99" s="6" t="s">
        <v>67</v>
      </c>
      <c r="AZ99" s="10">
        <v>1</v>
      </c>
      <c r="BA99" s="6" t="s">
        <v>20</v>
      </c>
      <c r="BB99" s="10">
        <v>18000</v>
      </c>
      <c r="BC99" s="19">
        <v>18000</v>
      </c>
    </row>
    <row r="100" spans="1:55" x14ac:dyDescent="0.35">
      <c r="A100" s="38" t="str">
        <v>TGW00001</v>
      </c>
      <c r="B100" s="31" t="str">
        <f t="shared" si="9"/>
        <v>SAUCER KIMCHI MANGKOK SAUS KECIL 9 CM SC1001</v>
      </c>
      <c r="C100" s="31" t="str">
        <f t="shared" si="10"/>
        <v>TABLEWARE</v>
      </c>
      <c r="D100" s="39" t="str">
        <f t="shared" si="11"/>
        <v>pcs</v>
      </c>
      <c r="E100" s="47">
        <f t="shared" si="12"/>
        <v>8750</v>
      </c>
      <c r="F100" s="48">
        <f t="shared" si="13"/>
        <v>7</v>
      </c>
      <c r="G100" s="48" t="str">
        <f t="shared" si="14"/>
        <v>0</v>
      </c>
      <c r="H100" s="48">
        <f t="shared" si="15"/>
        <v>-7</v>
      </c>
      <c r="I100" s="40">
        <f t="shared" si="16"/>
        <v>-61250</v>
      </c>
      <c r="J100" s="39" t="str">
        <f t="shared" si="17"/>
        <v>Penurunan IU</v>
      </c>
      <c r="K100" s="4"/>
      <c r="O100" s="82" t="s">
        <v>26</v>
      </c>
      <c r="P100" s="87" t="s">
        <v>11</v>
      </c>
      <c r="Q100" t="s">
        <v>820</v>
      </c>
      <c r="V100" s="19"/>
      <c r="AF100" s="82" t="s">
        <v>21</v>
      </c>
      <c r="AG100" s="83" t="s">
        <v>11</v>
      </c>
      <c r="AH100" s="18" t="s">
        <v>798</v>
      </c>
      <c r="AI100" s="18"/>
      <c r="AJ100" s="18"/>
      <c r="AK100" s="18"/>
      <c r="AL100" s="18"/>
      <c r="AM100" s="19"/>
      <c r="AW100" s="20" t="s">
        <v>258</v>
      </c>
      <c r="AX100" s="6" t="s">
        <v>259</v>
      </c>
      <c r="AY100" s="6" t="s">
        <v>67</v>
      </c>
      <c r="AZ100" s="10">
        <v>2.5</v>
      </c>
      <c r="BA100" s="6" t="s">
        <v>5</v>
      </c>
      <c r="BB100" s="10">
        <v>24500</v>
      </c>
      <c r="BC100" s="19">
        <v>61250</v>
      </c>
    </row>
    <row r="101" spans="1:55" x14ac:dyDescent="0.35">
      <c r="A101" s="38" t="str">
        <v>MRP00065</v>
      </c>
      <c r="B101" s="31" t="str">
        <f t="shared" si="9"/>
        <v>LEM PVC</v>
      </c>
      <c r="C101" s="31" t="str">
        <f t="shared" si="10"/>
        <v>IT GA AND MRP STOCK</v>
      </c>
      <c r="D101" s="39" t="str">
        <f t="shared" si="11"/>
        <v>pcs</v>
      </c>
      <c r="E101" s="47">
        <f t="shared" si="12"/>
        <v>10000</v>
      </c>
      <c r="F101" s="48">
        <f t="shared" si="13"/>
        <v>1</v>
      </c>
      <c r="G101" s="48" t="str">
        <f t="shared" si="14"/>
        <v>0</v>
      </c>
      <c r="H101" s="48">
        <f t="shared" si="15"/>
        <v>-1</v>
      </c>
      <c r="I101" s="40">
        <f t="shared" si="16"/>
        <v>-10000</v>
      </c>
      <c r="J101" s="39" t="str">
        <f t="shared" si="17"/>
        <v>Penurunan IU</v>
      </c>
      <c r="K101" s="4"/>
      <c r="O101" s="82" t="s">
        <v>31</v>
      </c>
      <c r="P101" s="87" t="s">
        <v>11</v>
      </c>
      <c r="Q101" t="s">
        <v>109</v>
      </c>
      <c r="V101" s="19"/>
      <c r="AF101" s="82" t="s">
        <v>26</v>
      </c>
      <c r="AG101" s="83" t="s">
        <v>11</v>
      </c>
      <c r="AH101" s="18" t="s">
        <v>922</v>
      </c>
      <c r="AI101" s="18"/>
      <c r="AJ101" s="18"/>
      <c r="AK101" s="18"/>
      <c r="AL101" s="18"/>
      <c r="AM101" s="19"/>
      <c r="AW101" s="20" t="s">
        <v>260</v>
      </c>
      <c r="AX101" s="6" t="s">
        <v>261</v>
      </c>
      <c r="AY101" s="6" t="s">
        <v>67</v>
      </c>
      <c r="AZ101" s="10">
        <v>1</v>
      </c>
      <c r="BA101" s="6" t="s">
        <v>5</v>
      </c>
      <c r="BB101" s="10">
        <v>2100</v>
      </c>
      <c r="BC101" s="19">
        <v>2100</v>
      </c>
    </row>
    <row r="102" spans="1:55" x14ac:dyDescent="0.35">
      <c r="A102" s="38" t="str">
        <v>OTH00041</v>
      </c>
      <c r="B102" s="31" t="str">
        <f t="shared" si="9"/>
        <v>ANTI SLIP DASH MAT</v>
      </c>
      <c r="C102" s="31" t="str">
        <f t="shared" si="10"/>
        <v>OTHERS</v>
      </c>
      <c r="D102" s="39" t="str">
        <f t="shared" si="11"/>
        <v>pcs</v>
      </c>
      <c r="E102" s="47">
        <f t="shared" si="12"/>
        <v>33574.074099999998</v>
      </c>
      <c r="F102" s="48">
        <f t="shared" si="13"/>
        <v>10</v>
      </c>
      <c r="G102" s="48" t="str">
        <f t="shared" si="14"/>
        <v>0</v>
      </c>
      <c r="H102" s="48">
        <f t="shared" si="15"/>
        <v>-10</v>
      </c>
      <c r="I102" s="40">
        <f t="shared" si="16"/>
        <v>-335740.74099999998</v>
      </c>
      <c r="J102" s="39" t="str">
        <f t="shared" si="17"/>
        <v>Penurunan IU</v>
      </c>
      <c r="K102" s="4"/>
      <c r="O102" s="82" t="s">
        <v>35</v>
      </c>
      <c r="P102" s="87" t="s">
        <v>11</v>
      </c>
      <c r="Q102" t="s">
        <v>821</v>
      </c>
      <c r="V102" s="19"/>
      <c r="AF102" s="82" t="s">
        <v>31</v>
      </c>
      <c r="AG102" s="83" t="s">
        <v>11</v>
      </c>
      <c r="AH102" s="18" t="s">
        <v>186</v>
      </c>
      <c r="AI102" s="18"/>
      <c r="AJ102" s="18"/>
      <c r="AK102" s="18"/>
      <c r="AL102" s="18"/>
      <c r="AM102" s="19"/>
      <c r="AW102" s="20" t="s">
        <v>401</v>
      </c>
      <c r="AX102" s="6" t="s">
        <v>402</v>
      </c>
      <c r="AY102" s="6" t="s">
        <v>67</v>
      </c>
      <c r="AZ102" s="6">
        <v>2</v>
      </c>
      <c r="BA102" s="6" t="s">
        <v>20</v>
      </c>
      <c r="BB102" s="6">
        <v>310.85000000000002</v>
      </c>
      <c r="BC102" s="19">
        <v>621.70000000000005</v>
      </c>
    </row>
    <row r="103" spans="1:55" x14ac:dyDescent="0.35">
      <c r="A103" s="38" t="str">
        <v>OTH00198</v>
      </c>
      <c r="B103" s="31" t="str">
        <f t="shared" si="9"/>
        <v>SODA API</v>
      </c>
      <c r="C103" s="31" t="str">
        <f t="shared" si="10"/>
        <v>OTHERS</v>
      </c>
      <c r="D103" s="39" t="str">
        <f t="shared" si="11"/>
        <v>pcs</v>
      </c>
      <c r="E103" s="47">
        <f t="shared" si="12"/>
        <v>35000</v>
      </c>
      <c r="F103" s="48">
        <f t="shared" si="13"/>
        <v>1</v>
      </c>
      <c r="G103" s="48" t="str">
        <f t="shared" si="14"/>
        <v>0</v>
      </c>
      <c r="H103" s="48">
        <f t="shared" si="15"/>
        <v>-1</v>
      </c>
      <c r="I103" s="40">
        <f t="shared" si="16"/>
        <v>-35000</v>
      </c>
      <c r="J103" s="39" t="str">
        <f t="shared" si="17"/>
        <v>Penurunan IU</v>
      </c>
      <c r="K103" s="4"/>
      <c r="O103" s="20"/>
      <c r="V103" s="19"/>
      <c r="AF103" s="82" t="s">
        <v>35</v>
      </c>
      <c r="AG103" s="83" t="s">
        <v>11</v>
      </c>
      <c r="AH103" s="18" t="s">
        <v>923</v>
      </c>
      <c r="AI103" s="18"/>
      <c r="AJ103" s="18"/>
      <c r="AK103" s="18"/>
      <c r="AL103" s="18"/>
      <c r="AM103" s="19"/>
      <c r="AW103" s="20" t="s">
        <v>284</v>
      </c>
      <c r="AX103" s="6" t="s">
        <v>285</v>
      </c>
      <c r="AY103" s="6" t="s">
        <v>165</v>
      </c>
      <c r="AZ103" s="10">
        <v>2</v>
      </c>
      <c r="BA103" s="6" t="s">
        <v>20</v>
      </c>
      <c r="BB103" s="10">
        <v>17401.5681</v>
      </c>
      <c r="BC103" s="19">
        <v>34803.136200000001</v>
      </c>
    </row>
    <row r="104" spans="1:55" x14ac:dyDescent="0.35">
      <c r="A104" s="38" t="str">
        <v>CECM0009</v>
      </c>
      <c r="B104" s="31" t="str">
        <f t="shared" si="9"/>
        <v>HAND SANITIZER 5 L</v>
      </c>
      <c r="C104" s="31" t="str">
        <f t="shared" si="10"/>
        <v>CLEANING CHEMICAL</v>
      </c>
      <c r="D104" s="39" t="str">
        <f t="shared" si="11"/>
        <v>pcs</v>
      </c>
      <c r="E104" s="47">
        <f t="shared" si="12"/>
        <v>151400</v>
      </c>
      <c r="F104" s="48">
        <f t="shared" si="13"/>
        <v>0.4</v>
      </c>
      <c r="G104" s="48" t="str">
        <f t="shared" si="14"/>
        <v>0</v>
      </c>
      <c r="H104" s="48">
        <f t="shared" si="15"/>
        <v>-0.4</v>
      </c>
      <c r="I104" s="40">
        <f t="shared" si="16"/>
        <v>-60560</v>
      </c>
      <c r="J104" s="39" t="str">
        <f t="shared" si="17"/>
        <v>Penurunan IU</v>
      </c>
      <c r="K104" s="4"/>
      <c r="O104" s="20" t="s">
        <v>42</v>
      </c>
      <c r="P104" t="s">
        <v>43</v>
      </c>
      <c r="Q104" t="s">
        <v>44</v>
      </c>
      <c r="R104" t="s">
        <v>45</v>
      </c>
      <c r="S104" t="s">
        <v>46</v>
      </c>
      <c r="T104" t="s">
        <v>47</v>
      </c>
      <c r="U104" t="s">
        <v>48</v>
      </c>
      <c r="V104" s="19" t="s">
        <v>49</v>
      </c>
      <c r="AF104" s="20"/>
      <c r="AG104" s="18"/>
      <c r="AH104" s="18"/>
      <c r="AI104" s="18"/>
      <c r="AJ104" s="18"/>
      <c r="AK104" s="18"/>
      <c r="AL104" s="18"/>
      <c r="AM104" s="19"/>
      <c r="AW104" s="20" t="s">
        <v>716</v>
      </c>
      <c r="AX104" s="6" t="s">
        <v>717</v>
      </c>
      <c r="AY104" s="6" t="s">
        <v>165</v>
      </c>
      <c r="AZ104" s="10">
        <v>1</v>
      </c>
      <c r="BA104" s="6" t="s">
        <v>20</v>
      </c>
      <c r="BB104" s="10">
        <v>69500</v>
      </c>
      <c r="BC104" s="19">
        <v>69500</v>
      </c>
    </row>
    <row r="105" spans="1:55" x14ac:dyDescent="0.35">
      <c r="A105" s="38" t="str">
        <v>CETS0010</v>
      </c>
      <c r="B105" s="31" t="str">
        <f t="shared" si="9"/>
        <v>SAPU 8517KW</v>
      </c>
      <c r="C105" s="31" t="str">
        <f t="shared" si="10"/>
        <v>CLEANING TOOLS AND SUPPLIES</v>
      </c>
      <c r="D105" s="39" t="str">
        <f t="shared" si="11"/>
        <v>unit</v>
      </c>
      <c r="E105" s="47">
        <f t="shared" si="12"/>
        <v>35390.564100000003</v>
      </c>
      <c r="F105" s="48">
        <f t="shared" si="13"/>
        <v>3</v>
      </c>
      <c r="G105" s="48" t="str">
        <f t="shared" si="14"/>
        <v>0</v>
      </c>
      <c r="H105" s="48">
        <f t="shared" si="15"/>
        <v>-3</v>
      </c>
      <c r="I105" s="40">
        <f t="shared" si="16"/>
        <v>-106171.69230000001</v>
      </c>
      <c r="J105" s="39" t="str">
        <f t="shared" si="17"/>
        <v>Penurunan IU</v>
      </c>
      <c r="K105" s="4"/>
      <c r="O105" s="20">
        <v>1</v>
      </c>
      <c r="P105" t="s">
        <v>65</v>
      </c>
      <c r="Q105" t="s">
        <v>66</v>
      </c>
      <c r="R105" t="s">
        <v>67</v>
      </c>
      <c r="S105" s="10">
        <v>26</v>
      </c>
      <c r="T105" t="s">
        <v>20</v>
      </c>
      <c r="U105" s="10">
        <v>320</v>
      </c>
      <c r="V105" s="19">
        <v>8320</v>
      </c>
      <c r="AF105" s="20" t="s">
        <v>42</v>
      </c>
      <c r="AG105" s="18" t="s">
        <v>43</v>
      </c>
      <c r="AH105" s="18" t="s">
        <v>44</v>
      </c>
      <c r="AI105" s="18" t="s">
        <v>45</v>
      </c>
      <c r="AJ105" s="18" t="s">
        <v>46</v>
      </c>
      <c r="AK105" s="18" t="s">
        <v>47</v>
      </c>
      <c r="AL105" s="18" t="s">
        <v>48</v>
      </c>
      <c r="AM105" s="19" t="s">
        <v>49</v>
      </c>
      <c r="AW105" s="20" t="s">
        <v>296</v>
      </c>
      <c r="AX105" s="6" t="s">
        <v>297</v>
      </c>
      <c r="AY105" s="6" t="s">
        <v>165</v>
      </c>
      <c r="AZ105" s="10">
        <v>1</v>
      </c>
      <c r="BA105" s="6" t="s">
        <v>20</v>
      </c>
      <c r="BB105" s="10">
        <v>16246.5131</v>
      </c>
      <c r="BC105" s="19">
        <v>16246.5131</v>
      </c>
    </row>
    <row r="106" spans="1:55" x14ac:dyDescent="0.35">
      <c r="A106" s="38" t="str">
        <v>CETS0017</v>
      </c>
      <c r="B106" s="31" t="str">
        <f t="shared" si="9"/>
        <v>DEERMA WATER SPRAY MOP 360/PEL SEMPROT LANTAI</v>
      </c>
      <c r="C106" s="31" t="str">
        <f t="shared" si="10"/>
        <v>CLEANING TOOLS AND SUPPLIES</v>
      </c>
      <c r="D106" s="39" t="str">
        <f t="shared" si="11"/>
        <v>unit</v>
      </c>
      <c r="E106" s="47">
        <f t="shared" si="12"/>
        <v>149000</v>
      </c>
      <c r="F106" s="48">
        <f t="shared" si="13"/>
        <v>1</v>
      </c>
      <c r="G106" s="48" t="str">
        <f t="shared" si="14"/>
        <v>0</v>
      </c>
      <c r="H106" s="48">
        <f t="shared" si="15"/>
        <v>-1</v>
      </c>
      <c r="I106" s="40">
        <f t="shared" si="16"/>
        <v>-149000</v>
      </c>
      <c r="J106" s="39" t="str">
        <f t="shared" si="17"/>
        <v>Penurunan IU</v>
      </c>
      <c r="K106" s="4"/>
      <c r="O106" s="20">
        <v>2</v>
      </c>
      <c r="P106" t="s">
        <v>68</v>
      </c>
      <c r="Q106" t="s">
        <v>69</v>
      </c>
      <c r="R106" t="s">
        <v>67</v>
      </c>
      <c r="S106" s="10">
        <v>0.1</v>
      </c>
      <c r="T106" t="s">
        <v>5</v>
      </c>
      <c r="U106" s="10">
        <v>18750</v>
      </c>
      <c r="V106" s="19">
        <v>1875</v>
      </c>
      <c r="AF106" s="20">
        <v>1</v>
      </c>
      <c r="AG106" s="18" t="s">
        <v>268</v>
      </c>
      <c r="AH106" s="18" t="s">
        <v>269</v>
      </c>
      <c r="AI106" s="18" t="s">
        <v>151</v>
      </c>
      <c r="AJ106" s="21">
        <v>1</v>
      </c>
      <c r="AK106" s="18" t="s">
        <v>87</v>
      </c>
      <c r="AL106" s="21">
        <v>5100</v>
      </c>
      <c r="AM106" s="19">
        <v>5100</v>
      </c>
      <c r="AW106" s="20" t="s">
        <v>184</v>
      </c>
      <c r="AX106" s="6" t="s">
        <v>185</v>
      </c>
      <c r="AY106" s="6" t="s">
        <v>182</v>
      </c>
      <c r="AZ106" s="10">
        <v>15</v>
      </c>
      <c r="BA106" s="6" t="s">
        <v>20</v>
      </c>
      <c r="BB106" s="10">
        <v>1934.9772</v>
      </c>
      <c r="BC106" s="19">
        <v>29024.657999999999</v>
      </c>
    </row>
    <row r="107" spans="1:55" x14ac:dyDescent="0.35">
      <c r="A107" s="38" t="str">
        <v>CETS0019</v>
      </c>
      <c r="B107" s="31" t="str">
        <f t="shared" si="9"/>
        <v>LAP MICRO 40 X 40 320 GSM HIJAU</v>
      </c>
      <c r="C107" s="31" t="str">
        <f t="shared" si="10"/>
        <v>CLEANING TOOLS AND SUPPLIES</v>
      </c>
      <c r="D107" s="39" t="str">
        <f t="shared" si="11"/>
        <v>pcs</v>
      </c>
      <c r="E107" s="47">
        <f t="shared" si="12"/>
        <v>7610.1579000000002</v>
      </c>
      <c r="F107" s="48">
        <f t="shared" si="13"/>
        <v>6</v>
      </c>
      <c r="G107" s="48" t="str">
        <f t="shared" si="14"/>
        <v>0</v>
      </c>
      <c r="H107" s="48">
        <f t="shared" si="15"/>
        <v>-6</v>
      </c>
      <c r="I107" s="40">
        <f t="shared" si="16"/>
        <v>-45660.947400000005</v>
      </c>
      <c r="J107" s="39" t="str">
        <f t="shared" si="17"/>
        <v>Penurunan IU</v>
      </c>
      <c r="K107" s="4"/>
      <c r="O107" s="20">
        <v>3</v>
      </c>
      <c r="P107" t="s">
        <v>355</v>
      </c>
      <c r="Q107" t="s">
        <v>356</v>
      </c>
      <c r="R107" t="s">
        <v>67</v>
      </c>
      <c r="S107" s="10">
        <v>0.5</v>
      </c>
      <c r="T107" t="s">
        <v>160</v>
      </c>
      <c r="U107" s="10">
        <v>4428.5713999999998</v>
      </c>
      <c r="V107" s="19">
        <v>2214.2856999999999</v>
      </c>
      <c r="AF107" s="20">
        <v>2</v>
      </c>
      <c r="AG107" s="18" t="s">
        <v>154</v>
      </c>
      <c r="AH107" s="18" t="s">
        <v>155</v>
      </c>
      <c r="AI107" s="18" t="s">
        <v>151</v>
      </c>
      <c r="AJ107" s="21">
        <v>90</v>
      </c>
      <c r="AK107" s="18" t="s">
        <v>20</v>
      </c>
      <c r="AL107" s="21">
        <v>977.65549999999996</v>
      </c>
      <c r="AM107" s="19">
        <v>87988.994999999995</v>
      </c>
      <c r="AW107" s="20" t="s">
        <v>810</v>
      </c>
      <c r="AX107" s="6" t="s">
        <v>811</v>
      </c>
      <c r="AY107" s="6" t="s">
        <v>182</v>
      </c>
      <c r="AZ107" s="10">
        <v>450</v>
      </c>
      <c r="BA107" s="6" t="s">
        <v>20</v>
      </c>
      <c r="BB107" s="10">
        <v>29.531300000000002</v>
      </c>
      <c r="BC107" s="19">
        <v>13289.084999999999</v>
      </c>
    </row>
    <row r="108" spans="1:55" x14ac:dyDescent="0.35">
      <c r="A108" s="38" t="str">
        <v>CETS0037</v>
      </c>
      <c r="B108" s="31" t="str">
        <f t="shared" si="9"/>
        <v>PEL SUMBU NAG 702</v>
      </c>
      <c r="C108" s="31" t="str">
        <f t="shared" si="10"/>
        <v>CLEANING TOOLS AND SUPPLIES</v>
      </c>
      <c r="D108" s="39" t="str">
        <f t="shared" si="11"/>
        <v>pcs</v>
      </c>
      <c r="E108" s="47">
        <f t="shared" si="12"/>
        <v>29764.571399999997</v>
      </c>
      <c r="F108" s="48">
        <f t="shared" si="13"/>
        <v>3</v>
      </c>
      <c r="G108" s="48" t="str">
        <f t="shared" si="14"/>
        <v>0</v>
      </c>
      <c r="H108" s="48">
        <f t="shared" si="15"/>
        <v>-3</v>
      </c>
      <c r="I108" s="40">
        <f t="shared" si="16"/>
        <v>-89293.714199999988</v>
      </c>
      <c r="J108" s="39" t="str">
        <f t="shared" si="17"/>
        <v>Penurunan IU</v>
      </c>
      <c r="K108" s="4"/>
      <c r="O108" s="20">
        <v>4</v>
      </c>
      <c r="P108" t="s">
        <v>230</v>
      </c>
      <c r="Q108" t="s">
        <v>231</v>
      </c>
      <c r="R108" t="s">
        <v>67</v>
      </c>
      <c r="S108" s="10">
        <v>3</v>
      </c>
      <c r="T108" t="s">
        <v>5</v>
      </c>
      <c r="U108" s="10">
        <v>9333.3333000000002</v>
      </c>
      <c r="V108" s="19">
        <v>27999.999899999999</v>
      </c>
      <c r="AF108" s="20">
        <v>3</v>
      </c>
      <c r="AG108" s="18" t="s">
        <v>156</v>
      </c>
      <c r="AH108" s="18" t="s">
        <v>157</v>
      </c>
      <c r="AI108" s="18" t="s">
        <v>151</v>
      </c>
      <c r="AJ108" s="21">
        <v>13</v>
      </c>
      <c r="AK108" s="18" t="s">
        <v>20</v>
      </c>
      <c r="AL108" s="21">
        <v>2058.9</v>
      </c>
      <c r="AM108" s="19">
        <v>26765.7</v>
      </c>
      <c r="AW108" s="20" t="s">
        <v>187</v>
      </c>
      <c r="AX108" s="6" t="s">
        <v>188</v>
      </c>
      <c r="AY108" s="6" t="s">
        <v>182</v>
      </c>
      <c r="AZ108" s="10">
        <v>10</v>
      </c>
      <c r="BA108" s="6" t="s">
        <v>20</v>
      </c>
      <c r="BB108" s="10">
        <v>4650.9381999999996</v>
      </c>
      <c r="BC108" s="19">
        <v>46509.381999999998</v>
      </c>
    </row>
    <row r="109" spans="1:55" ht="15" thickBot="1" x14ac:dyDescent="0.4">
      <c r="A109" s="43" t="str">
        <v>CETS0058</v>
      </c>
      <c r="B109" s="32" t="str">
        <f t="shared" si="9"/>
        <v>TEMPAT SAMPAH  GREEN LEAF 35 L</v>
      </c>
      <c r="C109" s="32" t="str">
        <f t="shared" si="10"/>
        <v>CLEANING TOOLS AND SUPPLIES</v>
      </c>
      <c r="D109" s="49" t="str">
        <f t="shared" si="11"/>
        <v>pcs</v>
      </c>
      <c r="E109" s="50">
        <f t="shared" si="12"/>
        <v>155000</v>
      </c>
      <c r="F109" s="51">
        <f t="shared" si="13"/>
        <v>1</v>
      </c>
      <c r="G109" s="51" t="str">
        <f t="shared" si="14"/>
        <v>0</v>
      </c>
      <c r="H109" s="51">
        <f t="shared" si="15"/>
        <v>-1</v>
      </c>
      <c r="I109" s="52">
        <f t="shared" si="16"/>
        <v>-155000</v>
      </c>
      <c r="J109" s="39" t="str">
        <f t="shared" si="17"/>
        <v>Penurunan IU</v>
      </c>
      <c r="K109" s="13"/>
      <c r="O109" s="20">
        <v>5</v>
      </c>
      <c r="P109" t="s">
        <v>388</v>
      </c>
      <c r="Q109" t="s">
        <v>389</v>
      </c>
      <c r="R109" t="s">
        <v>67</v>
      </c>
      <c r="S109" s="10">
        <v>3</v>
      </c>
      <c r="T109" t="s">
        <v>20</v>
      </c>
      <c r="U109" s="10">
        <v>2639</v>
      </c>
      <c r="V109" s="19">
        <v>7917</v>
      </c>
      <c r="AF109" s="20">
        <v>4</v>
      </c>
      <c r="AG109" s="18" t="s">
        <v>272</v>
      </c>
      <c r="AH109" s="18" t="s">
        <v>273</v>
      </c>
      <c r="AI109" s="18" t="s">
        <v>151</v>
      </c>
      <c r="AJ109" s="21">
        <v>4</v>
      </c>
      <c r="AK109" s="18" t="s">
        <v>5</v>
      </c>
      <c r="AL109" s="21">
        <v>2598.2925</v>
      </c>
      <c r="AM109" s="19">
        <v>10393.17</v>
      </c>
      <c r="AW109" s="20" t="s">
        <v>474</v>
      </c>
      <c r="AX109" s="6" t="s">
        <v>475</v>
      </c>
      <c r="AY109" s="6" t="s">
        <v>192</v>
      </c>
      <c r="AZ109" s="6">
        <v>7</v>
      </c>
      <c r="BA109" s="6" t="s">
        <v>20</v>
      </c>
      <c r="BB109" s="6">
        <v>8750</v>
      </c>
      <c r="BC109" s="19">
        <v>61250</v>
      </c>
    </row>
    <row r="110" spans="1:55" ht="15" thickTop="1" x14ac:dyDescent="0.35">
      <c r="F110" s="72"/>
      <c r="O110" s="20">
        <v>6</v>
      </c>
      <c r="P110" t="s">
        <v>72</v>
      </c>
      <c r="Q110" t="s">
        <v>73</v>
      </c>
      <c r="R110" t="s">
        <v>67</v>
      </c>
      <c r="S110" s="10">
        <v>13</v>
      </c>
      <c r="T110" t="s">
        <v>74</v>
      </c>
      <c r="U110" s="10">
        <v>3000</v>
      </c>
      <c r="V110" s="19">
        <v>39000</v>
      </c>
      <c r="AF110" s="20">
        <v>5</v>
      </c>
      <c r="AG110" s="18" t="s">
        <v>720</v>
      </c>
      <c r="AH110" s="18" t="s">
        <v>721</v>
      </c>
      <c r="AI110" s="18" t="s">
        <v>151</v>
      </c>
      <c r="AJ110" s="21">
        <v>52</v>
      </c>
      <c r="AK110" s="18" t="s">
        <v>20</v>
      </c>
      <c r="AL110" s="21">
        <v>149832.58960000001</v>
      </c>
      <c r="AM110" s="19">
        <v>7791294.6591999996</v>
      </c>
      <c r="AW110" s="20" t="s">
        <v>115</v>
      </c>
      <c r="AX110" s="6" t="s">
        <v>116</v>
      </c>
      <c r="AY110" s="6" t="s">
        <v>117</v>
      </c>
      <c r="AZ110" s="10">
        <v>900</v>
      </c>
      <c r="BA110" s="6" t="s">
        <v>52</v>
      </c>
      <c r="BB110" s="10">
        <v>628.57100000000003</v>
      </c>
      <c r="BC110" s="19">
        <v>565713.9</v>
      </c>
    </row>
    <row r="111" spans="1:55" x14ac:dyDescent="0.35">
      <c r="O111" s="20">
        <v>7</v>
      </c>
      <c r="P111" t="s">
        <v>234</v>
      </c>
      <c r="Q111" t="s">
        <v>235</v>
      </c>
      <c r="R111" t="s">
        <v>67</v>
      </c>
      <c r="S111" s="10">
        <v>1</v>
      </c>
      <c r="T111" t="s">
        <v>20</v>
      </c>
      <c r="U111" s="10">
        <v>5000</v>
      </c>
      <c r="V111" s="19">
        <v>5000</v>
      </c>
      <c r="AF111" s="20">
        <v>6</v>
      </c>
      <c r="AG111" s="18" t="s">
        <v>276</v>
      </c>
      <c r="AH111" s="18" t="s">
        <v>277</v>
      </c>
      <c r="AI111" s="18" t="s">
        <v>151</v>
      </c>
      <c r="AJ111" s="18">
        <v>25</v>
      </c>
      <c r="AK111" s="18" t="s">
        <v>52</v>
      </c>
      <c r="AL111" s="18">
        <v>1833.53</v>
      </c>
      <c r="AM111" s="19">
        <v>45838.25</v>
      </c>
      <c r="AW111" s="20" t="s">
        <v>814</v>
      </c>
      <c r="AX111" s="6" t="s">
        <v>815</v>
      </c>
      <c r="AY111" s="6" t="s">
        <v>120</v>
      </c>
      <c r="AZ111" s="10">
        <v>1</v>
      </c>
      <c r="BA111" s="6" t="s">
        <v>20</v>
      </c>
      <c r="BB111" s="10">
        <v>10000</v>
      </c>
      <c r="BC111" s="19">
        <v>10000</v>
      </c>
    </row>
    <row r="112" spans="1:55" ht="15" thickBot="1" x14ac:dyDescent="0.4">
      <c r="O112" s="20">
        <v>8</v>
      </c>
      <c r="P112" t="s">
        <v>77</v>
      </c>
      <c r="Q112" t="s">
        <v>78</v>
      </c>
      <c r="R112" t="s">
        <v>67</v>
      </c>
      <c r="S112" s="10">
        <v>1</v>
      </c>
      <c r="T112" t="s">
        <v>20</v>
      </c>
      <c r="U112" s="10">
        <v>6500</v>
      </c>
      <c r="V112" s="19">
        <v>6500</v>
      </c>
      <c r="AF112" s="22" t="s">
        <v>223</v>
      </c>
      <c r="AG112" s="23" t="s">
        <v>223</v>
      </c>
      <c r="AH112" s="23" t="s">
        <v>223</v>
      </c>
      <c r="AI112" s="23" t="s">
        <v>223</v>
      </c>
      <c r="AJ112" s="23" t="s">
        <v>223</v>
      </c>
      <c r="AK112" s="23" t="s">
        <v>223</v>
      </c>
      <c r="AL112" s="23" t="s">
        <v>224</v>
      </c>
      <c r="AM112" s="24">
        <v>7967380.7741999999</v>
      </c>
      <c r="AW112" s="20" t="s">
        <v>121</v>
      </c>
      <c r="AX112" s="6" t="s">
        <v>122</v>
      </c>
      <c r="AY112" s="6" t="s">
        <v>123</v>
      </c>
      <c r="AZ112" s="10">
        <v>5</v>
      </c>
      <c r="BA112" s="6" t="s">
        <v>5</v>
      </c>
      <c r="BB112" s="10">
        <v>5000</v>
      </c>
      <c r="BC112" s="19">
        <v>25000</v>
      </c>
    </row>
    <row r="113" spans="15:55" x14ac:dyDescent="0.35">
      <c r="O113" s="20">
        <v>9</v>
      </c>
      <c r="P113" t="s">
        <v>393</v>
      </c>
      <c r="Q113" t="s">
        <v>394</v>
      </c>
      <c r="R113" t="s">
        <v>67</v>
      </c>
      <c r="S113" s="10">
        <v>1</v>
      </c>
      <c r="T113" t="s">
        <v>20</v>
      </c>
      <c r="U113" s="10">
        <v>12500</v>
      </c>
      <c r="V113" s="19">
        <v>12500</v>
      </c>
      <c r="AW113" s="20" t="s">
        <v>124</v>
      </c>
      <c r="AX113" s="6" t="s">
        <v>125</v>
      </c>
      <c r="AY113" s="6" t="s">
        <v>123</v>
      </c>
      <c r="AZ113" s="10">
        <v>20</v>
      </c>
      <c r="BA113" s="6" t="s">
        <v>5</v>
      </c>
      <c r="BB113" s="10">
        <v>5487.3687</v>
      </c>
      <c r="BC113" s="19">
        <v>109747.374</v>
      </c>
    </row>
    <row r="114" spans="15:55" ht="15" thickBot="1" x14ac:dyDescent="0.4">
      <c r="O114" s="20">
        <v>10</v>
      </c>
      <c r="P114" t="s">
        <v>512</v>
      </c>
      <c r="Q114" t="s">
        <v>513</v>
      </c>
      <c r="R114" t="s">
        <v>67</v>
      </c>
      <c r="S114" s="10">
        <v>1</v>
      </c>
      <c r="T114" t="s">
        <v>486</v>
      </c>
      <c r="U114" s="10">
        <v>29000</v>
      </c>
      <c r="V114" s="19">
        <v>29000</v>
      </c>
      <c r="AW114" s="20" t="s">
        <v>126</v>
      </c>
      <c r="AX114" s="6" t="s">
        <v>127</v>
      </c>
      <c r="AY114" s="6" t="s">
        <v>123</v>
      </c>
      <c r="AZ114" s="10">
        <v>8</v>
      </c>
      <c r="BA114" s="6" t="s">
        <v>5</v>
      </c>
      <c r="BB114" s="10">
        <v>6763.7295999999997</v>
      </c>
      <c r="BC114" s="19">
        <v>54109.836799999997</v>
      </c>
    </row>
    <row r="115" spans="15:55" x14ac:dyDescent="0.35">
      <c r="O115" s="20">
        <v>11</v>
      </c>
      <c r="P115" t="s">
        <v>357</v>
      </c>
      <c r="Q115" t="s">
        <v>358</v>
      </c>
      <c r="R115" t="s">
        <v>67</v>
      </c>
      <c r="S115" s="10">
        <v>0.1</v>
      </c>
      <c r="T115" t="s">
        <v>5</v>
      </c>
      <c r="U115" s="10">
        <v>31100</v>
      </c>
      <c r="V115" s="19">
        <v>3110</v>
      </c>
      <c r="AF115" s="84" t="s">
        <v>0</v>
      </c>
      <c r="AG115" s="85"/>
      <c r="AH115" s="85"/>
      <c r="AI115" s="85"/>
      <c r="AJ115" s="85"/>
      <c r="AK115" s="16"/>
      <c r="AL115" s="16"/>
      <c r="AM115" s="17"/>
      <c r="AW115" s="20" t="s">
        <v>128</v>
      </c>
      <c r="AX115" s="6" t="s">
        <v>129</v>
      </c>
      <c r="AY115" s="6" t="s">
        <v>123</v>
      </c>
      <c r="AZ115" s="10">
        <v>6</v>
      </c>
      <c r="BA115" s="6" t="s">
        <v>74</v>
      </c>
      <c r="BB115" s="10">
        <v>142062.4143</v>
      </c>
      <c r="BC115" s="19">
        <v>852374.48580000002</v>
      </c>
    </row>
    <row r="116" spans="15:55" x14ac:dyDescent="0.35">
      <c r="O116" s="20">
        <v>12</v>
      </c>
      <c r="P116" t="s">
        <v>624</v>
      </c>
      <c r="Q116" t="s">
        <v>625</v>
      </c>
      <c r="R116" t="s">
        <v>67</v>
      </c>
      <c r="S116" s="10">
        <v>0.5</v>
      </c>
      <c r="T116" t="s">
        <v>5</v>
      </c>
      <c r="U116" s="10">
        <v>13000</v>
      </c>
      <c r="V116" s="19">
        <v>6500</v>
      </c>
      <c r="AF116" s="82" t="s">
        <v>1</v>
      </c>
      <c r="AG116" s="83"/>
      <c r="AH116" s="83"/>
      <c r="AI116" s="83"/>
      <c r="AJ116" s="83"/>
      <c r="AK116" s="18"/>
      <c r="AL116" s="18"/>
      <c r="AM116" s="19"/>
      <c r="AW116" s="20" t="s">
        <v>130</v>
      </c>
      <c r="AX116" s="6" t="s">
        <v>131</v>
      </c>
      <c r="AY116" s="6" t="s">
        <v>123</v>
      </c>
      <c r="AZ116" s="10">
        <v>72</v>
      </c>
      <c r="BA116" s="6" t="s">
        <v>5</v>
      </c>
      <c r="BB116" s="10">
        <v>6353.6854000000012</v>
      </c>
      <c r="BC116" s="19">
        <v>457465.34879999998</v>
      </c>
    </row>
    <row r="117" spans="15:55" x14ac:dyDescent="0.35">
      <c r="O117" s="20">
        <v>13</v>
      </c>
      <c r="P117" t="s">
        <v>238</v>
      </c>
      <c r="Q117" t="s">
        <v>239</v>
      </c>
      <c r="R117" t="s">
        <v>67</v>
      </c>
      <c r="S117" s="10">
        <v>1</v>
      </c>
      <c r="T117" t="s">
        <v>74</v>
      </c>
      <c r="U117" s="10">
        <v>13500</v>
      </c>
      <c r="V117" s="19">
        <v>13500</v>
      </c>
      <c r="AF117" s="20"/>
      <c r="AG117" s="18"/>
      <c r="AH117" s="18"/>
      <c r="AI117" s="18"/>
      <c r="AJ117" s="18"/>
      <c r="AK117" s="18"/>
      <c r="AL117" s="18"/>
      <c r="AM117" s="19"/>
      <c r="AW117" s="20" t="s">
        <v>132</v>
      </c>
      <c r="AX117" s="6" t="s">
        <v>133</v>
      </c>
      <c r="AY117" s="6" t="s">
        <v>123</v>
      </c>
      <c r="AZ117" s="10">
        <v>16</v>
      </c>
      <c r="BA117" s="6" t="s">
        <v>134</v>
      </c>
      <c r="BB117" s="10">
        <v>12999.9908</v>
      </c>
      <c r="BC117" s="19">
        <v>207999.85279999999</v>
      </c>
    </row>
    <row r="118" spans="15:55" x14ac:dyDescent="0.35">
      <c r="O118" s="20">
        <v>14</v>
      </c>
      <c r="P118" t="s">
        <v>83</v>
      </c>
      <c r="Q118" t="s">
        <v>84</v>
      </c>
      <c r="R118" t="s">
        <v>67</v>
      </c>
      <c r="S118" s="10">
        <v>0.5</v>
      </c>
      <c r="T118" t="s">
        <v>20</v>
      </c>
      <c r="U118" s="10">
        <v>7250</v>
      </c>
      <c r="V118" s="19">
        <v>3625</v>
      </c>
      <c r="AF118" s="82" t="s">
        <v>10</v>
      </c>
      <c r="AG118" s="83" t="s">
        <v>11</v>
      </c>
      <c r="AH118" s="18" t="s">
        <v>924</v>
      </c>
      <c r="AI118" s="18"/>
      <c r="AJ118" s="18"/>
      <c r="AK118" s="18"/>
      <c r="AL118" s="18"/>
      <c r="AM118" s="19"/>
      <c r="AW118" s="20" t="s">
        <v>135</v>
      </c>
      <c r="AX118" s="6" t="s">
        <v>136</v>
      </c>
      <c r="AY118" s="6" t="s">
        <v>123</v>
      </c>
      <c r="AZ118" s="10">
        <v>22</v>
      </c>
      <c r="BA118" s="6" t="s">
        <v>5</v>
      </c>
      <c r="BB118" s="10">
        <v>5637.398714285715</v>
      </c>
      <c r="BC118" s="19">
        <v>124022.771714</v>
      </c>
    </row>
    <row r="119" spans="15:55" x14ac:dyDescent="0.35">
      <c r="O119" s="20">
        <v>15</v>
      </c>
      <c r="P119" t="s">
        <v>85</v>
      </c>
      <c r="Q119" t="s">
        <v>86</v>
      </c>
      <c r="R119" t="s">
        <v>67</v>
      </c>
      <c r="S119" s="10">
        <v>1.5</v>
      </c>
      <c r="T119" t="s">
        <v>87</v>
      </c>
      <c r="U119" s="10">
        <v>18500</v>
      </c>
      <c r="V119" s="19">
        <v>27750</v>
      </c>
      <c r="AF119" s="82" t="s">
        <v>16</v>
      </c>
      <c r="AG119" s="83" t="s">
        <v>11</v>
      </c>
      <c r="AH119" s="18" t="s">
        <v>211</v>
      </c>
      <c r="AI119" s="18"/>
      <c r="AJ119" s="18"/>
      <c r="AK119" s="18"/>
      <c r="AL119" s="18"/>
      <c r="AM119" s="19"/>
      <c r="AW119" s="20" t="s">
        <v>137</v>
      </c>
      <c r="AX119" s="6" t="s">
        <v>138</v>
      </c>
      <c r="AY119" s="6" t="s">
        <v>123</v>
      </c>
      <c r="AZ119" s="10">
        <v>33</v>
      </c>
      <c r="BA119" s="6" t="s">
        <v>5</v>
      </c>
      <c r="BB119" s="10">
        <v>16030.587299999999</v>
      </c>
      <c r="BC119" s="19">
        <v>529009.38089999999</v>
      </c>
    </row>
    <row r="120" spans="15:55" x14ac:dyDescent="0.35">
      <c r="O120" s="20">
        <v>16</v>
      </c>
      <c r="P120" t="s">
        <v>242</v>
      </c>
      <c r="Q120" t="s">
        <v>243</v>
      </c>
      <c r="R120" t="s">
        <v>67</v>
      </c>
      <c r="S120" s="10">
        <v>2.9</v>
      </c>
      <c r="T120" t="s">
        <v>87</v>
      </c>
      <c r="U120" s="10">
        <v>14500</v>
      </c>
      <c r="V120" s="19">
        <v>42050</v>
      </c>
      <c r="AF120" s="82" t="s">
        <v>21</v>
      </c>
      <c r="AG120" s="83" t="s">
        <v>11</v>
      </c>
      <c r="AH120" s="18" t="s">
        <v>798</v>
      </c>
      <c r="AI120" s="18"/>
      <c r="AJ120" s="18"/>
      <c r="AK120" s="18"/>
      <c r="AL120" s="18"/>
      <c r="AM120" s="19"/>
      <c r="AW120" s="20" t="s">
        <v>139</v>
      </c>
      <c r="AX120" s="6" t="s">
        <v>140</v>
      </c>
      <c r="AY120" s="6" t="s">
        <v>123</v>
      </c>
      <c r="AZ120" s="10">
        <v>16</v>
      </c>
      <c r="BA120" s="6" t="s">
        <v>5</v>
      </c>
      <c r="BB120" s="10">
        <v>42481.927754999997</v>
      </c>
      <c r="BC120" s="19">
        <v>679710.84407999995</v>
      </c>
    </row>
    <row r="121" spans="15:55" x14ac:dyDescent="0.35">
      <c r="O121" s="20">
        <v>17</v>
      </c>
      <c r="P121" t="s">
        <v>244</v>
      </c>
      <c r="Q121" t="s">
        <v>245</v>
      </c>
      <c r="R121" t="s">
        <v>67</v>
      </c>
      <c r="S121" s="10">
        <v>3</v>
      </c>
      <c r="T121" t="s">
        <v>20</v>
      </c>
      <c r="U121" s="10">
        <v>6000</v>
      </c>
      <c r="V121" s="19">
        <v>18000</v>
      </c>
      <c r="AF121" s="82" t="s">
        <v>26</v>
      </c>
      <c r="AG121" s="83" t="s">
        <v>11</v>
      </c>
      <c r="AH121" s="18" t="s">
        <v>925</v>
      </c>
      <c r="AI121" s="18"/>
      <c r="AJ121" s="18"/>
      <c r="AK121" s="18"/>
      <c r="AL121" s="18"/>
      <c r="AM121" s="19"/>
      <c r="AW121" s="20" t="s">
        <v>141</v>
      </c>
      <c r="AX121" s="6" t="s">
        <v>142</v>
      </c>
      <c r="AY121" s="6" t="s">
        <v>123</v>
      </c>
      <c r="AZ121" s="10">
        <v>13</v>
      </c>
      <c r="BA121" s="6" t="s">
        <v>5</v>
      </c>
      <c r="BB121" s="10">
        <v>41829.414299999997</v>
      </c>
      <c r="BC121" s="19">
        <v>543782.38589999999</v>
      </c>
    </row>
    <row r="122" spans="15:55" x14ac:dyDescent="0.35">
      <c r="O122" s="20">
        <v>18</v>
      </c>
      <c r="P122" t="s">
        <v>246</v>
      </c>
      <c r="Q122" t="s">
        <v>247</v>
      </c>
      <c r="R122" t="s">
        <v>67</v>
      </c>
      <c r="S122" s="10">
        <v>1</v>
      </c>
      <c r="T122" t="s">
        <v>5</v>
      </c>
      <c r="U122" s="10">
        <v>1400</v>
      </c>
      <c r="V122" s="19">
        <v>1400</v>
      </c>
      <c r="AF122" s="82" t="s">
        <v>31</v>
      </c>
      <c r="AG122" s="83" t="s">
        <v>11</v>
      </c>
      <c r="AH122" s="18" t="s">
        <v>32</v>
      </c>
      <c r="AI122" s="18"/>
      <c r="AJ122" s="18"/>
      <c r="AK122" s="18"/>
      <c r="AL122" s="18"/>
      <c r="AM122" s="19"/>
      <c r="AW122" s="20" t="s">
        <v>143</v>
      </c>
      <c r="AX122" s="6" t="s">
        <v>144</v>
      </c>
      <c r="AY122" s="6" t="s">
        <v>123</v>
      </c>
      <c r="AZ122" s="10">
        <v>0.2</v>
      </c>
      <c r="BA122" s="6" t="s">
        <v>5</v>
      </c>
      <c r="BB122" s="10">
        <v>48800</v>
      </c>
      <c r="BC122" s="19">
        <v>9760</v>
      </c>
    </row>
    <row r="123" spans="15:55" x14ac:dyDescent="0.35">
      <c r="O123" s="20">
        <v>19</v>
      </c>
      <c r="P123" t="s">
        <v>327</v>
      </c>
      <c r="Q123" t="s">
        <v>328</v>
      </c>
      <c r="R123" t="s">
        <v>67</v>
      </c>
      <c r="S123" s="10">
        <v>7</v>
      </c>
      <c r="T123" t="s">
        <v>5</v>
      </c>
      <c r="U123" s="10">
        <v>6250</v>
      </c>
      <c r="V123" s="19">
        <v>43750</v>
      </c>
      <c r="AF123" s="82" t="s">
        <v>35</v>
      </c>
      <c r="AG123" s="83" t="s">
        <v>11</v>
      </c>
      <c r="AH123" s="18" t="s">
        <v>926</v>
      </c>
      <c r="AI123" s="18"/>
      <c r="AJ123" s="18"/>
      <c r="AK123" s="18"/>
      <c r="AL123" s="18"/>
      <c r="AM123" s="19"/>
      <c r="AW123" s="20" t="s">
        <v>145</v>
      </c>
      <c r="AX123" s="6" t="s">
        <v>146</v>
      </c>
      <c r="AY123" s="6" t="s">
        <v>123</v>
      </c>
      <c r="AZ123" s="10">
        <v>117</v>
      </c>
      <c r="BA123" s="6" t="s">
        <v>5</v>
      </c>
      <c r="BB123" s="10">
        <v>4604.1441000000004</v>
      </c>
      <c r="BC123" s="19">
        <v>538684.85970000003</v>
      </c>
    </row>
    <row r="124" spans="15:55" x14ac:dyDescent="0.35">
      <c r="O124" s="20">
        <v>20</v>
      </c>
      <c r="P124" t="s">
        <v>90</v>
      </c>
      <c r="Q124" t="s">
        <v>91</v>
      </c>
      <c r="R124" t="s">
        <v>67</v>
      </c>
      <c r="S124" s="10">
        <v>2</v>
      </c>
      <c r="T124" t="s">
        <v>5</v>
      </c>
      <c r="U124" s="10">
        <v>6250</v>
      </c>
      <c r="V124" s="19">
        <v>12500</v>
      </c>
      <c r="AF124" s="20"/>
      <c r="AG124" s="18"/>
      <c r="AH124" s="18"/>
      <c r="AI124" s="18"/>
      <c r="AJ124" s="18"/>
      <c r="AK124" s="18"/>
      <c r="AL124" s="18"/>
      <c r="AM124" s="19"/>
      <c r="AW124" s="20" t="s">
        <v>147</v>
      </c>
      <c r="AX124" s="6" t="s">
        <v>148</v>
      </c>
      <c r="AY124" s="6" t="s">
        <v>123</v>
      </c>
      <c r="AZ124" s="10">
        <v>1.6</v>
      </c>
      <c r="BA124" s="6" t="s">
        <v>5</v>
      </c>
      <c r="BB124" s="10">
        <v>15000</v>
      </c>
      <c r="BC124" s="19">
        <v>24000</v>
      </c>
    </row>
    <row r="125" spans="15:55" x14ac:dyDescent="0.35">
      <c r="O125" s="20">
        <v>21</v>
      </c>
      <c r="P125" t="s">
        <v>516</v>
      </c>
      <c r="Q125" t="s">
        <v>517</v>
      </c>
      <c r="R125" t="s">
        <v>67</v>
      </c>
      <c r="S125" s="10">
        <v>1</v>
      </c>
      <c r="T125" t="s">
        <v>5</v>
      </c>
      <c r="U125" s="10">
        <v>10000</v>
      </c>
      <c r="V125" s="19">
        <v>10000</v>
      </c>
      <c r="AF125" s="20" t="s">
        <v>42</v>
      </c>
      <c r="AG125" s="18" t="s">
        <v>43</v>
      </c>
      <c r="AH125" s="18" t="s">
        <v>44</v>
      </c>
      <c r="AI125" s="18" t="s">
        <v>45</v>
      </c>
      <c r="AJ125" s="18" t="s">
        <v>46</v>
      </c>
      <c r="AK125" s="18" t="s">
        <v>47</v>
      </c>
      <c r="AL125" s="18" t="s">
        <v>48</v>
      </c>
      <c r="AM125" s="19" t="s">
        <v>49</v>
      </c>
      <c r="AW125" s="20" t="s">
        <v>421</v>
      </c>
      <c r="AX125" s="6" t="s">
        <v>422</v>
      </c>
      <c r="AY125" s="6" t="s">
        <v>151</v>
      </c>
      <c r="AZ125" s="10">
        <v>10</v>
      </c>
      <c r="BA125" s="6" t="s">
        <v>20</v>
      </c>
      <c r="BB125" s="10">
        <v>33574.074099999998</v>
      </c>
      <c r="BC125" s="19">
        <v>335740.74099999998</v>
      </c>
    </row>
    <row r="126" spans="15:55" x14ac:dyDescent="0.35">
      <c r="O126" s="20">
        <v>22</v>
      </c>
      <c r="P126" t="s">
        <v>92</v>
      </c>
      <c r="Q126" t="s">
        <v>93</v>
      </c>
      <c r="R126" t="s">
        <v>67</v>
      </c>
      <c r="S126" s="10">
        <v>66</v>
      </c>
      <c r="T126" t="s">
        <v>94</v>
      </c>
      <c r="U126" s="10">
        <v>11800</v>
      </c>
      <c r="V126" s="19">
        <v>778800</v>
      </c>
      <c r="AF126" s="20">
        <v>1</v>
      </c>
      <c r="AG126" s="18" t="s">
        <v>214</v>
      </c>
      <c r="AH126" s="18" t="s">
        <v>215</v>
      </c>
      <c r="AI126" s="18" t="s">
        <v>4</v>
      </c>
      <c r="AJ126" s="21">
        <v>3</v>
      </c>
      <c r="AK126" s="18" t="s">
        <v>216</v>
      </c>
      <c r="AL126" s="21">
        <v>55300</v>
      </c>
      <c r="AM126" s="19">
        <v>165900</v>
      </c>
      <c r="AW126" s="20" t="s">
        <v>268</v>
      </c>
      <c r="AX126" s="6" t="s">
        <v>269</v>
      </c>
      <c r="AY126" s="6" t="s">
        <v>151</v>
      </c>
      <c r="AZ126" s="10">
        <v>5</v>
      </c>
      <c r="BA126" s="6" t="s">
        <v>87</v>
      </c>
      <c r="BB126" s="10">
        <v>5500</v>
      </c>
      <c r="BC126" s="19">
        <v>27500</v>
      </c>
    </row>
    <row r="127" spans="15:55" x14ac:dyDescent="0.35">
      <c r="O127" s="20">
        <v>23</v>
      </c>
      <c r="P127" t="s">
        <v>518</v>
      </c>
      <c r="Q127" t="s">
        <v>519</v>
      </c>
      <c r="R127" t="s">
        <v>67</v>
      </c>
      <c r="S127" s="10">
        <v>1</v>
      </c>
      <c r="T127" t="s">
        <v>98</v>
      </c>
      <c r="U127" s="10">
        <v>18000</v>
      </c>
      <c r="V127" s="19">
        <v>18000</v>
      </c>
      <c r="AF127" s="20">
        <v>2</v>
      </c>
      <c r="AG127" s="18" t="s">
        <v>2</v>
      </c>
      <c r="AH127" s="18" t="s">
        <v>3</v>
      </c>
      <c r="AI127" s="18" t="s">
        <v>4</v>
      </c>
      <c r="AJ127" s="21">
        <v>1</v>
      </c>
      <c r="AK127" s="18" t="s">
        <v>5</v>
      </c>
      <c r="AL127" s="21">
        <v>24003.8557</v>
      </c>
      <c r="AM127" s="19">
        <v>24003.8557</v>
      </c>
      <c r="AW127" s="20" t="s">
        <v>154</v>
      </c>
      <c r="AX127" s="6" t="s">
        <v>155</v>
      </c>
      <c r="AY127" s="6" t="s">
        <v>151</v>
      </c>
      <c r="AZ127" s="10">
        <v>100</v>
      </c>
      <c r="BA127" s="6" t="s">
        <v>20</v>
      </c>
      <c r="BB127" s="10">
        <v>977.65549999999996</v>
      </c>
      <c r="BC127" s="19">
        <v>97765.55</v>
      </c>
    </row>
    <row r="128" spans="15:55" x14ac:dyDescent="0.35">
      <c r="O128" s="20">
        <v>24</v>
      </c>
      <c r="P128" t="s">
        <v>520</v>
      </c>
      <c r="Q128" t="s">
        <v>521</v>
      </c>
      <c r="R128" t="s">
        <v>67</v>
      </c>
      <c r="S128" s="10">
        <v>1</v>
      </c>
      <c r="T128" t="s">
        <v>5</v>
      </c>
      <c r="U128" s="10">
        <v>10000</v>
      </c>
      <c r="V128" s="19">
        <v>10000</v>
      </c>
      <c r="AF128" s="20">
        <v>3</v>
      </c>
      <c r="AG128" s="18" t="s">
        <v>217</v>
      </c>
      <c r="AH128" s="18" t="s">
        <v>218</v>
      </c>
      <c r="AI128" s="18" t="s">
        <v>4</v>
      </c>
      <c r="AJ128" s="21">
        <v>0.5</v>
      </c>
      <c r="AK128" s="18" t="s">
        <v>9</v>
      </c>
      <c r="AL128" s="21">
        <v>55295.432000000001</v>
      </c>
      <c r="AM128" s="19">
        <v>27647.716</v>
      </c>
      <c r="AW128" s="20" t="s">
        <v>156</v>
      </c>
      <c r="AX128" s="6" t="s">
        <v>157</v>
      </c>
      <c r="AY128" s="6" t="s">
        <v>151</v>
      </c>
      <c r="AZ128" s="10">
        <v>41</v>
      </c>
      <c r="BA128" s="6" t="s">
        <v>20</v>
      </c>
      <c r="BB128" s="10">
        <v>2058.9</v>
      </c>
      <c r="BC128" s="19">
        <v>84414.9</v>
      </c>
    </row>
    <row r="129" spans="15:55" x14ac:dyDescent="0.35">
      <c r="O129" s="20">
        <v>25</v>
      </c>
      <c r="P129" t="s">
        <v>102</v>
      </c>
      <c r="Q129" t="s">
        <v>103</v>
      </c>
      <c r="R129" t="s">
        <v>67</v>
      </c>
      <c r="S129" s="10">
        <v>1</v>
      </c>
      <c r="T129" t="s">
        <v>87</v>
      </c>
      <c r="U129" s="10">
        <v>8000</v>
      </c>
      <c r="V129" s="19">
        <v>8000</v>
      </c>
      <c r="AF129" s="20">
        <v>4</v>
      </c>
      <c r="AG129" s="18" t="s">
        <v>7</v>
      </c>
      <c r="AH129" s="18" t="s">
        <v>8</v>
      </c>
      <c r="AI129" s="18" t="s">
        <v>4</v>
      </c>
      <c r="AJ129" s="21">
        <v>1</v>
      </c>
      <c r="AK129" s="18" t="s">
        <v>9</v>
      </c>
      <c r="AL129" s="21">
        <v>133200</v>
      </c>
      <c r="AM129" s="19">
        <v>133200</v>
      </c>
      <c r="AW129" s="20" t="s">
        <v>272</v>
      </c>
      <c r="AX129" s="6" t="s">
        <v>273</v>
      </c>
      <c r="AY129" s="6" t="s">
        <v>151</v>
      </c>
      <c r="AZ129" s="10">
        <v>4.8</v>
      </c>
      <c r="BA129" s="6" t="s">
        <v>5</v>
      </c>
      <c r="BB129" s="10">
        <v>2687.9184</v>
      </c>
      <c r="BC129" s="19">
        <v>12902.008320000001</v>
      </c>
    </row>
    <row r="130" spans="15:55" x14ac:dyDescent="0.35">
      <c r="O130" s="20">
        <v>26</v>
      </c>
      <c r="P130" t="s">
        <v>628</v>
      </c>
      <c r="Q130" t="s">
        <v>629</v>
      </c>
      <c r="R130" t="s">
        <v>67</v>
      </c>
      <c r="S130" s="10">
        <v>1</v>
      </c>
      <c r="T130" t="s">
        <v>20</v>
      </c>
      <c r="U130" s="10">
        <v>28500</v>
      </c>
      <c r="V130" s="19">
        <v>28500</v>
      </c>
      <c r="AF130" s="20">
        <v>5</v>
      </c>
      <c r="AG130" s="18" t="s">
        <v>403</v>
      </c>
      <c r="AH130" s="18" t="s">
        <v>404</v>
      </c>
      <c r="AI130" s="18" t="s">
        <v>4</v>
      </c>
      <c r="AJ130" s="21">
        <v>0.2</v>
      </c>
      <c r="AK130" s="18" t="s">
        <v>9</v>
      </c>
      <c r="AL130" s="21">
        <v>70700</v>
      </c>
      <c r="AM130" s="19">
        <v>14140</v>
      </c>
      <c r="AW130" s="20" t="s">
        <v>657</v>
      </c>
      <c r="AX130" s="6" t="s">
        <v>658</v>
      </c>
      <c r="AY130" s="6" t="s">
        <v>151</v>
      </c>
      <c r="AZ130" s="6">
        <v>1</v>
      </c>
      <c r="BA130" s="6" t="s">
        <v>20</v>
      </c>
      <c r="BB130" s="6">
        <v>35000</v>
      </c>
      <c r="BC130" s="19">
        <v>35000</v>
      </c>
    </row>
    <row r="131" spans="15:55" x14ac:dyDescent="0.35">
      <c r="O131" s="20">
        <v>27</v>
      </c>
      <c r="P131" t="s">
        <v>256</v>
      </c>
      <c r="Q131" t="s">
        <v>257</v>
      </c>
      <c r="R131" t="s">
        <v>67</v>
      </c>
      <c r="S131" s="10">
        <v>3</v>
      </c>
      <c r="T131" t="s">
        <v>20</v>
      </c>
      <c r="U131" s="10">
        <v>4043.4778000000001</v>
      </c>
      <c r="V131" s="19">
        <v>12130.4334</v>
      </c>
      <c r="AF131" s="20">
        <v>6</v>
      </c>
      <c r="AG131" s="18" t="s">
        <v>13</v>
      </c>
      <c r="AH131" s="18" t="s">
        <v>14</v>
      </c>
      <c r="AI131" s="18" t="s">
        <v>4</v>
      </c>
      <c r="AJ131" s="21">
        <v>0.7</v>
      </c>
      <c r="AK131" s="18" t="s">
        <v>15</v>
      </c>
      <c r="AL131" s="21">
        <v>77700</v>
      </c>
      <c r="AM131" s="19">
        <v>54390</v>
      </c>
      <c r="AW131" s="20" t="s">
        <v>214</v>
      </c>
      <c r="AX131" s="6" t="s">
        <v>215</v>
      </c>
      <c r="AY131" s="6" t="s">
        <v>4</v>
      </c>
      <c r="AZ131" s="10">
        <v>8</v>
      </c>
      <c r="BA131" s="6" t="s">
        <v>216</v>
      </c>
      <c r="BB131" s="10">
        <v>55300</v>
      </c>
      <c r="BC131" s="19">
        <v>442400</v>
      </c>
    </row>
    <row r="132" spans="15:55" x14ac:dyDescent="0.35">
      <c r="O132" s="20">
        <v>28</v>
      </c>
      <c r="P132" t="s">
        <v>522</v>
      </c>
      <c r="Q132" t="s">
        <v>523</v>
      </c>
      <c r="R132" t="s">
        <v>67</v>
      </c>
      <c r="S132" s="10">
        <v>1.4</v>
      </c>
      <c r="T132" t="s">
        <v>160</v>
      </c>
      <c r="U132" s="10">
        <v>10500</v>
      </c>
      <c r="V132" s="19">
        <v>14700</v>
      </c>
      <c r="AF132" s="20">
        <v>7</v>
      </c>
      <c r="AG132" s="18" t="s">
        <v>219</v>
      </c>
      <c r="AH132" s="18" t="s">
        <v>220</v>
      </c>
      <c r="AI132" s="18" t="s">
        <v>4</v>
      </c>
      <c r="AJ132" s="21">
        <v>4.5</v>
      </c>
      <c r="AK132" s="18" t="s">
        <v>25</v>
      </c>
      <c r="AL132" s="21">
        <v>57626.909099999997</v>
      </c>
      <c r="AM132" s="19">
        <v>259321.09095000001</v>
      </c>
      <c r="AW132" s="20" t="s">
        <v>2</v>
      </c>
      <c r="AX132" s="6" t="s">
        <v>3</v>
      </c>
      <c r="AY132" s="6" t="s">
        <v>4</v>
      </c>
      <c r="AZ132" s="10">
        <v>7.5</v>
      </c>
      <c r="BA132" s="6" t="s">
        <v>5</v>
      </c>
      <c r="BB132" s="10">
        <v>24011.567011764706</v>
      </c>
      <c r="BC132" s="19">
        <v>180086.752588</v>
      </c>
    </row>
    <row r="133" spans="15:55" x14ac:dyDescent="0.35">
      <c r="O133" s="20">
        <v>29</v>
      </c>
      <c r="P133" t="s">
        <v>107</v>
      </c>
      <c r="Q133" t="s">
        <v>108</v>
      </c>
      <c r="R133" t="s">
        <v>67</v>
      </c>
      <c r="S133" s="10">
        <v>1.5</v>
      </c>
      <c r="T133" t="s">
        <v>5</v>
      </c>
      <c r="U133" s="10">
        <v>16250</v>
      </c>
      <c r="V133" s="19">
        <v>24375</v>
      </c>
      <c r="AF133" s="20">
        <v>8</v>
      </c>
      <c r="AG133" s="18" t="s">
        <v>221</v>
      </c>
      <c r="AH133" s="18" t="s">
        <v>222</v>
      </c>
      <c r="AI133" s="18" t="s">
        <v>4</v>
      </c>
      <c r="AJ133" s="21">
        <v>4</v>
      </c>
      <c r="AK133" s="18" t="s">
        <v>25</v>
      </c>
      <c r="AL133" s="21">
        <v>87760.833299999998</v>
      </c>
      <c r="AM133" s="19">
        <v>351043.33319999999</v>
      </c>
      <c r="AW133" s="20" t="s">
        <v>217</v>
      </c>
      <c r="AX133" s="6" t="s">
        <v>218</v>
      </c>
      <c r="AY133" s="6" t="s">
        <v>4</v>
      </c>
      <c r="AZ133" s="10">
        <v>3</v>
      </c>
      <c r="BA133" s="6" t="s">
        <v>9</v>
      </c>
      <c r="BB133" s="10">
        <v>55293.148000000001</v>
      </c>
      <c r="BC133" s="19">
        <v>165879.44399999999</v>
      </c>
    </row>
    <row r="134" spans="15:55" x14ac:dyDescent="0.35">
      <c r="O134" s="20">
        <v>30</v>
      </c>
      <c r="P134" t="s">
        <v>630</v>
      </c>
      <c r="Q134" t="s">
        <v>631</v>
      </c>
      <c r="R134" t="s">
        <v>67</v>
      </c>
      <c r="S134" s="10">
        <v>22</v>
      </c>
      <c r="T134" t="s">
        <v>20</v>
      </c>
      <c r="U134" s="10">
        <v>5489.5833000000011</v>
      </c>
      <c r="V134" s="19">
        <v>120770.83259999999</v>
      </c>
      <c r="AF134" s="20">
        <v>9</v>
      </c>
      <c r="AG134" s="18" t="s">
        <v>23</v>
      </c>
      <c r="AH134" s="18" t="s">
        <v>24</v>
      </c>
      <c r="AI134" s="18" t="s">
        <v>4</v>
      </c>
      <c r="AJ134" s="21">
        <v>39</v>
      </c>
      <c r="AK134" s="18" t="s">
        <v>25</v>
      </c>
      <c r="AL134" s="21">
        <v>17760</v>
      </c>
      <c r="AM134" s="19">
        <v>692640</v>
      </c>
      <c r="AW134" s="20" t="s">
        <v>7</v>
      </c>
      <c r="AX134" s="6" t="s">
        <v>8</v>
      </c>
      <c r="AY134" s="6" t="s">
        <v>4</v>
      </c>
      <c r="AZ134" s="10">
        <v>1.5</v>
      </c>
      <c r="BA134" s="6" t="s">
        <v>9</v>
      </c>
      <c r="BB134" s="10">
        <v>133200</v>
      </c>
      <c r="BC134" s="19">
        <v>199800</v>
      </c>
    </row>
    <row r="135" spans="15:55" x14ac:dyDescent="0.35">
      <c r="O135" s="20">
        <v>31</v>
      </c>
      <c r="P135" t="s">
        <v>364</v>
      </c>
      <c r="Q135" t="s">
        <v>365</v>
      </c>
      <c r="R135" t="s">
        <v>67</v>
      </c>
      <c r="S135" s="10">
        <v>2</v>
      </c>
      <c r="T135" t="s">
        <v>52</v>
      </c>
      <c r="U135" s="10">
        <v>19063.875499999998</v>
      </c>
      <c r="V135" s="19">
        <v>38127.750999999997</v>
      </c>
      <c r="AF135" s="20">
        <v>10</v>
      </c>
      <c r="AG135" s="18" t="s">
        <v>28</v>
      </c>
      <c r="AH135" s="18" t="s">
        <v>29</v>
      </c>
      <c r="AI135" s="18" t="s">
        <v>4</v>
      </c>
      <c r="AJ135" s="21">
        <v>5</v>
      </c>
      <c r="AK135" s="18" t="s">
        <v>30</v>
      </c>
      <c r="AL135" s="21">
        <v>19760</v>
      </c>
      <c r="AM135" s="19">
        <v>98800</v>
      </c>
      <c r="AW135" s="20" t="s">
        <v>13</v>
      </c>
      <c r="AX135" s="6" t="s">
        <v>14</v>
      </c>
      <c r="AY135" s="6" t="s">
        <v>4</v>
      </c>
      <c r="AZ135" s="10">
        <v>0.9</v>
      </c>
      <c r="BA135" s="6" t="s">
        <v>15</v>
      </c>
      <c r="BB135" s="10">
        <v>77700</v>
      </c>
      <c r="BC135" s="19">
        <v>69930</v>
      </c>
    </row>
    <row r="136" spans="15:55" x14ac:dyDescent="0.35">
      <c r="O136" s="20">
        <v>32</v>
      </c>
      <c r="P136" t="s">
        <v>803</v>
      </c>
      <c r="Q136" t="s">
        <v>804</v>
      </c>
      <c r="R136" t="s">
        <v>67</v>
      </c>
      <c r="S136" s="10">
        <v>1</v>
      </c>
      <c r="T136" t="s">
        <v>20</v>
      </c>
      <c r="U136" s="10">
        <v>5500</v>
      </c>
      <c r="V136" s="19">
        <v>5500</v>
      </c>
      <c r="AF136" s="20">
        <v>11</v>
      </c>
      <c r="AG136" s="18" t="s">
        <v>33</v>
      </c>
      <c r="AH136" s="18" t="s">
        <v>34</v>
      </c>
      <c r="AI136" s="18" t="s">
        <v>4</v>
      </c>
      <c r="AJ136" s="21">
        <v>35</v>
      </c>
      <c r="AK136" s="18" t="s">
        <v>30</v>
      </c>
      <c r="AL136" s="21">
        <v>13000</v>
      </c>
      <c r="AM136" s="19">
        <v>455000</v>
      </c>
      <c r="AW136" s="20" t="s">
        <v>18</v>
      </c>
      <c r="AX136" s="6" t="s">
        <v>19</v>
      </c>
      <c r="AY136" s="6" t="s">
        <v>4</v>
      </c>
      <c r="AZ136" s="10">
        <v>0.4</v>
      </c>
      <c r="BA136" s="6" t="s">
        <v>20</v>
      </c>
      <c r="BB136" s="10">
        <v>151400</v>
      </c>
      <c r="BC136" s="19">
        <v>60560</v>
      </c>
    </row>
    <row r="137" spans="15:55" x14ac:dyDescent="0.35">
      <c r="O137" s="20">
        <v>33</v>
      </c>
      <c r="P137" t="s">
        <v>807</v>
      </c>
      <c r="Q137" t="s">
        <v>808</v>
      </c>
      <c r="R137" t="s">
        <v>67</v>
      </c>
      <c r="S137" s="10">
        <v>1</v>
      </c>
      <c r="T137" t="s">
        <v>20</v>
      </c>
      <c r="U137" s="10">
        <v>18000</v>
      </c>
      <c r="V137" s="19">
        <v>18000</v>
      </c>
      <c r="AF137" s="20">
        <v>12</v>
      </c>
      <c r="AG137" s="18" t="s">
        <v>39</v>
      </c>
      <c r="AH137" s="18" t="s">
        <v>40</v>
      </c>
      <c r="AI137" s="18" t="s">
        <v>41</v>
      </c>
      <c r="AJ137" s="21">
        <v>1</v>
      </c>
      <c r="AK137" s="18" t="s">
        <v>20</v>
      </c>
      <c r="AL137" s="21">
        <v>6993.2383</v>
      </c>
      <c r="AM137" s="19">
        <v>6993.2383</v>
      </c>
      <c r="AW137" s="20" t="s">
        <v>219</v>
      </c>
      <c r="AX137" s="6" t="s">
        <v>220</v>
      </c>
      <c r="AY137" s="6" t="s">
        <v>4</v>
      </c>
      <c r="AZ137" s="10">
        <v>5</v>
      </c>
      <c r="BA137" s="6" t="s">
        <v>25</v>
      </c>
      <c r="BB137" s="10">
        <v>57626.909099999997</v>
      </c>
      <c r="BC137" s="19">
        <v>288134.54550000001</v>
      </c>
    </row>
    <row r="138" spans="15:55" x14ac:dyDescent="0.35">
      <c r="O138" s="20">
        <v>34</v>
      </c>
      <c r="P138" t="s">
        <v>258</v>
      </c>
      <c r="Q138" t="s">
        <v>259</v>
      </c>
      <c r="R138" t="s">
        <v>67</v>
      </c>
      <c r="S138" s="10">
        <v>2.5</v>
      </c>
      <c r="T138" t="s">
        <v>5</v>
      </c>
      <c r="U138" s="10">
        <v>24500</v>
      </c>
      <c r="V138" s="19">
        <v>61250</v>
      </c>
      <c r="AF138" s="20">
        <v>13</v>
      </c>
      <c r="AG138" s="18" t="s">
        <v>304</v>
      </c>
      <c r="AH138" s="18" t="s">
        <v>305</v>
      </c>
      <c r="AI138" s="18" t="s">
        <v>41</v>
      </c>
      <c r="AJ138" s="21">
        <v>1</v>
      </c>
      <c r="AK138" s="18" t="s">
        <v>20</v>
      </c>
      <c r="AL138" s="21">
        <v>6978.5729000000001</v>
      </c>
      <c r="AM138" s="19">
        <v>6978.5729000000001</v>
      </c>
      <c r="AW138" s="20" t="s">
        <v>23</v>
      </c>
      <c r="AX138" s="6" t="s">
        <v>24</v>
      </c>
      <c r="AY138" s="6" t="s">
        <v>4</v>
      </c>
      <c r="AZ138" s="10">
        <v>59</v>
      </c>
      <c r="BA138" s="6" t="s">
        <v>25</v>
      </c>
      <c r="BB138" s="10">
        <v>17760</v>
      </c>
      <c r="BC138" s="19">
        <v>1047840</v>
      </c>
    </row>
    <row r="139" spans="15:55" x14ac:dyDescent="0.35">
      <c r="O139" s="20">
        <v>35</v>
      </c>
      <c r="P139" t="s">
        <v>260</v>
      </c>
      <c r="Q139" t="s">
        <v>261</v>
      </c>
      <c r="R139" t="s">
        <v>67</v>
      </c>
      <c r="S139" s="10">
        <v>1</v>
      </c>
      <c r="T139" t="s">
        <v>5</v>
      </c>
      <c r="U139" s="10">
        <v>2100</v>
      </c>
      <c r="V139" s="19">
        <v>2100</v>
      </c>
      <c r="AF139" s="20">
        <v>14</v>
      </c>
      <c r="AG139" s="18" t="s">
        <v>50</v>
      </c>
      <c r="AH139" s="18" t="s">
        <v>51</v>
      </c>
      <c r="AI139" s="18" t="s">
        <v>41</v>
      </c>
      <c r="AJ139" s="21">
        <v>9</v>
      </c>
      <c r="AK139" s="18" t="s">
        <v>52</v>
      </c>
      <c r="AL139" s="21">
        <v>20500</v>
      </c>
      <c r="AM139" s="19">
        <v>184500</v>
      </c>
      <c r="AW139" s="20" t="s">
        <v>28</v>
      </c>
      <c r="AX139" s="6" t="s">
        <v>29</v>
      </c>
      <c r="AY139" s="6" t="s">
        <v>4</v>
      </c>
      <c r="AZ139" s="10">
        <v>19</v>
      </c>
      <c r="BA139" s="6" t="s">
        <v>30</v>
      </c>
      <c r="BB139" s="10">
        <v>19760</v>
      </c>
      <c r="BC139" s="19">
        <v>375440</v>
      </c>
    </row>
    <row r="140" spans="15:55" x14ac:dyDescent="0.35">
      <c r="O140" s="20">
        <v>36</v>
      </c>
      <c r="P140" t="s">
        <v>401</v>
      </c>
      <c r="Q140" t="s">
        <v>402</v>
      </c>
      <c r="R140" t="s">
        <v>67</v>
      </c>
      <c r="S140">
        <v>2</v>
      </c>
      <c r="T140" t="s">
        <v>20</v>
      </c>
      <c r="U140">
        <v>310.85000000000002</v>
      </c>
      <c r="V140" s="19">
        <v>621.70000000000005</v>
      </c>
      <c r="AF140" s="20">
        <v>15</v>
      </c>
      <c r="AG140" s="18" t="s">
        <v>306</v>
      </c>
      <c r="AH140" s="18" t="s">
        <v>307</v>
      </c>
      <c r="AI140" s="18" t="s">
        <v>41</v>
      </c>
      <c r="AJ140" s="21">
        <v>2</v>
      </c>
      <c r="AK140" s="18" t="s">
        <v>20</v>
      </c>
      <c r="AL140" s="21">
        <v>7612.5015000000012</v>
      </c>
      <c r="AM140" s="19">
        <v>15225.003000000001</v>
      </c>
      <c r="AW140" s="20" t="s">
        <v>33</v>
      </c>
      <c r="AX140" s="6" t="s">
        <v>34</v>
      </c>
      <c r="AY140" s="6" t="s">
        <v>4</v>
      </c>
      <c r="AZ140" s="10">
        <v>37</v>
      </c>
      <c r="BA140" s="6" t="s">
        <v>30</v>
      </c>
      <c r="BB140" s="10">
        <v>13000</v>
      </c>
      <c r="BC140" s="19">
        <v>481000</v>
      </c>
    </row>
    <row r="141" spans="15:55" ht="15" thickBot="1" x14ac:dyDescent="0.4">
      <c r="O141" s="22" t="s">
        <v>223</v>
      </c>
      <c r="P141" s="23" t="s">
        <v>223</v>
      </c>
      <c r="Q141" s="23" t="s">
        <v>223</v>
      </c>
      <c r="R141" s="23" t="s">
        <v>223</v>
      </c>
      <c r="S141" s="23" t="s">
        <v>223</v>
      </c>
      <c r="T141" s="23" t="s">
        <v>223</v>
      </c>
      <c r="U141" s="23" t="s">
        <v>224</v>
      </c>
      <c r="V141" s="24">
        <v>1463387.0026</v>
      </c>
      <c r="AF141" s="20">
        <v>16</v>
      </c>
      <c r="AG141" s="18" t="s">
        <v>308</v>
      </c>
      <c r="AH141" s="18" t="s">
        <v>309</v>
      </c>
      <c r="AI141" s="18" t="s">
        <v>41</v>
      </c>
      <c r="AJ141" s="21">
        <v>1</v>
      </c>
      <c r="AK141" s="18" t="s">
        <v>20</v>
      </c>
      <c r="AL141" s="21">
        <v>6953.0623999999998</v>
      </c>
      <c r="AM141" s="19">
        <v>6953.0623999999998</v>
      </c>
      <c r="AW141" s="20" t="s">
        <v>50</v>
      </c>
      <c r="AX141" s="6" t="s">
        <v>51</v>
      </c>
      <c r="AY141" s="6" t="s">
        <v>41</v>
      </c>
      <c r="AZ141" s="10">
        <v>6</v>
      </c>
      <c r="BA141" s="6" t="s">
        <v>52</v>
      </c>
      <c r="BB141" s="10">
        <v>20500</v>
      </c>
      <c r="BC141" s="19">
        <v>123000</v>
      </c>
    </row>
    <row r="142" spans="15:55" x14ac:dyDescent="0.35">
      <c r="AF142" s="20">
        <v>17</v>
      </c>
      <c r="AG142" s="18" t="s">
        <v>53</v>
      </c>
      <c r="AH142" s="18" t="s">
        <v>54</v>
      </c>
      <c r="AI142" s="18" t="s">
        <v>41</v>
      </c>
      <c r="AJ142" s="21">
        <v>7</v>
      </c>
      <c r="AK142" s="18" t="s">
        <v>20</v>
      </c>
      <c r="AL142" s="21">
        <v>7318.1818000000003</v>
      </c>
      <c r="AM142" s="19">
        <v>51227.272599999997</v>
      </c>
      <c r="AW142" s="20" t="s">
        <v>306</v>
      </c>
      <c r="AX142" s="6" t="s">
        <v>307</v>
      </c>
      <c r="AY142" s="6" t="s">
        <v>41</v>
      </c>
      <c r="AZ142" s="10">
        <v>1</v>
      </c>
      <c r="BA142" s="6" t="s">
        <v>20</v>
      </c>
      <c r="BB142" s="10">
        <v>7612.5015000000003</v>
      </c>
      <c r="BC142" s="19">
        <v>7612.5015000000003</v>
      </c>
    </row>
    <row r="143" spans="15:55" x14ac:dyDescent="0.35">
      <c r="AF143" s="20">
        <v>18</v>
      </c>
      <c r="AG143" s="18" t="s">
        <v>453</v>
      </c>
      <c r="AH143" s="18" t="s">
        <v>454</v>
      </c>
      <c r="AI143" s="18" t="s">
        <v>41</v>
      </c>
      <c r="AJ143" s="21">
        <v>2</v>
      </c>
      <c r="AK143" s="18" t="s">
        <v>267</v>
      </c>
      <c r="AL143" s="21">
        <v>20478.39718</v>
      </c>
      <c r="AM143" s="19">
        <v>40956.79436</v>
      </c>
      <c r="AW143" s="20" t="s">
        <v>53</v>
      </c>
      <c r="AX143" s="6" t="s">
        <v>54</v>
      </c>
      <c r="AY143" s="6" t="s">
        <v>41</v>
      </c>
      <c r="AZ143" s="10">
        <v>39</v>
      </c>
      <c r="BA143" s="6" t="s">
        <v>20</v>
      </c>
      <c r="BB143" s="10">
        <v>2283.2564000000002</v>
      </c>
      <c r="BC143" s="19">
        <v>89046.999599999996</v>
      </c>
    </row>
    <row r="144" spans="15:55" x14ac:dyDescent="0.35">
      <c r="AF144" s="20">
        <v>19</v>
      </c>
      <c r="AG144" s="18" t="s">
        <v>57</v>
      </c>
      <c r="AH144" s="18" t="s">
        <v>58</v>
      </c>
      <c r="AI144" s="18" t="s">
        <v>41</v>
      </c>
      <c r="AJ144" s="21">
        <v>2</v>
      </c>
      <c r="AK144" s="18" t="s">
        <v>5</v>
      </c>
      <c r="AL144" s="21">
        <v>7685.5288</v>
      </c>
      <c r="AM144" s="19">
        <v>15371.0576</v>
      </c>
      <c r="AW144" s="20" t="s">
        <v>453</v>
      </c>
      <c r="AX144" s="6" t="s">
        <v>454</v>
      </c>
      <c r="AY144" s="6" t="s">
        <v>41</v>
      </c>
      <c r="AZ144" s="10">
        <v>6</v>
      </c>
      <c r="BA144" s="6" t="s">
        <v>267</v>
      </c>
      <c r="BB144" s="10">
        <v>20478.39718</v>
      </c>
      <c r="BC144" s="19">
        <v>122870.38308</v>
      </c>
    </row>
    <row r="145" spans="32:55" x14ac:dyDescent="0.35">
      <c r="AF145" s="20">
        <v>20</v>
      </c>
      <c r="AG145" s="18" t="s">
        <v>59</v>
      </c>
      <c r="AH145" s="18" t="s">
        <v>60</v>
      </c>
      <c r="AI145" s="18" t="s">
        <v>41</v>
      </c>
      <c r="AJ145" s="21">
        <v>18</v>
      </c>
      <c r="AK145" s="18" t="s">
        <v>5</v>
      </c>
      <c r="AL145" s="21">
        <v>7700</v>
      </c>
      <c r="AM145" s="19">
        <v>138600</v>
      </c>
      <c r="AW145" s="20" t="s">
        <v>407</v>
      </c>
      <c r="AX145" s="6" t="s">
        <v>408</v>
      </c>
      <c r="AY145" s="6" t="s">
        <v>41</v>
      </c>
      <c r="AZ145" s="10">
        <v>3</v>
      </c>
      <c r="BA145" s="6" t="s">
        <v>267</v>
      </c>
      <c r="BB145" s="10">
        <v>35390.564100000003</v>
      </c>
      <c r="BC145" s="19">
        <v>106171.6923</v>
      </c>
    </row>
    <row r="146" spans="32:55" x14ac:dyDescent="0.35">
      <c r="AF146" s="20">
        <v>21</v>
      </c>
      <c r="AG146" s="18" t="s">
        <v>61</v>
      </c>
      <c r="AH146" s="18" t="s">
        <v>62</v>
      </c>
      <c r="AI146" s="18" t="s">
        <v>41</v>
      </c>
      <c r="AJ146" s="18">
        <v>3</v>
      </c>
      <c r="AK146" s="18" t="s">
        <v>5</v>
      </c>
      <c r="AL146" s="18">
        <v>15947.8493</v>
      </c>
      <c r="AM146" s="19">
        <v>47843.547899999998</v>
      </c>
      <c r="AW146" s="20" t="s">
        <v>613</v>
      </c>
      <c r="AX146" s="6" t="s">
        <v>614</v>
      </c>
      <c r="AY146" s="6" t="s">
        <v>41</v>
      </c>
      <c r="AZ146" s="10">
        <v>1</v>
      </c>
      <c r="BA146" s="6" t="s">
        <v>267</v>
      </c>
      <c r="BB146" s="10">
        <v>149000</v>
      </c>
      <c r="BC146" s="19">
        <v>149000</v>
      </c>
    </row>
    <row r="147" spans="32:55" ht="15" thickBot="1" x14ac:dyDescent="0.4">
      <c r="AF147" s="22" t="s">
        <v>223</v>
      </c>
      <c r="AG147" s="23" t="s">
        <v>223</v>
      </c>
      <c r="AH147" s="23" t="s">
        <v>223</v>
      </c>
      <c r="AI147" s="23" t="s">
        <v>223</v>
      </c>
      <c r="AJ147" s="23" t="s">
        <v>223</v>
      </c>
      <c r="AK147" s="23" t="s">
        <v>223</v>
      </c>
      <c r="AL147" s="23" t="s">
        <v>224</v>
      </c>
      <c r="AM147" s="24">
        <v>2790734.5449100002</v>
      </c>
      <c r="AW147" s="20" t="s">
        <v>801</v>
      </c>
      <c r="AX147" s="6" t="s">
        <v>802</v>
      </c>
      <c r="AY147" s="6" t="s">
        <v>41</v>
      </c>
      <c r="AZ147" s="10">
        <v>6</v>
      </c>
      <c r="BA147" s="6" t="s">
        <v>20</v>
      </c>
      <c r="BB147" s="10">
        <v>7610.1579000000002</v>
      </c>
      <c r="BC147" s="19">
        <v>45660.947399999997</v>
      </c>
    </row>
    <row r="148" spans="32:55" x14ac:dyDescent="0.35">
      <c r="AW148" s="20" t="s">
        <v>57</v>
      </c>
      <c r="AX148" s="6" t="s">
        <v>58</v>
      </c>
      <c r="AY148" s="6" t="s">
        <v>41</v>
      </c>
      <c r="AZ148" s="10">
        <v>10</v>
      </c>
      <c r="BA148" s="6" t="s">
        <v>5</v>
      </c>
      <c r="BB148" s="10">
        <v>7685.5288</v>
      </c>
      <c r="BC148" s="19">
        <v>76855.288</v>
      </c>
    </row>
    <row r="149" spans="32:55" ht="15" thickBot="1" x14ac:dyDescent="0.4">
      <c r="AW149" s="20" t="s">
        <v>59</v>
      </c>
      <c r="AX149" s="6" t="s">
        <v>60</v>
      </c>
      <c r="AY149" s="6" t="s">
        <v>41</v>
      </c>
      <c r="AZ149" s="10">
        <v>31.5</v>
      </c>
      <c r="BA149" s="6" t="s">
        <v>5</v>
      </c>
      <c r="BB149" s="10">
        <v>7700</v>
      </c>
      <c r="BC149" s="19">
        <v>242550</v>
      </c>
    </row>
    <row r="150" spans="32:55" x14ac:dyDescent="0.35">
      <c r="AF150" s="84" t="s">
        <v>0</v>
      </c>
      <c r="AG150" s="85"/>
      <c r="AH150" s="85"/>
      <c r="AI150" s="85"/>
      <c r="AJ150" s="85"/>
      <c r="AK150" s="16"/>
      <c r="AL150" s="16"/>
      <c r="AM150" s="17"/>
      <c r="AW150" s="20" t="s">
        <v>61</v>
      </c>
      <c r="AX150" s="6" t="s">
        <v>62</v>
      </c>
      <c r="AY150" s="6" t="s">
        <v>41</v>
      </c>
      <c r="AZ150" s="10">
        <v>3</v>
      </c>
      <c r="BA150" s="6" t="s">
        <v>5</v>
      </c>
      <c r="BB150" s="10">
        <v>16991.427</v>
      </c>
      <c r="BC150" s="19">
        <v>50974.281000000003</v>
      </c>
    </row>
    <row r="151" spans="32:55" x14ac:dyDescent="0.35">
      <c r="AF151" s="82" t="s">
        <v>1</v>
      </c>
      <c r="AG151" s="83"/>
      <c r="AH151" s="83"/>
      <c r="AI151" s="83"/>
      <c r="AJ151" s="83"/>
      <c r="AK151" s="18"/>
      <c r="AL151" s="18"/>
      <c r="AM151" s="19"/>
      <c r="AW151" s="20" t="s">
        <v>312</v>
      </c>
      <c r="AX151" s="6" t="s">
        <v>313</v>
      </c>
      <c r="AY151" s="6" t="s">
        <v>41</v>
      </c>
      <c r="AZ151" s="10">
        <v>3</v>
      </c>
      <c r="BA151" s="6" t="s">
        <v>20</v>
      </c>
      <c r="BB151" s="10">
        <v>29764.571399999997</v>
      </c>
      <c r="BC151" s="19">
        <v>89293.714200000002</v>
      </c>
    </row>
    <row r="152" spans="32:55" ht="15" thickBot="1" x14ac:dyDescent="0.4">
      <c r="AF152" s="20"/>
      <c r="AG152" s="18"/>
      <c r="AH152" s="18"/>
      <c r="AI152" s="18"/>
      <c r="AJ152" s="18"/>
      <c r="AK152" s="18"/>
      <c r="AL152" s="18"/>
      <c r="AM152" s="19"/>
      <c r="AW152" s="22" t="s">
        <v>805</v>
      </c>
      <c r="AX152" s="23" t="s">
        <v>806</v>
      </c>
      <c r="AY152" s="23" t="s">
        <v>41</v>
      </c>
      <c r="AZ152" s="23">
        <v>1</v>
      </c>
      <c r="BA152" s="23" t="s">
        <v>20</v>
      </c>
      <c r="BB152" s="23">
        <v>155000</v>
      </c>
      <c r="BC152" s="24">
        <v>155000</v>
      </c>
    </row>
    <row r="153" spans="32:55" x14ac:dyDescent="0.35">
      <c r="AF153" s="82" t="s">
        <v>10</v>
      </c>
      <c r="AG153" s="83" t="s">
        <v>11</v>
      </c>
      <c r="AH153" s="18" t="s">
        <v>927</v>
      </c>
      <c r="AI153" s="18"/>
      <c r="AJ153" s="18"/>
      <c r="AK153" s="18"/>
      <c r="AL153" s="18"/>
      <c r="AM153" s="19"/>
    </row>
    <row r="154" spans="32:55" x14ac:dyDescent="0.35">
      <c r="AF154" s="82" t="s">
        <v>16</v>
      </c>
      <c r="AG154" s="83" t="s">
        <v>11</v>
      </c>
      <c r="AH154" s="18" t="s">
        <v>928</v>
      </c>
      <c r="AI154" s="18"/>
      <c r="AJ154" s="18"/>
      <c r="AK154" s="18"/>
      <c r="AL154" s="18"/>
      <c r="AM154" s="19"/>
    </row>
    <row r="155" spans="32:55" x14ac:dyDescent="0.35">
      <c r="AF155" s="82" t="s">
        <v>21</v>
      </c>
      <c r="AG155" s="83" t="s">
        <v>11</v>
      </c>
      <c r="AH155" s="18" t="s">
        <v>798</v>
      </c>
      <c r="AI155" s="18"/>
      <c r="AJ155" s="18"/>
      <c r="AK155" s="18"/>
      <c r="AL155" s="18"/>
      <c r="AM155" s="19"/>
    </row>
    <row r="156" spans="32:55" x14ac:dyDescent="0.35">
      <c r="AF156" s="82" t="s">
        <v>26</v>
      </c>
      <c r="AG156" s="83" t="s">
        <v>11</v>
      </c>
      <c r="AH156" s="18" t="s">
        <v>929</v>
      </c>
      <c r="AI156" s="18"/>
      <c r="AJ156" s="18"/>
      <c r="AK156" s="18"/>
      <c r="AL156" s="18"/>
      <c r="AM156" s="19"/>
    </row>
    <row r="157" spans="32:55" x14ac:dyDescent="0.35">
      <c r="AF157" s="82" t="s">
        <v>31</v>
      </c>
      <c r="AG157" s="83" t="s">
        <v>11</v>
      </c>
      <c r="AH157" s="18" t="s">
        <v>109</v>
      </c>
      <c r="AI157" s="18"/>
      <c r="AJ157" s="18"/>
      <c r="AK157" s="18"/>
      <c r="AL157" s="18"/>
      <c r="AM157" s="19"/>
    </row>
    <row r="158" spans="32:55" x14ac:dyDescent="0.35">
      <c r="AF158" s="82" t="s">
        <v>35</v>
      </c>
      <c r="AG158" s="83" t="s">
        <v>11</v>
      </c>
      <c r="AH158" s="18" t="s">
        <v>930</v>
      </c>
      <c r="AI158" s="18"/>
      <c r="AJ158" s="18"/>
      <c r="AK158" s="18"/>
      <c r="AL158" s="18"/>
      <c r="AM158" s="19"/>
    </row>
    <row r="159" spans="32:55" x14ac:dyDescent="0.35">
      <c r="AF159" s="20"/>
      <c r="AG159" s="18"/>
      <c r="AH159" s="18"/>
      <c r="AI159" s="18"/>
      <c r="AJ159" s="18"/>
      <c r="AK159" s="18"/>
      <c r="AL159" s="18"/>
      <c r="AM159" s="19"/>
    </row>
    <row r="160" spans="32:55" x14ac:dyDescent="0.35">
      <c r="AF160" s="20" t="s">
        <v>42</v>
      </c>
      <c r="AG160" s="18" t="s">
        <v>43</v>
      </c>
      <c r="AH160" s="18" t="s">
        <v>44</v>
      </c>
      <c r="AI160" s="18" t="s">
        <v>45</v>
      </c>
      <c r="AJ160" s="18" t="s">
        <v>46</v>
      </c>
      <c r="AK160" s="18" t="s">
        <v>47</v>
      </c>
      <c r="AL160" s="18" t="s">
        <v>48</v>
      </c>
      <c r="AM160" s="19" t="s">
        <v>49</v>
      </c>
    </row>
    <row r="161" spans="32:39" x14ac:dyDescent="0.35">
      <c r="AF161" s="20">
        <v>1</v>
      </c>
      <c r="AG161" s="18" t="s">
        <v>460</v>
      </c>
      <c r="AH161" s="18" t="s">
        <v>461</v>
      </c>
      <c r="AI161" s="18" t="s">
        <v>117</v>
      </c>
      <c r="AJ161" s="18">
        <v>7</v>
      </c>
      <c r="AK161" s="18" t="s">
        <v>20</v>
      </c>
      <c r="AL161" s="18">
        <v>114436.93859999999</v>
      </c>
      <c r="AM161" s="19">
        <v>801058.57019999996</v>
      </c>
    </row>
    <row r="162" spans="32:39" ht="15" thickBot="1" x14ac:dyDescent="0.4">
      <c r="AF162" s="22" t="s">
        <v>223</v>
      </c>
      <c r="AG162" s="23" t="s">
        <v>223</v>
      </c>
      <c r="AH162" s="23" t="s">
        <v>223</v>
      </c>
      <c r="AI162" s="23" t="s">
        <v>223</v>
      </c>
      <c r="AJ162" s="23" t="s">
        <v>223</v>
      </c>
      <c r="AK162" s="23" t="s">
        <v>223</v>
      </c>
      <c r="AL162" s="23" t="s">
        <v>224</v>
      </c>
      <c r="AM162" s="24">
        <v>801058.57019999996</v>
      </c>
    </row>
  </sheetData>
  <mergeCells count="88">
    <mergeCell ref="AF158:AG158"/>
    <mergeCell ref="AF153:AG153"/>
    <mergeCell ref="AF154:AG154"/>
    <mergeCell ref="AF155:AG155"/>
    <mergeCell ref="AF156:AG156"/>
    <mergeCell ref="AF157:AG157"/>
    <mergeCell ref="AF121:AG121"/>
    <mergeCell ref="AF122:AG122"/>
    <mergeCell ref="AF123:AG123"/>
    <mergeCell ref="AF150:AJ150"/>
    <mergeCell ref="AF151:AJ151"/>
    <mergeCell ref="AF115:AJ115"/>
    <mergeCell ref="AF116:AJ116"/>
    <mergeCell ref="AF118:AG118"/>
    <mergeCell ref="AF119:AG119"/>
    <mergeCell ref="AF120:AG120"/>
    <mergeCell ref="AF99:AG99"/>
    <mergeCell ref="AF100:AG100"/>
    <mergeCell ref="AF101:AG101"/>
    <mergeCell ref="AF102:AG102"/>
    <mergeCell ref="AF103:AG103"/>
    <mergeCell ref="AF83:AG83"/>
    <mergeCell ref="AF84:AG84"/>
    <mergeCell ref="AF95:AJ95"/>
    <mergeCell ref="AF96:AJ96"/>
    <mergeCell ref="AF98:AG98"/>
    <mergeCell ref="AF77:AJ77"/>
    <mergeCell ref="AF79:AG79"/>
    <mergeCell ref="AF80:AG80"/>
    <mergeCell ref="AF81:AG81"/>
    <mergeCell ref="AF82:AG82"/>
    <mergeCell ref="AF66:AG66"/>
    <mergeCell ref="AF67:AG67"/>
    <mergeCell ref="AF68:AG68"/>
    <mergeCell ref="AF69:AG69"/>
    <mergeCell ref="AF76:AJ76"/>
    <mergeCell ref="AF39:AG39"/>
    <mergeCell ref="AF61:AJ61"/>
    <mergeCell ref="AF62:AJ62"/>
    <mergeCell ref="AF64:AG64"/>
    <mergeCell ref="AF65:AG65"/>
    <mergeCell ref="AF34:AG34"/>
    <mergeCell ref="AF35:AG35"/>
    <mergeCell ref="AF36:AG36"/>
    <mergeCell ref="AF37:AG37"/>
    <mergeCell ref="AF38:AG38"/>
    <mergeCell ref="AF8:AG8"/>
    <mergeCell ref="AF9:AG9"/>
    <mergeCell ref="AF10:AG10"/>
    <mergeCell ref="AF31:AJ31"/>
    <mergeCell ref="AF32:AJ32"/>
    <mergeCell ref="AF2:AJ2"/>
    <mergeCell ref="AF3:AJ3"/>
    <mergeCell ref="AF5:AG5"/>
    <mergeCell ref="AF6:AG6"/>
    <mergeCell ref="AF7:AG7"/>
    <mergeCell ref="O42:P42"/>
    <mergeCell ref="O2:S2"/>
    <mergeCell ref="O3:S3"/>
    <mergeCell ref="O5:P5"/>
    <mergeCell ref="O6:P6"/>
    <mergeCell ref="O7:P7"/>
    <mergeCell ref="O8:P8"/>
    <mergeCell ref="O9:P9"/>
    <mergeCell ref="O10:P10"/>
    <mergeCell ref="O38:S38"/>
    <mergeCell ref="O39:S39"/>
    <mergeCell ref="O41:P41"/>
    <mergeCell ref="O81:P81"/>
    <mergeCell ref="O43:P43"/>
    <mergeCell ref="O44:P44"/>
    <mergeCell ref="O45:P45"/>
    <mergeCell ref="O46:P46"/>
    <mergeCell ref="O73:S73"/>
    <mergeCell ref="O74:S74"/>
    <mergeCell ref="O76:P76"/>
    <mergeCell ref="O77:P77"/>
    <mergeCell ref="O78:P78"/>
    <mergeCell ref="O79:P79"/>
    <mergeCell ref="O80:P80"/>
    <mergeCell ref="O101:P101"/>
    <mergeCell ref="O102:P102"/>
    <mergeCell ref="O94:S94"/>
    <mergeCell ref="O95:S95"/>
    <mergeCell ref="O97:P97"/>
    <mergeCell ref="O98:P98"/>
    <mergeCell ref="O99:P99"/>
    <mergeCell ref="O100:P100"/>
  </mergeCells>
  <conditionalFormatting sqref="H6:H109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6:J109">
    <cfRule type="containsText" dxfId="6" priority="5" operator="containsText" text="penurunan iu">
      <formula>NOT(ISERROR(SEARCH("penurunan iu",J6)))</formula>
    </cfRule>
    <cfRule type="containsText" dxfId="5" priority="4" operator="containsText" text="kenaikan iu">
      <formula>NOT(ISERROR(SEARCH("kenaikan iu",J6)))</formula>
    </cfRule>
    <cfRule type="containsText" dxfId="4" priority="3" operator="containsText" text="kenaikan iu">
      <formula>NOT(ISERROR(SEARCH("kenaikan iu",J6)))</formula>
    </cfRule>
    <cfRule type="containsText" dxfId="3" priority="2" operator="containsText" text="tidak ada perubahan">
      <formula>NOT(ISERROR(SEARCH("tidak ada perubahan",J6)))</formula>
    </cfRule>
  </conditionalFormatting>
  <conditionalFormatting sqref="A6:I109">
    <cfRule type="expression" dxfId="2" priority="1">
      <formula>CELL("row")=ROW()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CG-GLC</vt:lpstr>
      <vt:lpstr>CG-AMPLAZ</vt:lpstr>
      <vt:lpstr>CG-MKG</vt:lpstr>
      <vt:lpstr>CG-ATB</vt:lpstr>
      <vt:lpstr>CG-JGC</vt:lpstr>
      <vt:lpstr>CG-SMS</vt:lpstr>
      <vt:lpstr>CG-BXC</vt:lpstr>
      <vt:lpstr>HG-GLC</vt:lpstr>
      <vt:lpstr>HG-BXC</vt:lpstr>
      <vt:lpstr>HOTTEOK-KOKAS</vt:lpstr>
      <vt:lpstr>HOTTEOK-BLOK M</vt:lpstr>
      <vt:lpstr>HC-ADM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document tara92</dc:creator>
  <cp:lastModifiedBy>chadolamplaz</cp:lastModifiedBy>
  <dcterms:created xsi:type="dcterms:W3CDTF">2024-09-06T09:18:50Z</dcterms:created>
  <dcterms:modified xsi:type="dcterms:W3CDTF">2024-09-17T07:30:12Z</dcterms:modified>
</cp:coreProperties>
</file>